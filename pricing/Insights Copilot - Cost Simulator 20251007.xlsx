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anheuserbuschinbev-my.sharepoint.com/personal/sourav_debnath_ab-inbev_com/Documents/Insights Copilot/product-os/pricing/"/>
    </mc:Choice>
  </mc:AlternateContent>
  <xr:revisionPtr revIDLastSave="1152" documentId="8_{495C5C25-4470-4148-877B-552907D0370C}" xr6:coauthVersionLast="47" xr6:coauthVersionMax="47" xr10:uidLastSave="{25729461-BD6B-46B9-89AB-6F2A36388173}"/>
  <bookViews>
    <workbookView minimized="1" xWindow="2580" yWindow="2580" windowWidth="17280" windowHeight="9960" activeTab="7" xr2:uid="{AC38CCE0-BC87-47D1-838A-60FB6F01BCE2}"/>
  </bookViews>
  <sheets>
    <sheet name="CostModel" sheetId="12" r:id="rId1"/>
    <sheet name="UsageModel" sheetId="16" r:id="rId2"/>
    <sheet name="Sheet1" sheetId="17" r:id="rId3"/>
    <sheet name="DEV" sheetId="7" r:id="rId4"/>
    <sheet name="DEV+QA" sheetId="11" r:id="rId5"/>
    <sheet name="PREVIEW++" sheetId="9" state="hidden" r:id="rId6"/>
    <sheet name="QA" sheetId="10" r:id="rId7"/>
    <sheet name="Operational Cost" sheetId="1" r:id="rId8"/>
    <sheet name="Development Cost" sheetId="2" r:id="rId9"/>
    <sheet name="CostModel_copy" sheetId="13" state="hidden" r:id="rId10"/>
  </sheets>
  <definedNames>
    <definedName name="_xlnm._FilterDatabase" localSheetId="9" hidden="1">CostModel_copy!$Y$3:$AJ$36</definedName>
    <definedName name="_xlnm._FilterDatabase" localSheetId="3">DEV!A1:H645</definedName>
    <definedName name="_xlnm._FilterDatabase" localSheetId="4" hidden="1">'DEV+QA'!$A$1:$I$1033</definedName>
    <definedName name="_xlnm._FilterDatabase" localSheetId="5">'PREVIEW++'!A1:H526</definedName>
    <definedName name="_xlnm._FilterDatabase" localSheetId="6" hidden="1">QA!$A$1:$I$389</definedName>
    <definedName name="_xlnm._FilterDatabase" localSheetId="1" hidden="1">UsageModel!$B$109:$L$177</definedName>
  </definedNames>
  <calcPr calcId="191028"/>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7" l="1"/>
  <c r="F2" i="17"/>
  <c r="A63" i="16" l="1"/>
  <c r="A64" i="16"/>
  <c r="A65" i="16"/>
  <c r="A66" i="16"/>
  <c r="A67" i="16"/>
  <c r="A68" i="16"/>
  <c r="A69" i="16"/>
  <c r="A70" i="16"/>
  <c r="A71" i="16"/>
  <c r="A62" i="16"/>
  <c r="D32" i="16"/>
  <c r="D33" i="16"/>
  <c r="D34" i="16"/>
  <c r="D31" i="16"/>
  <c r="L177" i="16"/>
  <c r="L175" i="16"/>
  <c r="L165" i="16"/>
  <c r="L156" i="16"/>
  <c r="L157" i="16"/>
  <c r="L158" i="16"/>
  <c r="L159" i="16"/>
  <c r="L160" i="16"/>
  <c r="L161" i="16"/>
  <c r="L162" i="16"/>
  <c r="L163" i="16"/>
  <c r="L164" i="16"/>
  <c r="L166" i="16"/>
  <c r="L167" i="16"/>
  <c r="L168" i="16"/>
  <c r="L169" i="16"/>
  <c r="L170" i="16"/>
  <c r="L171" i="16"/>
  <c r="L172" i="16"/>
  <c r="L173" i="16"/>
  <c r="L174" i="16"/>
  <c r="L176" i="16"/>
  <c r="L155" i="16"/>
  <c r="L111" i="16"/>
  <c r="L112" i="16"/>
  <c r="L113" i="16"/>
  <c r="L114" i="16"/>
  <c r="L115" i="16"/>
  <c r="L116" i="16"/>
  <c r="L117" i="16"/>
  <c r="L118" i="16"/>
  <c r="L119" i="16"/>
  <c r="L120" i="16"/>
  <c r="L121" i="16"/>
  <c r="L122" i="16"/>
  <c r="L123" i="16"/>
  <c r="L124" i="16"/>
  <c r="L125" i="16"/>
  <c r="L126" i="16"/>
  <c r="L127" i="16"/>
  <c r="L128" i="16"/>
  <c r="L129" i="16"/>
  <c r="L130" i="16"/>
  <c r="L131" i="16"/>
  <c r="L110" i="16"/>
  <c r="L133" i="16"/>
  <c r="L134" i="16"/>
  <c r="L135" i="16"/>
  <c r="L136" i="16"/>
  <c r="L137" i="16"/>
  <c r="L138" i="16"/>
  <c r="L139" i="16"/>
  <c r="L140" i="16"/>
  <c r="L141" i="16"/>
  <c r="L142" i="16"/>
  <c r="L143" i="16"/>
  <c r="L144" i="16"/>
  <c r="L145" i="16"/>
  <c r="L146" i="16"/>
  <c r="L147" i="16"/>
  <c r="L148" i="16"/>
  <c r="L149" i="16"/>
  <c r="L150" i="16"/>
  <c r="L151" i="16"/>
  <c r="L152" i="16"/>
  <c r="L153" i="16"/>
  <c r="L154" i="16"/>
  <c r="L132" i="16"/>
  <c r="D12" i="16"/>
  <c r="T45" i="16"/>
  <c r="T46" i="16"/>
  <c r="T47" i="16"/>
  <c r="T48" i="16"/>
  <c r="T49" i="16"/>
  <c r="T50" i="16"/>
  <c r="T51" i="16"/>
  <c r="T52" i="16"/>
  <c r="T53" i="16"/>
  <c r="T44" i="16"/>
  <c r="C31" i="16"/>
  <c r="C40" i="16"/>
  <c r="Y134" i="12"/>
  <c r="V119" i="12"/>
  <c r="Z119" i="12" s="1"/>
  <c r="AA119" i="12" s="1"/>
  <c r="N3" i="16"/>
  <c r="N5" i="16"/>
  <c r="O5" i="16" s="1"/>
  <c r="N6" i="16"/>
  <c r="O6" i="16" s="1"/>
  <c r="N7" i="16"/>
  <c r="O7" i="16" s="1"/>
  <c r="N8" i="16"/>
  <c r="O8" i="16" s="1"/>
  <c r="N2" i="16"/>
  <c r="M3" i="16"/>
  <c r="M5" i="16"/>
  <c r="M6" i="16"/>
  <c r="M7" i="16"/>
  <c r="M8" i="16"/>
  <c r="M2" i="16"/>
  <c r="D10" i="16"/>
  <c r="E10" i="16"/>
  <c r="F10" i="16"/>
  <c r="G10" i="16"/>
  <c r="H10" i="16"/>
  <c r="I10" i="16"/>
  <c r="J10" i="16"/>
  <c r="K10" i="16"/>
  <c r="L10" i="16"/>
  <c r="C10" i="16"/>
  <c r="D9" i="16"/>
  <c r="E9" i="16"/>
  <c r="E12" i="16" s="1"/>
  <c r="F9" i="16"/>
  <c r="F12" i="16" s="1"/>
  <c r="G9" i="16"/>
  <c r="G12" i="16" s="1"/>
  <c r="H9" i="16"/>
  <c r="H12" i="16" s="1"/>
  <c r="I9" i="16"/>
  <c r="I12" i="16" s="1"/>
  <c r="J9" i="16"/>
  <c r="J12" i="16" s="1"/>
  <c r="K9" i="16"/>
  <c r="K12" i="16" s="1"/>
  <c r="L9" i="16"/>
  <c r="L12" i="16" s="1"/>
  <c r="C9" i="16"/>
  <c r="C12" i="16" s="1"/>
  <c r="D4" i="16"/>
  <c r="E4" i="16"/>
  <c r="F4" i="16"/>
  <c r="G4" i="16"/>
  <c r="H4" i="16"/>
  <c r="I4" i="16"/>
  <c r="J4" i="16"/>
  <c r="K4" i="16"/>
  <c r="L4" i="16"/>
  <c r="C4" i="16"/>
  <c r="X5" i="12"/>
  <c r="X6" i="12"/>
  <c r="X7" i="12"/>
  <c r="X8" i="12"/>
  <c r="X9" i="12"/>
  <c r="X10" i="12"/>
  <c r="X11" i="12"/>
  <c r="X12" i="12"/>
  <c r="X13" i="12"/>
  <c r="X14" i="12"/>
  <c r="X15" i="12"/>
  <c r="X16" i="12"/>
  <c r="X17" i="12"/>
  <c r="X18" i="12"/>
  <c r="X19" i="12"/>
  <c r="X20" i="12"/>
  <c r="X21" i="12"/>
  <c r="X22" i="12"/>
  <c r="X23" i="12"/>
  <c r="X24" i="12"/>
  <c r="X25" i="12"/>
  <c r="X26" i="12"/>
  <c r="X27" i="12"/>
  <c r="X28" i="12"/>
  <c r="X29" i="12"/>
  <c r="X30" i="12"/>
  <c r="X31" i="12"/>
  <c r="X32" i="12"/>
  <c r="X33" i="12"/>
  <c r="X34" i="12"/>
  <c r="X35" i="12"/>
  <c r="X36" i="12"/>
  <c r="X37" i="12"/>
  <c r="X38" i="12"/>
  <c r="X39" i="12"/>
  <c r="X40" i="12"/>
  <c r="X41" i="12"/>
  <c r="X42" i="12"/>
  <c r="X43" i="12"/>
  <c r="X44" i="12"/>
  <c r="X45" i="12"/>
  <c r="X46" i="12"/>
  <c r="X47" i="12"/>
  <c r="X48" i="12"/>
  <c r="X49" i="12"/>
  <c r="X50" i="12"/>
  <c r="X51" i="12"/>
  <c r="X52" i="12"/>
  <c r="X53" i="12"/>
  <c r="X54" i="12"/>
  <c r="X55" i="12"/>
  <c r="X56" i="12"/>
  <c r="X57" i="12"/>
  <c r="X58" i="12"/>
  <c r="X59" i="12"/>
  <c r="X60" i="12"/>
  <c r="X61" i="12"/>
  <c r="X62" i="12"/>
  <c r="X63" i="12"/>
  <c r="X64" i="12"/>
  <c r="X65" i="12"/>
  <c r="X66" i="12"/>
  <c r="X67" i="12"/>
  <c r="X68" i="12"/>
  <c r="X69" i="12"/>
  <c r="X70" i="12"/>
  <c r="X71" i="12"/>
  <c r="X72" i="12"/>
  <c r="X73" i="12"/>
  <c r="X74" i="12"/>
  <c r="X75" i="12"/>
  <c r="X76" i="12"/>
  <c r="X77" i="12"/>
  <c r="X78" i="12"/>
  <c r="X79" i="12"/>
  <c r="X80" i="12"/>
  <c r="X81" i="12"/>
  <c r="X82" i="12"/>
  <c r="X83" i="12"/>
  <c r="X84" i="12"/>
  <c r="X85" i="12"/>
  <c r="X86" i="12"/>
  <c r="X87" i="12"/>
  <c r="X88" i="12"/>
  <c r="X89" i="12"/>
  <c r="X90" i="12"/>
  <c r="X91" i="12"/>
  <c r="X92" i="12"/>
  <c r="X93" i="12"/>
  <c r="X94" i="12"/>
  <c r="X95" i="12"/>
  <c r="X96" i="12"/>
  <c r="X97" i="12"/>
  <c r="X98" i="12"/>
  <c r="X99" i="12"/>
  <c r="X100" i="12"/>
  <c r="X101" i="12"/>
  <c r="X102" i="12"/>
  <c r="X103" i="12"/>
  <c r="X104" i="12"/>
  <c r="X105" i="12"/>
  <c r="X106" i="12"/>
  <c r="X107" i="12"/>
  <c r="X108" i="12"/>
  <c r="X109" i="12"/>
  <c r="X110" i="12"/>
  <c r="X111" i="12"/>
  <c r="X112" i="12"/>
  <c r="X113" i="12"/>
  <c r="X114" i="12"/>
  <c r="X115" i="12"/>
  <c r="X116" i="12"/>
  <c r="X117" i="12"/>
  <c r="X4" i="12"/>
  <c r="Y5" i="12"/>
  <c r="Z5" i="12" s="1"/>
  <c r="Y6" i="12"/>
  <c r="Z6" i="12" s="1"/>
  <c r="Y7" i="12"/>
  <c r="Z7" i="12" s="1"/>
  <c r="Y8" i="12"/>
  <c r="Z8" i="12" s="1"/>
  <c r="Y9" i="12"/>
  <c r="Z9" i="12" s="1"/>
  <c r="Y10" i="12"/>
  <c r="Z10" i="12" s="1"/>
  <c r="Y11" i="12"/>
  <c r="Z11" i="12" s="1"/>
  <c r="Y12" i="12"/>
  <c r="Z12" i="12" s="1"/>
  <c r="Y13" i="12"/>
  <c r="Z13" i="12" s="1"/>
  <c r="Y14" i="12"/>
  <c r="Z14" i="12" s="1"/>
  <c r="Y15" i="12"/>
  <c r="Z15" i="12" s="1"/>
  <c r="Y16" i="12"/>
  <c r="Z16" i="12" s="1"/>
  <c r="Y17" i="12"/>
  <c r="Z17" i="12" s="1"/>
  <c r="Y18" i="12"/>
  <c r="Z18" i="12" s="1"/>
  <c r="Y19" i="12"/>
  <c r="Z19" i="12" s="1"/>
  <c r="Y20" i="12"/>
  <c r="Z20" i="12" s="1"/>
  <c r="Y21" i="12"/>
  <c r="Z21" i="12" s="1"/>
  <c r="Y22" i="12"/>
  <c r="Z22" i="12" s="1"/>
  <c r="Y23" i="12"/>
  <c r="Z23" i="12" s="1"/>
  <c r="Y24" i="12"/>
  <c r="Z24" i="12" s="1"/>
  <c r="Y25" i="12"/>
  <c r="Z25" i="12" s="1"/>
  <c r="Y26" i="12"/>
  <c r="Z26" i="12" s="1"/>
  <c r="Y27" i="12"/>
  <c r="Z27" i="12" s="1"/>
  <c r="Y28" i="12"/>
  <c r="Z28" i="12" s="1"/>
  <c r="Y29" i="12"/>
  <c r="Z29" i="12" s="1"/>
  <c r="Y30" i="12"/>
  <c r="Z30" i="12" s="1"/>
  <c r="Y31" i="12"/>
  <c r="Z31" i="12" s="1"/>
  <c r="Y32" i="12"/>
  <c r="Z32" i="12" s="1"/>
  <c r="Y33" i="12"/>
  <c r="Z33" i="12" s="1"/>
  <c r="Y34" i="12"/>
  <c r="Z34" i="12" s="1"/>
  <c r="Y35" i="12"/>
  <c r="Z35" i="12" s="1"/>
  <c r="Y36" i="12"/>
  <c r="Z36" i="12" s="1"/>
  <c r="Y37" i="12"/>
  <c r="Z37" i="12" s="1"/>
  <c r="Y38" i="12"/>
  <c r="Z38" i="12" s="1"/>
  <c r="Y39" i="12"/>
  <c r="Z39" i="12" s="1"/>
  <c r="Y40" i="12"/>
  <c r="Z40" i="12" s="1"/>
  <c r="Y41" i="12"/>
  <c r="Z41" i="12" s="1"/>
  <c r="Y42" i="12"/>
  <c r="Z42" i="12" s="1"/>
  <c r="Y43" i="12"/>
  <c r="Z43" i="12" s="1"/>
  <c r="Y44" i="12"/>
  <c r="Z44" i="12" s="1"/>
  <c r="Y45" i="12"/>
  <c r="Z45" i="12" s="1"/>
  <c r="Y46" i="12"/>
  <c r="Z46" i="12" s="1"/>
  <c r="Y47" i="12"/>
  <c r="Z47" i="12" s="1"/>
  <c r="Y48" i="12"/>
  <c r="Z48" i="12" s="1"/>
  <c r="Y49" i="12"/>
  <c r="Z49" i="12" s="1"/>
  <c r="Y50" i="12"/>
  <c r="Z50" i="12" s="1"/>
  <c r="Y51" i="12"/>
  <c r="Z51" i="12" s="1"/>
  <c r="Y52" i="12"/>
  <c r="Z52" i="12" s="1"/>
  <c r="Y53" i="12"/>
  <c r="Z53" i="12" s="1"/>
  <c r="Y54" i="12"/>
  <c r="Z54" i="12" s="1"/>
  <c r="Y55" i="12"/>
  <c r="Z55" i="12" s="1"/>
  <c r="Y56" i="12"/>
  <c r="Z56" i="12" s="1"/>
  <c r="Y57" i="12"/>
  <c r="Z57" i="12" s="1"/>
  <c r="Y58" i="12"/>
  <c r="Z58" i="12" s="1"/>
  <c r="Y59" i="12"/>
  <c r="Z59" i="12" s="1"/>
  <c r="Y60" i="12"/>
  <c r="Z60" i="12" s="1"/>
  <c r="Y61" i="12"/>
  <c r="Z61" i="12" s="1"/>
  <c r="Y62" i="12"/>
  <c r="Z62" i="12" s="1"/>
  <c r="Y63" i="12"/>
  <c r="Z63" i="12" s="1"/>
  <c r="Y64" i="12"/>
  <c r="Z64" i="12" s="1"/>
  <c r="Y65" i="12"/>
  <c r="Z65" i="12" s="1"/>
  <c r="Y66" i="12"/>
  <c r="Z66" i="12" s="1"/>
  <c r="Y67" i="12"/>
  <c r="Z67" i="12" s="1"/>
  <c r="Y68" i="12"/>
  <c r="Z68" i="12" s="1"/>
  <c r="Y69" i="12"/>
  <c r="Z69" i="12" s="1"/>
  <c r="Y70" i="12"/>
  <c r="Z70" i="12" s="1"/>
  <c r="Y71" i="12"/>
  <c r="Z71" i="12" s="1"/>
  <c r="Y72" i="12"/>
  <c r="Z72" i="12" s="1"/>
  <c r="Y73" i="12"/>
  <c r="Z73" i="12" s="1"/>
  <c r="Y74" i="12"/>
  <c r="Z74" i="12" s="1"/>
  <c r="Y75" i="12"/>
  <c r="Z75" i="12" s="1"/>
  <c r="Y76" i="12"/>
  <c r="Z76" i="12" s="1"/>
  <c r="Y77" i="12"/>
  <c r="Z77" i="12" s="1"/>
  <c r="Y78" i="12"/>
  <c r="Z78" i="12" s="1"/>
  <c r="Y79" i="12"/>
  <c r="Z79" i="12" s="1"/>
  <c r="Y80" i="12"/>
  <c r="Z80" i="12" s="1"/>
  <c r="Y81" i="12"/>
  <c r="Z81" i="12" s="1"/>
  <c r="Y82" i="12"/>
  <c r="Z82" i="12" s="1"/>
  <c r="Y83" i="12"/>
  <c r="Z83" i="12" s="1"/>
  <c r="Y84" i="12"/>
  <c r="Z84" i="12" s="1"/>
  <c r="Y85" i="12"/>
  <c r="Z85" i="12" s="1"/>
  <c r="Y86" i="12"/>
  <c r="Z86" i="12" s="1"/>
  <c r="Y87" i="12"/>
  <c r="Z87" i="12" s="1"/>
  <c r="Y88" i="12"/>
  <c r="Z88" i="12" s="1"/>
  <c r="Y89" i="12"/>
  <c r="Z89" i="12" s="1"/>
  <c r="Y90" i="12"/>
  <c r="Z90" i="12" s="1"/>
  <c r="Y91" i="12"/>
  <c r="Z91" i="12" s="1"/>
  <c r="Y92" i="12"/>
  <c r="Z92" i="12" s="1"/>
  <c r="Y93" i="12"/>
  <c r="Z93" i="12" s="1"/>
  <c r="Y94" i="12"/>
  <c r="Z94" i="12" s="1"/>
  <c r="Y95" i="12"/>
  <c r="Z95" i="12" s="1"/>
  <c r="Y96" i="12"/>
  <c r="Z96" i="12" s="1"/>
  <c r="Y97" i="12"/>
  <c r="Z97" i="12" s="1"/>
  <c r="Y98" i="12"/>
  <c r="Z98" i="12" s="1"/>
  <c r="Y99" i="12"/>
  <c r="Z99" i="12" s="1"/>
  <c r="Y100" i="12"/>
  <c r="Z100" i="12" s="1"/>
  <c r="Y101" i="12"/>
  <c r="Z101" i="12" s="1"/>
  <c r="Y102" i="12"/>
  <c r="Z102" i="12" s="1"/>
  <c r="Y103" i="12"/>
  <c r="Z103" i="12" s="1"/>
  <c r="Y104" i="12"/>
  <c r="Z104" i="12" s="1"/>
  <c r="Y105" i="12"/>
  <c r="Z105" i="12" s="1"/>
  <c r="Y106" i="12"/>
  <c r="Z106" i="12" s="1"/>
  <c r="Y107" i="12"/>
  <c r="Z107" i="12" s="1"/>
  <c r="Y108" i="12"/>
  <c r="Z108" i="12" s="1"/>
  <c r="Y109" i="12"/>
  <c r="Z109" i="12" s="1"/>
  <c r="Y110" i="12"/>
  <c r="Z110" i="12" s="1"/>
  <c r="Y111" i="12"/>
  <c r="Z111" i="12" s="1"/>
  <c r="Y112" i="12"/>
  <c r="Z112" i="12" s="1"/>
  <c r="Y113" i="12"/>
  <c r="Z113" i="12" s="1"/>
  <c r="Y114" i="12"/>
  <c r="Z114" i="12" s="1"/>
  <c r="Y115" i="12"/>
  <c r="Z115" i="12" s="1"/>
  <c r="Y116" i="12"/>
  <c r="Z116" i="12" s="1"/>
  <c r="Y117" i="12"/>
  <c r="Z117" i="12" s="1"/>
  <c r="Y4" i="12"/>
  <c r="Z4" i="12" s="1"/>
  <c r="P5" i="16" l="1"/>
  <c r="M4" i="16"/>
  <c r="M9" i="16"/>
  <c r="M12" i="16" s="1"/>
  <c r="T54" i="16"/>
  <c r="N9" i="16"/>
  <c r="O2" i="16"/>
  <c r="O9" i="16" s="1"/>
  <c r="P8" i="16"/>
  <c r="P7" i="16"/>
  <c r="P6" i="16"/>
  <c r="N4" i="16"/>
  <c r="V134" i="12"/>
  <c r="W119" i="12" s="1"/>
  <c r="AA104" i="12"/>
  <c r="AA76" i="12"/>
  <c r="O3" i="16"/>
  <c r="O10" i="16"/>
  <c r="N10" i="16"/>
  <c r="M10" i="16"/>
  <c r="F11" i="16"/>
  <c r="I11" i="16"/>
  <c r="E11" i="16"/>
  <c r="D11" i="16"/>
  <c r="C11" i="16"/>
  <c r="J11" i="16"/>
  <c r="H11" i="16"/>
  <c r="L11" i="16"/>
  <c r="K11" i="16"/>
  <c r="G11" i="16"/>
  <c r="AA103" i="12"/>
  <c r="AA117" i="12"/>
  <c r="AA71" i="12"/>
  <c r="AA57" i="12"/>
  <c r="AA43" i="12"/>
  <c r="AA29" i="12"/>
  <c r="AA30" i="12"/>
  <c r="AA58" i="12"/>
  <c r="AA100" i="12"/>
  <c r="AA14" i="12"/>
  <c r="AA16" i="12"/>
  <c r="AA44" i="12"/>
  <c r="AA28" i="12"/>
  <c r="Z118" i="12"/>
  <c r="Z134" i="12" s="1"/>
  <c r="AA15" i="12"/>
  <c r="AA98" i="12"/>
  <c r="AA42" i="12"/>
  <c r="AA56" i="12"/>
  <c r="AA78" i="12"/>
  <c r="X118" i="12"/>
  <c r="X134" i="12" s="1"/>
  <c r="AA110" i="12"/>
  <c r="AA96" i="12"/>
  <c r="AA83" i="12"/>
  <c r="AA69" i="12"/>
  <c r="AA55" i="12"/>
  <c r="AA13" i="12"/>
  <c r="AA68" i="12"/>
  <c r="AA54" i="12"/>
  <c r="AA40" i="12"/>
  <c r="AA26" i="12"/>
  <c r="AA12" i="12"/>
  <c r="AA27" i="12"/>
  <c r="AA41" i="12"/>
  <c r="AA75" i="12"/>
  <c r="AA77" i="12"/>
  <c r="AA116" i="12"/>
  <c r="AA102" i="12"/>
  <c r="AA60" i="12"/>
  <c r="AA46" i="12"/>
  <c r="AA32" i="12"/>
  <c r="AA18" i="12"/>
  <c r="AA87" i="12"/>
  <c r="AA73" i="12"/>
  <c r="AA59" i="12"/>
  <c r="AA45" i="12"/>
  <c r="AA31" i="12"/>
  <c r="AA17" i="12"/>
  <c r="AA112" i="12"/>
  <c r="AA84" i="12"/>
  <c r="AA85" i="12"/>
  <c r="AA109" i="12"/>
  <c r="AA95" i="12"/>
  <c r="AA81" i="12"/>
  <c r="AA67" i="12"/>
  <c r="AA53" i="12"/>
  <c r="AA39" i="12"/>
  <c r="AA25" i="12"/>
  <c r="AA11" i="12"/>
  <c r="AA114" i="12"/>
  <c r="AA108" i="12"/>
  <c r="AA94" i="12"/>
  <c r="AA80" i="12"/>
  <c r="AA66" i="12"/>
  <c r="AA52" i="12"/>
  <c r="AA38" i="12"/>
  <c r="AA24" i="12"/>
  <c r="AA10" i="12"/>
  <c r="AA93" i="12"/>
  <c r="AA79" i="12"/>
  <c r="AA65" i="12"/>
  <c r="AA51" i="12"/>
  <c r="AA37" i="12"/>
  <c r="AA23" i="12"/>
  <c r="AA9" i="12"/>
  <c r="AA106" i="12"/>
  <c r="AA64" i="12"/>
  <c r="AA50" i="12"/>
  <c r="AA36" i="12"/>
  <c r="AA22" i="12"/>
  <c r="AA8" i="12"/>
  <c r="AA91" i="12"/>
  <c r="AA63" i="12"/>
  <c r="AA49" i="12"/>
  <c r="AA35" i="12"/>
  <c r="AA21" i="12"/>
  <c r="AA7" i="12"/>
  <c r="AA4" i="12"/>
  <c r="AA62" i="12"/>
  <c r="AA48" i="12"/>
  <c r="AA34" i="12"/>
  <c r="AA20" i="12"/>
  <c r="AA6" i="12"/>
  <c r="AA89" i="12"/>
  <c r="AA61" i="12"/>
  <c r="AA47" i="12"/>
  <c r="AA33" i="12"/>
  <c r="AA19" i="12"/>
  <c r="AA5" i="12"/>
  <c r="AA107" i="12"/>
  <c r="AA92" i="12"/>
  <c r="AA105" i="12"/>
  <c r="AA101" i="12"/>
  <c r="AA86" i="12"/>
  <c r="AA72" i="12"/>
  <c r="AA88" i="12"/>
  <c r="AA74" i="12"/>
  <c r="AA115" i="12"/>
  <c r="AA113" i="12"/>
  <c r="AA99" i="12"/>
  <c r="AA90" i="12"/>
  <c r="AA111" i="12"/>
  <c r="AA97" i="12"/>
  <c r="AA82" i="12"/>
  <c r="AA70" i="12"/>
  <c r="M11" i="16" l="1"/>
  <c r="N11" i="16"/>
  <c r="O4" i="16"/>
  <c r="P2" i="16"/>
  <c r="P9" i="16" s="1"/>
  <c r="P3" i="16"/>
  <c r="O11" i="16"/>
  <c r="AA118" i="12"/>
  <c r="AA134" i="12" s="1"/>
  <c r="P4" i="16" l="1"/>
  <c r="P10" i="16"/>
  <c r="P11" i="16" s="1"/>
  <c r="AB118" i="12"/>
  <c r="AB18" i="12"/>
  <c r="AB32" i="12"/>
  <c r="AB46" i="12"/>
  <c r="AB60" i="12"/>
  <c r="AB74" i="12"/>
  <c r="AB88" i="12"/>
  <c r="AB102" i="12"/>
  <c r="AB116" i="12"/>
  <c r="AB5" i="12"/>
  <c r="AB19" i="12"/>
  <c r="AB33" i="12"/>
  <c r="AB47" i="12"/>
  <c r="AB61" i="12"/>
  <c r="AB75" i="12"/>
  <c r="AB89" i="12"/>
  <c r="AB103" i="12"/>
  <c r="AB117" i="12"/>
  <c r="AB6" i="12"/>
  <c r="AB20" i="12"/>
  <c r="AB34" i="12"/>
  <c r="AB48" i="12"/>
  <c r="AB62" i="12"/>
  <c r="AB90" i="12"/>
  <c r="AB4" i="12"/>
  <c r="AB7" i="12"/>
  <c r="AB21" i="12"/>
  <c r="AB35" i="12"/>
  <c r="AB49" i="12"/>
  <c r="AB63" i="12"/>
  <c r="AB77" i="12"/>
  <c r="AB91" i="12"/>
  <c r="AB105" i="12"/>
  <c r="AB22" i="12"/>
  <c r="AB36" i="12"/>
  <c r="AB50" i="12"/>
  <c r="AB64" i="12"/>
  <c r="AB78" i="12"/>
  <c r="AB92" i="12"/>
  <c r="AB106" i="12"/>
  <c r="AB9" i="12"/>
  <c r="AB23" i="12"/>
  <c r="AB37" i="12"/>
  <c r="AB51" i="12"/>
  <c r="AB65" i="12"/>
  <c r="AB79" i="12"/>
  <c r="AB93" i="12"/>
  <c r="AB107" i="12"/>
  <c r="AB10" i="12"/>
  <c r="AB24" i="12"/>
  <c r="AB38" i="12"/>
  <c r="AB52" i="12"/>
  <c r="AB66" i="12"/>
  <c r="AB80" i="12"/>
  <c r="AB94" i="12"/>
  <c r="AB108" i="12"/>
  <c r="AB11" i="12"/>
  <c r="AB25" i="12"/>
  <c r="AB39" i="12"/>
  <c r="AB53" i="12"/>
  <c r="AB67" i="12"/>
  <c r="AB81" i="12"/>
  <c r="AB95" i="12"/>
  <c r="AB109" i="12"/>
  <c r="AB26" i="12"/>
  <c r="AB40" i="12"/>
  <c r="AB54" i="12"/>
  <c r="AB68" i="12"/>
  <c r="AB82" i="12"/>
  <c r="AB96" i="12"/>
  <c r="AB110" i="12"/>
  <c r="AB13" i="12"/>
  <c r="AB27" i="12"/>
  <c r="AB41" i="12"/>
  <c r="AB55" i="12"/>
  <c r="AB69" i="12"/>
  <c r="AB83" i="12"/>
  <c r="AB97" i="12"/>
  <c r="AB111" i="12"/>
  <c r="AB14" i="12"/>
  <c r="AB28" i="12"/>
  <c r="AB42" i="12"/>
  <c r="AB56" i="12"/>
  <c r="AB70" i="12"/>
  <c r="AB84" i="12"/>
  <c r="AB98" i="12"/>
  <c r="AB112" i="12"/>
  <c r="AB29" i="12"/>
  <c r="AB43" i="12"/>
  <c r="AB57" i="12"/>
  <c r="AB71" i="12"/>
  <c r="AB85" i="12"/>
  <c r="AB99" i="12"/>
  <c r="AB113" i="12"/>
  <c r="AB16" i="12"/>
  <c r="AB44" i="12"/>
  <c r="AB58" i="12"/>
  <c r="AB72" i="12"/>
  <c r="AB86" i="12"/>
  <c r="AB100" i="12"/>
  <c r="AB114" i="12"/>
  <c r="AB17" i="12"/>
  <c r="AB31" i="12"/>
  <c r="AB45" i="12"/>
  <c r="AB73" i="12"/>
  <c r="AB87" i="12"/>
  <c r="AB101" i="12"/>
  <c r="AB115" i="12"/>
  <c r="AB104" i="12"/>
  <c r="AB8" i="12"/>
  <c r="AB59" i="12"/>
  <c r="AB76" i="12"/>
  <c r="AB30" i="12"/>
  <c r="AB12" i="12"/>
  <c r="AB15" i="12"/>
  <c r="V4" i="13"/>
  <c r="V5" i="13"/>
  <c r="V6" i="13"/>
  <c r="V7" i="13"/>
  <c r="V8" i="13"/>
  <c r="V9" i="13"/>
  <c r="V10" i="13"/>
  <c r="V11" i="13"/>
  <c r="V12" i="13"/>
  <c r="V13" i="13"/>
  <c r="V14" i="13"/>
  <c r="V15" i="13"/>
  <c r="V16" i="13"/>
  <c r="V17" i="13"/>
  <c r="V18" i="13"/>
  <c r="V19" i="13"/>
  <c r="V20" i="13"/>
  <c r="V21" i="13"/>
  <c r="V22" i="13"/>
  <c r="V23" i="13"/>
  <c r="V24" i="13"/>
  <c r="V25" i="13"/>
  <c r="V26" i="13"/>
  <c r="V28" i="13"/>
  <c r="V29" i="13"/>
  <c r="V30" i="13"/>
  <c r="V31" i="13"/>
  <c r="V32" i="13"/>
  <c r="V33" i="13"/>
  <c r="V34" i="13"/>
  <c r="V35" i="13"/>
  <c r="V36" i="13"/>
  <c r="V37" i="13" l="1"/>
  <c r="C11" i="2" l="1"/>
  <c r="C3" i="1"/>
  <c r="C5" i="1" l="1"/>
  <c r="I16" i="1"/>
  <c r="J16" i="1" s="1"/>
  <c r="D27" i="1"/>
  <c r="C27" i="1"/>
  <c r="C28" i="1" s="1"/>
  <c r="C29" i="1" s="1"/>
  <c r="D17" i="1"/>
  <c r="E17" i="1"/>
  <c r="C17" i="1"/>
  <c r="C9" i="2"/>
  <c r="C8" i="2"/>
  <c r="C7" i="2"/>
  <c r="C12" i="2" s="1"/>
  <c r="D12" i="2" s="1"/>
  <c r="C14" i="2" s="1"/>
  <c r="C6" i="2"/>
  <c r="C10" i="2" s="1"/>
  <c r="D10" i="2" s="1"/>
  <c r="C4" i="2"/>
  <c r="C3" i="2"/>
  <c r="C2" i="2"/>
  <c r="D28" i="1" l="1"/>
  <c r="E7" i="1"/>
  <c r="C18" i="1"/>
  <c r="D7" i="1" s="1"/>
  <c r="D8" i="1" s="1"/>
  <c r="F27" i="1"/>
  <c r="C5" i="2"/>
  <c r="D5" i="2" s="1"/>
  <c r="C7" i="1" l="1"/>
  <c r="F7" i="1" l="1"/>
  <c r="C8" i="1"/>
  <c r="F8" i="1" s="1"/>
  <c r="F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tc={B32C801B-143E-45B9-9AE2-A76B5933FAAB}</author>
    <author>tc={6AC9F19A-8284-46A1-AEFB-FD284BB1F1B1}</author>
    <author>tc={F9449367-E7BB-45AF-BF62-5A0E8D512A1C}</author>
    <author>tc={B757FBBD-5ABB-4AB1-9405-B631FE1A7280}</author>
    <author>tc={395D93F6-2ED0-4CBD-865B-F6F9FF495C5A}</author>
    <author>tc={DF9F66F9-661E-4862-8A53-8D155DD2C11D}</author>
    <author>tc={6B9AF778-53C7-4C1D-B796-D063F8ED0AA4}</author>
  </authors>
  <commentList>
    <comment ref="C1" authorId="0" shapeId="0" xr:uid="{B32C801B-143E-45B9-9AE2-A76B5933FAAB}">
      <text>
        <t>[Threaded comment]
Your version of Excel allows you to read this threaded comment; however, any edits to it will get removed if the file is opened in a newer version of Excel. Learn more: https://go.microsoft.com/fwlink/?linkid=870924
Comment:
    Placeholder (To Be Filled)</t>
      </text>
    </comment>
    <comment ref="C2" authorId="1" shapeId="0" xr:uid="{6AC9F19A-8284-46A1-AEFB-FD284BB1F1B1}">
      <text>
        <t>[Threaded comment]
Your version of Excel allows you to read this threaded comment; however, any edits to it will get removed if the file is opened in a newer version of Excel. Learn more: https://go.microsoft.com/fwlink/?linkid=870924
Comment:
    Placeholder (To Be Filled)
It should be the natural frequency of usage for the product</t>
      </text>
    </comment>
    <comment ref="C3" authorId="2" shapeId="0" xr:uid="{F9449367-E7BB-45AF-BF62-5A0E8D512A1C}">
      <text>
        <t>[Threaded comment]
Your version of Excel allows you to read this threaded comment; however, any edits to it will get removed if the file is opened in a newer version of Excel. Learn more: https://go.microsoft.com/fwlink/?linkid=870924
Comment:
    Assuming 260 working days a year
Reply:
    200 after removing holidays and all</t>
      </text>
    </comment>
    <comment ref="C8" authorId="3" shapeId="0" xr:uid="{B757FBBD-5ABB-4AB1-9405-B631FE1A7280}">
      <text>
        <t>[Threaded comment]
Your version of Excel allows you to read this threaded comment; however, any edits to it will get removed if the file is opened in a newer version of Excel. Learn more: https://go.microsoft.com/fwlink/?linkid=870924
Comment:
    Assuming 10% of queries are reasoning based</t>
      </text>
    </comment>
    <comment ref="D8" authorId="4" shapeId="0" xr:uid="{395D93F6-2ED0-4CBD-865B-F6F9FF495C5A}">
      <text>
        <t>[Threaded comment]
Your version of Excel allows you to read this threaded comment; however, any edits to it will get removed if the file is opened in a newer version of Excel. Learn more: https://go.microsoft.com/fwlink/?linkid=870924
Comment:
    Assuming 5 simple questions per complex question</t>
      </text>
    </comment>
    <comment ref="C15" authorId="5" shapeId="0" xr:uid="{DF9F66F9-661E-4862-8A53-8D155DD2C11D}">
      <text>
        <t>[Threaded comment]
Your version of Excel allows you to read this threaded comment; however, any edits to it will get removed if the file is opened in a newer version of Excel. Learn more: https://go.microsoft.com/fwlink/?linkid=870924
Comment:
    Change the estimate based on the 3 modes</t>
      </text>
    </comment>
    <comment ref="B21" authorId="6" shapeId="0" xr:uid="{6B9AF778-53C7-4C1D-B796-D063F8ED0AA4}">
      <text>
        <t>[Threaded comment]
Your version of Excel allows you to read this threaded comment; however, any edits to it will get removed if the file is opened in a newer version of Excel. Learn more: https://go.microsoft.com/fwlink/?linkid=870924
Comment:
    We need to update these numbers</t>
      </text>
    </comment>
  </commentList>
</comments>
</file>

<file path=xl/sharedStrings.xml><?xml version="1.0" encoding="utf-8"?>
<sst xmlns="http://schemas.openxmlformats.org/spreadsheetml/2006/main" count="20431" uniqueCount="349">
  <si>
    <t>#Users</t>
  </si>
  <si>
    <t>#Questions per user per day</t>
  </si>
  <si>
    <t>#Queries per year</t>
  </si>
  <si>
    <t>% Complex Queries</t>
  </si>
  <si>
    <t>% Simple Queries</t>
  </si>
  <si>
    <t>Type</t>
  </si>
  <si>
    <t>#query/year</t>
  </si>
  <si>
    <t>Cost/query</t>
  </si>
  <si>
    <t>Fixed Infra Cost/ year</t>
  </si>
  <si>
    <t>Cost/year</t>
  </si>
  <si>
    <t>Simple Queries</t>
  </si>
  <si>
    <t>Reasoning Queries</t>
  </si>
  <si>
    <t>Total Cost</t>
  </si>
  <si>
    <t>Simple</t>
  </si>
  <si>
    <t>gpt4o</t>
  </si>
  <si>
    <t>gpt3.5_turbo</t>
  </si>
  <si>
    <t>text_embedding_ada</t>
  </si>
  <si>
    <t>#Tokens</t>
  </si>
  <si>
    <t>#Documents</t>
  </si>
  <si>
    <t>#Pages per document</t>
  </si>
  <si>
    <t>Total Cost (Assumes 400 tokens per page)</t>
  </si>
  <si>
    <t>Cost per 1000 tokens</t>
  </si>
  <si>
    <t>LLM Cost (per question)</t>
  </si>
  <si>
    <t>#Questions per domain per year</t>
  </si>
  <si>
    <t>Total LLM Cost</t>
  </si>
  <si>
    <t>Redis Cost</t>
  </si>
  <si>
    <t>AKS Cost</t>
  </si>
  <si>
    <t>DB Cost</t>
  </si>
  <si>
    <t>SB Cost</t>
  </si>
  <si>
    <t>Add Timestamp &amp; Cost Simulator</t>
  </si>
  <si>
    <t>APIM Cost</t>
  </si>
  <si>
    <t>ADB Cost</t>
  </si>
  <si>
    <t>Infra Cost (per month)</t>
  </si>
  <si>
    <t>Infra Cost (per year)</t>
  </si>
  <si>
    <t>Complex</t>
  </si>
  <si>
    <t>gpt4_turbo</t>
  </si>
  <si>
    <t>Cost per Token</t>
  </si>
  <si>
    <t>LLM Cost</t>
  </si>
  <si>
    <t>Infra Cost</t>
  </si>
  <si>
    <t>Item</t>
  </si>
  <si>
    <t>Cost/month</t>
  </si>
  <si>
    <t>Total</t>
  </si>
  <si>
    <t>Comments</t>
  </si>
  <si>
    <t>UI/UX Engineer</t>
  </si>
  <si>
    <t>QA Tester/ Scrum Master</t>
  </si>
  <si>
    <t>DevOps Engineer/ Product Manager</t>
  </si>
  <si>
    <t>Shared Development Resource Cost</t>
  </si>
  <si>
    <r>
      <t xml:space="preserve">3 resources, 12 months. Sponsored from </t>
    </r>
    <r>
      <rPr>
        <b/>
        <sz val="11"/>
        <color theme="1"/>
        <rFont val="Calibri"/>
        <family val="2"/>
        <scheme val="minor"/>
      </rPr>
      <t>GAC Analytics CapEx</t>
    </r>
  </si>
  <si>
    <t>Technical Architect/ Data Engineer</t>
  </si>
  <si>
    <t>Data Scientist</t>
  </si>
  <si>
    <t>ML Engineer</t>
  </si>
  <si>
    <t>BackEnd Engineer</t>
  </si>
  <si>
    <t>Dedicated Development Resource Cost</t>
  </si>
  <si>
    <t xml:space="preserve">4 resources, 6 months. </t>
  </si>
  <si>
    <t>Data Scientist/ML Engineer</t>
  </si>
  <si>
    <t>Maintenance Resource Cost</t>
  </si>
  <si>
    <t>2 resource, 6 months</t>
  </si>
  <si>
    <t>R&amp;D Partnership cost</t>
  </si>
  <si>
    <t>ABI BREWDAT GLOBAL GAI DEV</t>
  </si>
  <si>
    <t>Subscription</t>
  </si>
  <si>
    <t>Column Labels</t>
  </si>
  <si>
    <t>2025-01-01</t>
  </si>
  <si>
    <t>2025-02-01</t>
  </si>
  <si>
    <t>2025-03-01</t>
  </si>
  <si>
    <t>2025-04-01</t>
  </si>
  <si>
    <t>2025-05-01</t>
  </si>
  <si>
    <t>2025-06-01</t>
  </si>
  <si>
    <t>2025-07-01</t>
  </si>
  <si>
    <t>2025-08-01</t>
  </si>
  <si>
    <t>2025-09-01</t>
  </si>
  <si>
    <t>Row Labels</t>
  </si>
  <si>
    <t>App Configuration</t>
  </si>
  <si>
    <t>Application Gateway</t>
  </si>
  <si>
    <t>Azure App Service</t>
  </si>
  <si>
    <t>Azure Applied AI Services</t>
  </si>
  <si>
    <t>Azure Bastion</t>
  </si>
  <si>
    <t>Azure Cognitive Search</t>
  </si>
  <si>
    <t>Azure Data Factory v2</t>
  </si>
  <si>
    <t>Azure Database for PostgreSQL</t>
  </si>
  <si>
    <t>Azure Databricks</t>
  </si>
  <si>
    <t>Azure DNS</t>
  </si>
  <si>
    <t>Azure Monitor</t>
  </si>
  <si>
    <t>Backup</t>
  </si>
  <si>
    <t>Bandwidth</t>
  </si>
  <si>
    <t>Cognitive Services</t>
  </si>
  <si>
    <t>Container Registry</t>
  </si>
  <si>
    <t>Email</t>
  </si>
  <si>
    <t>Event Grid</t>
  </si>
  <si>
    <t>Event Hubs</t>
  </si>
  <si>
    <t>Key Vault</t>
  </si>
  <si>
    <t>Load Balancer</t>
  </si>
  <si>
    <t>Log Analytics</t>
  </si>
  <si>
    <t>Logic Apps</t>
  </si>
  <si>
    <t>Microsoft Defender for Cloud</t>
  </si>
  <si>
    <t>NAT Gateway</t>
  </si>
  <si>
    <t>Redis Cache</t>
  </si>
  <si>
    <t>Service Bus</t>
  </si>
  <si>
    <t>SignalR</t>
  </si>
  <si>
    <t>SQL Database</t>
  </si>
  <si>
    <t>Storage</t>
  </si>
  <si>
    <t>Unassigned</t>
  </si>
  <si>
    <t>Virtual Machines</t>
  </si>
  <si>
    <t>Virtual Network</t>
  </si>
  <si>
    <t>Web PubSub</t>
  </si>
  <si>
    <t>Grand Total</t>
  </si>
  <si>
    <t>UsageDate</t>
  </si>
  <si>
    <t>PublisherType</t>
  </si>
  <si>
    <t>ChargeType</t>
  </si>
  <si>
    <t>ServiceName</t>
  </si>
  <si>
    <t>ServiceTier</t>
  </si>
  <si>
    <t>CostUSD</t>
  </si>
  <si>
    <t>Cost</t>
  </si>
  <si>
    <t>Currency</t>
  </si>
  <si>
    <t>Azure</t>
  </si>
  <si>
    <t>Usage</t>
  </si>
  <si>
    <t>EUR</t>
  </si>
  <si>
    <t>Application Gateway Standard v2</t>
  </si>
  <si>
    <t>Azure App Service Free Plan - Linux</t>
  </si>
  <si>
    <t>Azure App Service Premium v3 Plan - Linux</t>
  </si>
  <si>
    <t>Azure App Service Std Plan-Linux</t>
  </si>
  <si>
    <t>Static Web Apps</t>
  </si>
  <si>
    <t>Az Form Recognizer</t>
  </si>
  <si>
    <t>Azure AI Search</t>
  </si>
  <si>
    <t>Az DB for PG Flex Stg</t>
  </si>
  <si>
    <t>Az DB for PostgreSQL Flex Ddsv5 Comp</t>
  </si>
  <si>
    <t>Az DB for PostgreSQL Flexible Dsv3 Compute</t>
  </si>
  <si>
    <t>Az DB Regional</t>
  </si>
  <si>
    <t>Bd Inter-Rgn</t>
  </si>
  <si>
    <t>Rtn Pref: MGN</t>
  </si>
  <si>
    <t>OpenAI</t>
  </si>
  <si>
    <t>Defender  for Containers</t>
  </si>
  <si>
    <t>Microsoft Def for App Service</t>
  </si>
  <si>
    <t>Microsoft Def for Key Vault</t>
  </si>
  <si>
    <t>Microsoft Def for PostgreSQL</t>
  </si>
  <si>
    <t>Microsoft Def for Resource Manager</t>
  </si>
  <si>
    <t>Microsoft Def for SQL</t>
  </si>
  <si>
    <t>Microsoft Def for Storage</t>
  </si>
  <si>
    <t>Microsoft Defender CSPM</t>
  </si>
  <si>
    <t>Az Redis Ent</t>
  </si>
  <si>
    <t>SQL DB Elastic Pool-Std</t>
  </si>
  <si>
    <t>SQL DB Single Premium</t>
  </si>
  <si>
    <t>SQL DB Std-Storage</t>
  </si>
  <si>
    <t>Azure Data Lake Storage Gen2 Hier Namespace</t>
  </si>
  <si>
    <t>Blob Storage</t>
  </si>
  <si>
    <t>Files</t>
  </si>
  <si>
    <t>Files v2</t>
  </si>
  <si>
    <t>General Block Blob</t>
  </si>
  <si>
    <t>General Block Blob v2 Hierarchical Namespace</t>
  </si>
  <si>
    <t>Premium SSD Managed Disks</t>
  </si>
  <si>
    <t>Queues</t>
  </si>
  <si>
    <t>Queues v2</t>
  </si>
  <si>
    <t>Standard SSD Managed Disks</t>
  </si>
  <si>
    <t>Std HDD</t>
  </si>
  <si>
    <t>Storage - Bandwidth</t>
  </si>
  <si>
    <t>Tables</t>
  </si>
  <si>
    <t>Ddsv5 Series VM</t>
  </si>
  <si>
    <t>Ddv4 Series VM</t>
  </si>
  <si>
    <t>Dsv5 Series VM</t>
  </si>
  <si>
    <t>Dsv5 Series Windows VM</t>
  </si>
  <si>
    <t>Dv2 Series VM</t>
  </si>
  <si>
    <t>Dv3 Series VM</t>
  </si>
  <si>
    <t>Eadsv5 Series VM</t>
  </si>
  <si>
    <t>Edsv4 Series VM</t>
  </si>
  <si>
    <t>Ev3 Series VM</t>
  </si>
  <si>
    <t>NCasT4 v3 Series VM</t>
  </si>
  <si>
    <t>IP Address</t>
  </si>
  <si>
    <t>Virtual Network Private Link</t>
  </si>
  <si>
    <t>Marketplace</t>
  </si>
  <si>
    <t>Purchase</t>
  </si>
  <si>
    <t>Azure App Service Free Plan</t>
  </si>
  <si>
    <t>DSv2 Series VM</t>
  </si>
  <si>
    <t>DSv3 Series VM</t>
  </si>
  <si>
    <t>Azure OpenAI Reasoning</t>
  </si>
  <si>
    <t>Dav4 Series VM</t>
  </si>
  <si>
    <t>Virtual Network Peering</t>
  </si>
  <si>
    <t>Dadsv5 Series VM</t>
  </si>
  <si>
    <t>F Series VM</t>
  </si>
  <si>
    <t>Azure OpenAI GPT5</t>
  </si>
  <si>
    <t>Ddv5 Series VM</t>
  </si>
  <si>
    <t>API Management</t>
  </si>
  <si>
    <t>Application Gateway WAF v2</t>
  </si>
  <si>
    <t>Azure App Service Premium v2 Plan-Linux</t>
  </si>
  <si>
    <t>Azure Cosmos DB</t>
  </si>
  <si>
    <t>Azure Cosmos DB for MongoDB vCore</t>
  </si>
  <si>
    <t>Microsoft Def for DNS</t>
  </si>
  <si>
    <t>Azure Redis Cache Basic</t>
  </si>
  <si>
    <t>Ddsv4 Series VM</t>
  </si>
  <si>
    <t>Dsv4 Series VM</t>
  </si>
  <si>
    <t>Dv3 Series Windows VM</t>
  </si>
  <si>
    <t>FSv2 Series VM</t>
  </si>
  <si>
    <t>Virtual Machines Licenses</t>
  </si>
  <si>
    <t>RHEL</t>
  </si>
  <si>
    <t>Azure Cosmos DB Data Transfer</t>
  </si>
  <si>
    <t>Standard Page Blob v2</t>
  </si>
  <si>
    <t>Global Virtual Network Peering</t>
  </si>
  <si>
    <t>ABI BREWDAT GLOBAL GAI QA</t>
  </si>
  <si>
    <t>ABI BREWDAT GLOBAL ANALYTICS</t>
  </si>
  <si>
    <t>Total % Split</t>
  </si>
  <si>
    <t>% Split</t>
  </si>
  <si>
    <t>Total Cost USD</t>
  </si>
  <si>
    <t>Cost USD</t>
  </si>
  <si>
    <t>Last 3 Month Avg</t>
  </si>
  <si>
    <t xml:space="preserve"> except Sept</t>
  </si>
  <si>
    <t>2025-10-01</t>
  </si>
  <si>
    <t>Q4 Estimate</t>
  </si>
  <si>
    <t>FY25 Estimate</t>
  </si>
  <si>
    <t/>
  </si>
  <si>
    <t>Q3 YTD Total</t>
  </si>
  <si>
    <t>using Q3 Avg</t>
  </si>
  <si>
    <t>Q3 Monthly</t>
  </si>
  <si>
    <t xml:space="preserve"> Average</t>
  </si>
  <si>
    <t>Resources</t>
  </si>
  <si>
    <t>FY25E Split</t>
  </si>
  <si>
    <t>Month</t>
  </si>
  <si>
    <t>Queries</t>
  </si>
  <si>
    <t>Queries per user</t>
  </si>
  <si>
    <t>Staging</t>
  </si>
  <si>
    <t>Dev</t>
  </si>
  <si>
    <t>Preview</t>
  </si>
  <si>
    <t>Total queries</t>
  </si>
  <si>
    <t>Total users</t>
  </si>
  <si>
    <t>Query/user</t>
  </si>
  <si>
    <t>Environment</t>
  </si>
  <si>
    <t>Q3 Monthly Avg</t>
  </si>
  <si>
    <t>Cognitive Services (Non-BrewDat 3.0)</t>
  </si>
  <si>
    <t>genai-social-listening-svc-dev</t>
  </si>
  <si>
    <t>insight-copilot-openai</t>
  </si>
  <si>
    <t>insight-copilot-openai-gpt4-4</t>
  </si>
  <si>
    <t>insightscopilotwe01</t>
  </si>
  <si>
    <t>insights-copilot-gpt4-3</t>
  </si>
  <si>
    <t>brewdat-gb-openai-oai-ncus-a</t>
  </si>
  <si>
    <t>brewdat-gb-openai-oai03-eus2-a</t>
  </si>
  <si>
    <t>brewdatcopilotweopenai02</t>
  </si>
  <si>
    <t>insights-copilot-gbhenai-uk</t>
  </si>
  <si>
    <t>genai-common-mvp-openai-svc-2</t>
  </si>
  <si>
    <t>genai-common-mvp-openai-svc</t>
  </si>
  <si>
    <t>insight-copilot-openai2</t>
  </si>
  <si>
    <t>brewdat-gb-openai-oai01-eus2-a</t>
  </si>
  <si>
    <t>Total (BrewDat + Non BrewDat)</t>
  </si>
  <si>
    <t>Queries -&gt; Tokens</t>
  </si>
  <si>
    <t>tokens</t>
  </si>
  <si>
    <t>BG Power</t>
  </si>
  <si>
    <t>BG Country Highlights</t>
  </si>
  <si>
    <t>Queries -&gt; DTU/DBU cost?</t>
  </si>
  <si>
    <t>In both cases, there will be high cost discrepancy between structured and unstructured usecases</t>
  </si>
  <si>
    <t>LCA Response</t>
  </si>
  <si>
    <t>Approach</t>
  </si>
  <si>
    <t>At a product level</t>
  </si>
  <si>
    <t>At a usecase level</t>
  </si>
  <si>
    <t>Pros</t>
  </si>
  <si>
    <t>Cons</t>
  </si>
  <si>
    <t>- Difficult to attribute to usecase/user level</t>
  </si>
  <si>
    <t>- Easy to attribute</t>
  </si>
  <si>
    <t>- Difficult to orchestrate</t>
  </si>
  <si>
    <t>- Easy to account costs in as-is state</t>
  </si>
  <si>
    <t>Can we split by usecase actuals</t>
  </si>
  <si>
    <t>How do we provide a cost simulator for 1YP for each domain</t>
  </si>
  <si>
    <t>Discontinue next year</t>
  </si>
  <si>
    <t>To be scaled</t>
  </si>
  <si>
    <t>Mainly for individual use + Production embeddings</t>
  </si>
  <si>
    <t>Fixed costs</t>
  </si>
  <si>
    <t>BrewDat has a fixed platform cost as % of total (~23% this year)</t>
  </si>
  <si>
    <t>Total +Platform</t>
  </si>
  <si>
    <t>Variable based on caching strategy</t>
  </si>
  <si>
    <t>Azure Document Intelligence</t>
  </si>
  <si>
    <t>Need to account for future usecases</t>
  </si>
  <si>
    <t>AT</t>
  </si>
  <si>
    <t>OpenAI + ADB</t>
  </si>
  <si>
    <t>Simple structured</t>
  </si>
  <si>
    <t>Simple unstrucutred</t>
  </si>
  <si>
    <t>Complexity</t>
  </si>
  <si>
    <t>Cost distribution with tokens</t>
  </si>
  <si>
    <t>OpenAI+Embedding (Batch)</t>
  </si>
  <si>
    <t>Independent variables</t>
  </si>
  <si>
    <t>Structured</t>
  </si>
  <si>
    <t>Number of tokens</t>
  </si>
  <si>
    <t>DB Utilization</t>
  </si>
  <si>
    <t>Unstructured</t>
  </si>
  <si>
    <t>Fixed cost</t>
  </si>
  <si>
    <t>Setup cost - Documents embeddings</t>
  </si>
  <si>
    <t>Variable cost</t>
  </si>
  <si>
    <t>Platform cost ~ 24% of total now</t>
  </si>
  <si>
    <t>Scaling factor</t>
  </si>
  <si>
    <t>Final Output</t>
  </si>
  <si>
    <t>APIM, Asmiov separate tags or LiteLLM Paid</t>
  </si>
  <si>
    <t>Databricks</t>
  </si>
  <si>
    <t>2X Small</t>
  </si>
  <si>
    <t>Query</t>
  </si>
  <si>
    <t>per hour</t>
  </si>
  <si>
    <t>Hours</t>
  </si>
  <si>
    <t>Time fo day</t>
  </si>
  <si>
    <t>6PM - 7PM</t>
  </si>
  <si>
    <t>7PM - 8PM</t>
  </si>
  <si>
    <t>6AM-7AM</t>
  </si>
  <si>
    <t>DBU Cost</t>
  </si>
  <si>
    <t>Running hours</t>
  </si>
  <si>
    <t>Usecase 1</t>
  </si>
  <si>
    <t>Usecase 2</t>
  </si>
  <si>
    <t>Usecase 3</t>
  </si>
  <si>
    <t>Concurrent user</t>
  </si>
  <si>
    <t>BG</t>
  </si>
  <si>
    <t>C2C</t>
  </si>
  <si>
    <t>BrewGPT</t>
  </si>
  <si>
    <t>c2c_dpo</t>
  </si>
  <si>
    <t>catexpert_qa_ghq</t>
  </si>
  <si>
    <t>check_and_coach</t>
  </si>
  <si>
    <t>corporate_affairs_ghq</t>
  </si>
  <si>
    <t>genai_for_o9</t>
  </si>
  <si>
    <t>logistics_transport_maz</t>
  </si>
  <si>
    <t>marketing_brand-guidance_ghq</t>
  </si>
  <si>
    <t>marketing_category_ghq</t>
  </si>
  <si>
    <t>marketing_connect_ghq</t>
  </si>
  <si>
    <t>marketing_mroi_ghq</t>
  </si>
  <si>
    <t>marketing_revman_ghq</t>
  </si>
  <si>
    <t>marketing_watchtower_naz</t>
  </si>
  <si>
    <t>people_workwise_ghq</t>
  </si>
  <si>
    <t>procurement_conversational-ai_ghq</t>
  </si>
  <si>
    <t>procurement_conversational-ai-po_ghq</t>
  </si>
  <si>
    <t>strategy_comp_intel_ghq</t>
  </si>
  <si>
    <t>strategy-insights_copilot_maz</t>
  </si>
  <si>
    <t>strategyinsights_copilot_saz</t>
  </si>
  <si>
    <t>sunlight_ghq</t>
  </si>
  <si>
    <t>supply_virtualgt_ghq</t>
  </si>
  <si>
    <t>tech_copilot_ghq</t>
  </si>
  <si>
    <t>testops_unstructured_ghq</t>
  </si>
  <si>
    <t>testops_structured_ghq</t>
  </si>
  <si>
    <t>test_project_1</t>
  </si>
  <si>
    <t>environment</t>
  </si>
  <si>
    <t>dev</t>
  </si>
  <si>
    <t>preview</t>
  </si>
  <si>
    <t>staging</t>
  </si>
  <si>
    <t>Long AT</t>
  </si>
  <si>
    <t>Type of response</t>
  </si>
  <si>
    <t>Short AT</t>
  </si>
  <si>
    <t>NL2SQL</t>
  </si>
  <si>
    <t>Sample usecase</t>
  </si>
  <si>
    <t>BrewGPT S&amp;P</t>
  </si>
  <si>
    <t>Logistics Transport</t>
  </si>
  <si>
    <t>Input tokens</t>
  </si>
  <si>
    <t>Output tokens</t>
  </si>
  <si>
    <t>Unaccounted costs</t>
  </si>
  <si>
    <t>Local LLM calls, other team sharing costs</t>
  </si>
  <si>
    <t>Variable costs</t>
  </si>
  <si>
    <t>Variable based on data storage strategy</t>
  </si>
  <si>
    <t>Discontinue next year after ADB POC</t>
  </si>
  <si>
    <t>Oct LLM costs only for IC, can be used to estimate proportion of local LLM calls</t>
  </si>
  <si>
    <t>Questions</t>
  </si>
  <si>
    <t>LLM Cost per query</t>
  </si>
  <si>
    <t>DB Cost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</si>
</sst>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44" formatCode="_(&quot;$&quot;* #,##0.00_);_(&quot;$&quot;* \(#,##0.00\);_(&quot;$&quot;* &quot;-&quot;??_);_(@_)"/>
    <numFmt numFmtId="164" formatCode="_(&quot;$&quot;* #,##0_);_(&quot;$&quot;* \(#,##0\);_(&quot;$&quot;* &quot;-&quot;??_);_(@_)"/>
    <numFmt numFmtId="165" formatCode="_(&quot;$&quot;* #,##0.0_);_(&quot;$&quot;* \(#,##0.0\);_(&quot;$&quot;* &quot;-&quot;??_);_(@_)"/>
    <numFmt numFmtId="166" formatCode="_(&quot;$&quot;* #,##0.000_);_(&quot;$&quot;* \(#,##0.000\);_(&quot;$&quot;*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1"/>
      <color theme="0"/>
      <name val="Calibri"/>
      <family val="2"/>
      <scheme val="minor"/>
    </font>
    <font>
      <sz val="8"/>
      <name val="Calibri"/>
      <family val="2"/>
      <scheme val="minor"/>
    </font>
    <font>
      <sz val="11"/>
      <color rgb="FFFF0000"/>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249977111117893"/>
        <bgColor indexed="64"/>
      </patternFill>
    </fill>
    <fill>
      <patternFill patternType="solid">
        <fgColor theme="3" tint="-0.249977111117893"/>
        <bgColor theme="4" tint="0.79998168889431442"/>
      </patternFill>
    </fill>
  </fills>
  <borders count="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cellStyleXfs>
  <cellXfs count="69">
    <xf numFmtId="0" fontId="0" fillId="0" borderId="0" xfId="0"/>
    <xf numFmtId="0" fontId="2" fillId="0" borderId="0" xfId="0" applyFont="1"/>
    <xf numFmtId="164" fontId="0" fillId="0" borderId="0" xfId="0" applyNumberFormat="1"/>
    <xf numFmtId="164" fontId="2" fillId="0" borderId="0" xfId="0" applyNumberFormat="1" applyFont="1"/>
    <xf numFmtId="165" fontId="0" fillId="0" borderId="0" xfId="1" applyNumberFormat="1" applyFont="1" applyBorder="1"/>
    <xf numFmtId="0" fontId="2" fillId="0" borderId="1" xfId="0" applyFont="1" applyBorder="1"/>
    <xf numFmtId="164" fontId="2" fillId="0" borderId="1" xfId="0" applyNumberFormat="1" applyFont="1" applyBorder="1"/>
    <xf numFmtId="9" fontId="0" fillId="0" borderId="0" xfId="2" applyFont="1"/>
    <xf numFmtId="9" fontId="0" fillId="0" borderId="0" xfId="0" applyNumberFormat="1"/>
    <xf numFmtId="0" fontId="2" fillId="0" borderId="2" xfId="0" applyFont="1" applyBorder="1"/>
    <xf numFmtId="44" fontId="0" fillId="0" borderId="0" xfId="1" applyFont="1"/>
    <xf numFmtId="0" fontId="0" fillId="0" borderId="2" xfId="0" applyBorder="1"/>
    <xf numFmtId="164" fontId="0" fillId="0" borderId="2" xfId="0" applyNumberFormat="1" applyBorder="1"/>
    <xf numFmtId="3" fontId="0" fillId="0" borderId="0" xfId="0" applyNumberFormat="1"/>
    <xf numFmtId="166" fontId="0" fillId="0" borderId="0" xfId="1" applyNumberFormat="1" applyFont="1" applyBorder="1"/>
    <xf numFmtId="44" fontId="0" fillId="0" borderId="0" xfId="0" applyNumberFormat="1"/>
    <xf numFmtId="2" fontId="0" fillId="0" borderId="0" xfId="0" applyNumberFormat="1"/>
    <xf numFmtId="0" fontId="3" fillId="0" borderId="0" xfId="3"/>
    <xf numFmtId="0" fontId="0" fillId="0" borderId="0" xfId="0" pivotButton="1"/>
    <xf numFmtId="0" fontId="0" fillId="0" borderId="0" xfId="0" applyAlignment="1">
      <alignment horizontal="left"/>
    </xf>
    <xf numFmtId="10" fontId="0" fillId="0" borderId="0" xfId="0" applyNumberFormat="1"/>
    <xf numFmtId="0" fontId="2" fillId="2" borderId="0" xfId="0" applyFont="1" applyFill="1"/>
    <xf numFmtId="0" fontId="0" fillId="0" borderId="0" xfId="0" applyAlignment="1">
      <alignment horizontal="left" indent="1"/>
    </xf>
    <xf numFmtId="8" fontId="0" fillId="0" borderId="0" xfId="0" applyNumberFormat="1"/>
    <xf numFmtId="8" fontId="2" fillId="0" borderId="0" xfId="0" applyNumberFormat="1" applyFont="1"/>
    <xf numFmtId="0" fontId="2" fillId="2" borderId="0" xfId="0" applyFont="1" applyFill="1" applyAlignment="1">
      <alignment horizontal="center"/>
    </xf>
    <xf numFmtId="0" fontId="2" fillId="2" borderId="4" xfId="0" applyFont="1" applyFill="1" applyBorder="1" applyAlignment="1">
      <alignment horizontal="center"/>
    </xf>
    <xf numFmtId="6" fontId="0" fillId="0" borderId="0" xfId="0" applyNumberFormat="1"/>
    <xf numFmtId="6" fontId="2" fillId="0" borderId="0" xfId="0" applyNumberFormat="1" applyFont="1"/>
    <xf numFmtId="0" fontId="0" fillId="0" borderId="0" xfId="0" applyAlignment="1">
      <alignment horizontal="center" vertical="center"/>
    </xf>
    <xf numFmtId="0" fontId="0" fillId="0" borderId="0" xfId="0" pivotButton="1" applyAlignment="1">
      <alignment horizontal="center" vertical="center"/>
    </xf>
    <xf numFmtId="0" fontId="2" fillId="2" borderId="0" xfId="0" applyFont="1" applyFill="1" applyAlignment="1">
      <alignment horizontal="center" vertical="center"/>
    </xf>
    <xf numFmtId="0" fontId="2" fillId="2" borderId="4" xfId="0" applyFont="1" applyFill="1" applyBorder="1" applyAlignment="1">
      <alignment horizontal="center" vertical="center"/>
    </xf>
    <xf numFmtId="8" fontId="2" fillId="2" borderId="5" xfId="0" applyNumberFormat="1" applyFont="1" applyFill="1" applyBorder="1"/>
    <xf numFmtId="0" fontId="2" fillId="0" borderId="4" xfId="0" applyFont="1" applyBorder="1" applyAlignment="1">
      <alignment horizontal="left"/>
    </xf>
    <xf numFmtId="0" fontId="2" fillId="2" borderId="5" xfId="0" applyFont="1" applyFill="1" applyBorder="1" applyAlignment="1">
      <alignment horizontal="left"/>
    </xf>
    <xf numFmtId="10" fontId="0" fillId="0" borderId="0" xfId="2" applyNumberFormat="1" applyFont="1"/>
    <xf numFmtId="10" fontId="2" fillId="2" borderId="5" xfId="2" applyNumberFormat="1" applyFont="1" applyFill="1" applyBorder="1"/>
    <xf numFmtId="47" fontId="0" fillId="0" borderId="0" xfId="0" applyNumberFormat="1"/>
    <xf numFmtId="1" fontId="0" fillId="0" borderId="0" xfId="0" applyNumberFormat="1"/>
    <xf numFmtId="47" fontId="2" fillId="0" borderId="0" xfId="0" applyNumberFormat="1" applyFont="1"/>
    <xf numFmtId="2" fontId="2" fillId="0" borderId="0" xfId="0" applyNumberFormat="1" applyFont="1"/>
    <xf numFmtId="0" fontId="2" fillId="3" borderId="0" xfId="0" applyFont="1" applyFill="1"/>
    <xf numFmtId="0" fontId="0" fillId="3" borderId="0" xfId="0" applyFill="1"/>
    <xf numFmtId="1" fontId="0" fillId="3" borderId="0" xfId="0" applyNumberFormat="1" applyFill="1"/>
    <xf numFmtId="0" fontId="2" fillId="4" borderId="0" xfId="0" applyFont="1" applyFill="1"/>
    <xf numFmtId="0" fontId="0" fillId="4" borderId="0" xfId="0" applyFill="1"/>
    <xf numFmtId="1" fontId="0" fillId="4" borderId="0" xfId="0" applyNumberFormat="1" applyFill="1"/>
    <xf numFmtId="0" fontId="2" fillId="5" borderId="0" xfId="0" applyFont="1" applyFill="1"/>
    <xf numFmtId="0" fontId="0" fillId="5" borderId="0" xfId="0" applyFill="1"/>
    <xf numFmtId="1" fontId="0" fillId="5" borderId="0" xfId="0" applyNumberFormat="1" applyFill="1"/>
    <xf numFmtId="0" fontId="4" fillId="6" borderId="0" xfId="0" applyFont="1" applyFill="1"/>
    <xf numFmtId="14" fontId="4" fillId="7" borderId="0" xfId="0" applyNumberFormat="1" applyFont="1" applyFill="1" applyAlignment="1">
      <alignment horizontal="center" vertical="center"/>
    </xf>
    <xf numFmtId="0" fontId="4" fillId="7" borderId="0" xfId="0" applyFont="1" applyFill="1" applyAlignment="1">
      <alignment horizontal="center" vertical="center"/>
    </xf>
    <xf numFmtId="1" fontId="2" fillId="0" borderId="0" xfId="0" applyNumberFormat="1" applyFont="1"/>
    <xf numFmtId="2" fontId="0" fillId="3" borderId="0" xfId="0" applyNumberFormat="1" applyFill="1"/>
    <xf numFmtId="8" fontId="2" fillId="0" borderId="4" xfId="0" applyNumberFormat="1" applyFont="1" applyBorder="1"/>
    <xf numFmtId="8" fontId="0" fillId="0" borderId="4" xfId="0" applyNumberFormat="1" applyBorder="1"/>
    <xf numFmtId="10" fontId="2" fillId="2" borderId="5" xfId="0" applyNumberFormat="1" applyFont="1" applyFill="1" applyBorder="1"/>
    <xf numFmtId="0" fontId="0" fillId="0" borderId="0" xfId="0" applyAlignment="1">
      <alignment wrapText="1"/>
    </xf>
    <xf numFmtId="0" fontId="0" fillId="0" borderId="0" xfId="0" quotePrefix="1" applyAlignment="1">
      <alignment vertical="top" wrapText="1"/>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left"/>
    </xf>
    <xf numFmtId="17" fontId="0" fillId="0" borderId="0" xfId="0" applyNumberFormat="1"/>
    <xf numFmtId="0" fontId="6" fillId="0" borderId="0" xfId="0" applyFont="1" applyAlignment="1">
      <alignment horizontal="left"/>
    </xf>
    <xf numFmtId="165" fontId="0" fillId="0" borderId="0" xfId="1" applyNumberFormat="1" applyFont="1" applyBorder="1" applyAlignment="1">
      <alignment horizontal="center"/>
    </xf>
    <xf numFmtId="165" fontId="0" fillId="0" borderId="3" xfId="1" applyNumberFormat="1" applyFont="1" applyBorder="1" applyAlignment="1">
      <alignment horizontal="center"/>
    </xf>
  </cellXfs>
  <cellStyles count="4">
    <cellStyle name="Currency" xfId="1" builtinId="4"/>
    <cellStyle name="Normal" xfId="0" builtinId="0"/>
    <cellStyle name="Normal 2" xfId="3" xr:uid="{BF7F17F6-6BC0-45EA-AEAA-C48C2961CB2E}"/>
    <cellStyle name="Percent" xfId="2" builtinId="5"/>
  </cellStyles>
  <dxfs count="42">
    <dxf>
      <font>
        <color rgb="FFFF0000"/>
      </font>
    </dxf>
    <dxf>
      <font>
        <color rgb="FFFF0000"/>
      </font>
    </dxf>
    <dxf>
      <font>
        <color rgb="FFFF0000"/>
      </font>
    </dxf>
    <dxf>
      <font>
        <color rgb="FFFF0000"/>
      </font>
    </dxf>
    <dxf>
      <font>
        <color rgb="FFFF0000"/>
      </font>
    </dxf>
    <dxf>
      <font>
        <color rgb="FFFF000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UsageModel!$C$48:$C$57</c:f>
              <c:numCache>
                <c:formatCode>"$"#,##0.00_);[Red]\("$"#,##0.00\)</c:formatCode>
                <c:ptCount val="10"/>
                <c:pt idx="0">
                  <c:v>18014.137662999317</c:v>
                </c:pt>
                <c:pt idx="1">
                  <c:v>25927.964943248058</c:v>
                </c:pt>
                <c:pt idx="2">
                  <c:v>35992.007148221368</c:v>
                </c:pt>
                <c:pt idx="3">
                  <c:v>26904.208598121444</c:v>
                </c:pt>
                <c:pt idx="4">
                  <c:v>32550.711135996953</c:v>
                </c:pt>
                <c:pt idx="5">
                  <c:v>39280.854533681741</c:v>
                </c:pt>
                <c:pt idx="6">
                  <c:v>57236.945751665626</c:v>
                </c:pt>
                <c:pt idx="7">
                  <c:v>52086.370309882223</c:v>
                </c:pt>
                <c:pt idx="8">
                  <c:v>52416.156235971888</c:v>
                </c:pt>
                <c:pt idx="9">
                  <c:v>7500.559182575239</c:v>
                </c:pt>
              </c:numCache>
            </c:numRef>
          </c:xVal>
          <c:yVal>
            <c:numRef>
              <c:f>UsageModel!$B$48:$B$57</c:f>
              <c:numCache>
                <c:formatCode>General</c:formatCode>
                <c:ptCount val="10"/>
                <c:pt idx="0">
                  <c:v>114</c:v>
                </c:pt>
                <c:pt idx="1">
                  <c:v>124</c:v>
                </c:pt>
                <c:pt idx="2">
                  <c:v>153</c:v>
                </c:pt>
                <c:pt idx="3">
                  <c:v>200</c:v>
                </c:pt>
                <c:pt idx="4">
                  <c:v>222</c:v>
                </c:pt>
                <c:pt idx="5">
                  <c:v>267</c:v>
                </c:pt>
                <c:pt idx="6">
                  <c:v>279</c:v>
                </c:pt>
                <c:pt idx="7">
                  <c:v>452</c:v>
                </c:pt>
                <c:pt idx="8">
                  <c:v>728</c:v>
                </c:pt>
                <c:pt idx="9">
                  <c:v>197</c:v>
                </c:pt>
              </c:numCache>
            </c:numRef>
          </c:yVal>
          <c:smooth val="0"/>
          <c:extLst>
            <c:ext xmlns:c16="http://schemas.microsoft.com/office/drawing/2014/chart" uri="{C3380CC4-5D6E-409C-BE32-E72D297353CC}">
              <c16:uniqueId val="{00000000-DCCF-420E-85C8-8B678CD9CA0B}"/>
            </c:ext>
          </c:extLst>
        </c:ser>
        <c:dLbls>
          <c:showLegendKey val="0"/>
          <c:showVal val="0"/>
          <c:showCatName val="0"/>
          <c:showSerName val="0"/>
          <c:showPercent val="0"/>
          <c:showBubbleSize val="0"/>
        </c:dLbls>
        <c:axId val="1484738816"/>
        <c:axId val="1484737376"/>
      </c:scatterChart>
      <c:valAx>
        <c:axId val="14847388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37376"/>
        <c:crosses val="autoZero"/>
        <c:crossBetween val="midCat"/>
      </c:valAx>
      <c:valAx>
        <c:axId val="148473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38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per user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UsageModel!$B$48:$B$57</c:f>
              <c:numCache>
                <c:formatCode>General</c:formatCode>
                <c:ptCount val="10"/>
                <c:pt idx="0">
                  <c:v>114</c:v>
                </c:pt>
                <c:pt idx="1">
                  <c:v>124</c:v>
                </c:pt>
                <c:pt idx="2">
                  <c:v>153</c:v>
                </c:pt>
                <c:pt idx="3">
                  <c:v>200</c:v>
                </c:pt>
                <c:pt idx="4">
                  <c:v>222</c:v>
                </c:pt>
                <c:pt idx="5">
                  <c:v>267</c:v>
                </c:pt>
                <c:pt idx="6">
                  <c:v>279</c:v>
                </c:pt>
                <c:pt idx="7">
                  <c:v>452</c:v>
                </c:pt>
                <c:pt idx="8">
                  <c:v>728</c:v>
                </c:pt>
                <c:pt idx="9">
                  <c:v>197</c:v>
                </c:pt>
              </c:numCache>
            </c:numRef>
          </c:xVal>
          <c:yVal>
            <c:numRef>
              <c:f>UsageModel!$C$48:$C$57</c:f>
              <c:numCache>
                <c:formatCode>"$"#,##0.00_);[Red]\("$"#,##0.00\)</c:formatCode>
                <c:ptCount val="10"/>
                <c:pt idx="0">
                  <c:v>18014.137662999317</c:v>
                </c:pt>
                <c:pt idx="1">
                  <c:v>25927.964943248058</c:v>
                </c:pt>
                <c:pt idx="2">
                  <c:v>35992.007148221368</c:v>
                </c:pt>
                <c:pt idx="3">
                  <c:v>26904.208598121444</c:v>
                </c:pt>
                <c:pt idx="4">
                  <c:v>32550.711135996953</c:v>
                </c:pt>
                <c:pt idx="5">
                  <c:v>39280.854533681741</c:v>
                </c:pt>
                <c:pt idx="6">
                  <c:v>57236.945751665626</c:v>
                </c:pt>
                <c:pt idx="7">
                  <c:v>52086.370309882223</c:v>
                </c:pt>
                <c:pt idx="8">
                  <c:v>52416.156235971888</c:v>
                </c:pt>
                <c:pt idx="9">
                  <c:v>7500.559182575239</c:v>
                </c:pt>
              </c:numCache>
            </c:numRef>
          </c:yVal>
          <c:smooth val="0"/>
          <c:extLst>
            <c:ext xmlns:c16="http://schemas.microsoft.com/office/drawing/2014/chart" uri="{C3380CC4-5D6E-409C-BE32-E72D297353CC}">
              <c16:uniqueId val="{00000000-888A-4471-8EA1-B51E72D7F451}"/>
            </c:ext>
          </c:extLst>
        </c:ser>
        <c:dLbls>
          <c:showLegendKey val="0"/>
          <c:showVal val="0"/>
          <c:showCatName val="0"/>
          <c:showSerName val="0"/>
          <c:showPercent val="0"/>
          <c:showBubbleSize val="0"/>
        </c:dLbls>
        <c:axId val="1775502992"/>
        <c:axId val="1775504912"/>
      </c:scatterChart>
      <c:valAx>
        <c:axId val="1775502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04912"/>
        <c:crosses val="autoZero"/>
        <c:crossBetween val="midCat"/>
      </c:valAx>
      <c:valAx>
        <c:axId val="1775504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029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per query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UsageModel!$B$62:$B$71</c:f>
              <c:numCache>
                <c:formatCode>General</c:formatCode>
                <c:ptCount val="10"/>
                <c:pt idx="0">
                  <c:v>3546</c:v>
                </c:pt>
                <c:pt idx="1">
                  <c:v>26108</c:v>
                </c:pt>
                <c:pt idx="2">
                  <c:v>8187</c:v>
                </c:pt>
                <c:pt idx="3">
                  <c:v>13705</c:v>
                </c:pt>
                <c:pt idx="4">
                  <c:v>8562</c:v>
                </c:pt>
                <c:pt idx="5">
                  <c:v>10716</c:v>
                </c:pt>
                <c:pt idx="6">
                  <c:v>11886</c:v>
                </c:pt>
                <c:pt idx="7">
                  <c:v>10456</c:v>
                </c:pt>
                <c:pt idx="8">
                  <c:v>16419</c:v>
                </c:pt>
                <c:pt idx="9">
                  <c:v>3655</c:v>
                </c:pt>
              </c:numCache>
            </c:numRef>
          </c:xVal>
          <c:yVal>
            <c:numRef>
              <c:f>UsageModel!$C$62:$C$71</c:f>
              <c:numCache>
                <c:formatCode>General</c:formatCode>
                <c:ptCount val="10"/>
                <c:pt idx="0" formatCode="&quot;$&quot;#,##0.00_);[Red]\(&quot;$&quot;#,##0.00\)">
                  <c:v>18014.137662999317</c:v>
                </c:pt>
                <c:pt idx="1">
                  <c:v>25927.964943248058</c:v>
                </c:pt>
                <c:pt idx="2" formatCode="&quot;$&quot;#,##0.00_);[Red]\(&quot;$&quot;#,##0.00\)">
                  <c:v>35992.007148221368</c:v>
                </c:pt>
                <c:pt idx="3" formatCode="&quot;$&quot;#,##0.00_);[Red]\(&quot;$&quot;#,##0.00\)">
                  <c:v>26904.208598121444</c:v>
                </c:pt>
                <c:pt idx="4" formatCode="&quot;$&quot;#,##0.00_);[Red]\(&quot;$&quot;#,##0.00\)">
                  <c:v>32550.711135996953</c:v>
                </c:pt>
                <c:pt idx="5" formatCode="&quot;$&quot;#,##0.00_);[Red]\(&quot;$&quot;#,##0.00\)">
                  <c:v>39280.854533681741</c:v>
                </c:pt>
                <c:pt idx="6" formatCode="&quot;$&quot;#,##0.00_);[Red]\(&quot;$&quot;#,##0.00\)">
                  <c:v>57236.945751665626</c:v>
                </c:pt>
                <c:pt idx="7" formatCode="&quot;$&quot;#,##0.00_);[Red]\(&quot;$&quot;#,##0.00\)">
                  <c:v>52086.370309882223</c:v>
                </c:pt>
                <c:pt idx="8" formatCode="&quot;$&quot;#,##0.00_);[Red]\(&quot;$&quot;#,##0.00\)">
                  <c:v>52416.156235971888</c:v>
                </c:pt>
                <c:pt idx="9" formatCode="&quot;$&quot;#,##0.00_);[Red]\(&quot;$&quot;#,##0.00\)">
                  <c:v>7500.559182575239</c:v>
                </c:pt>
              </c:numCache>
            </c:numRef>
          </c:yVal>
          <c:smooth val="0"/>
          <c:extLst>
            <c:ext xmlns:c16="http://schemas.microsoft.com/office/drawing/2014/chart" uri="{C3380CC4-5D6E-409C-BE32-E72D297353CC}">
              <c16:uniqueId val="{00000000-7CB7-43E3-9410-F8147784EC46}"/>
            </c:ext>
          </c:extLst>
        </c:ser>
        <c:dLbls>
          <c:showLegendKey val="0"/>
          <c:showVal val="0"/>
          <c:showCatName val="0"/>
          <c:showSerName val="0"/>
          <c:showPercent val="0"/>
          <c:showBubbleSize val="0"/>
        </c:dLbls>
        <c:axId val="1484738816"/>
        <c:axId val="1484740736"/>
      </c:scatterChart>
      <c:valAx>
        <c:axId val="1484738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40736"/>
        <c:crosses val="autoZero"/>
        <c:crossBetween val="midCat"/>
      </c:valAx>
      <c:valAx>
        <c:axId val="1484740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38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114300</xdr:colOff>
      <xdr:row>36</xdr:row>
      <xdr:rowOff>160020</xdr:rowOff>
    </xdr:from>
    <xdr:to>
      <xdr:col>12</xdr:col>
      <xdr:colOff>358140</xdr:colOff>
      <xdr:row>51</xdr:row>
      <xdr:rowOff>160020</xdr:rowOff>
    </xdr:to>
    <xdr:graphicFrame macro="">
      <xdr:nvGraphicFramePr>
        <xdr:cNvPr id="2" name="Chart 1">
          <a:extLst>
            <a:ext uri="{FF2B5EF4-FFF2-40B4-BE49-F238E27FC236}">
              <a16:creationId xmlns:a16="http://schemas.microsoft.com/office/drawing/2014/main" id="{277B1A8F-4DD3-46D9-49BE-1E3529B88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36</xdr:row>
      <xdr:rowOff>160020</xdr:rowOff>
    </xdr:from>
    <xdr:to>
      <xdr:col>15</xdr:col>
      <xdr:colOff>411480</xdr:colOff>
      <xdr:row>57</xdr:row>
      <xdr:rowOff>114300</xdr:rowOff>
    </xdr:to>
    <xdr:graphicFrame macro="">
      <xdr:nvGraphicFramePr>
        <xdr:cNvPr id="3" name="Chart 2">
          <a:extLst>
            <a:ext uri="{FF2B5EF4-FFF2-40B4-BE49-F238E27FC236}">
              <a16:creationId xmlns:a16="http://schemas.microsoft.com/office/drawing/2014/main" id="{CE9B0F64-B162-3FE8-1C99-6F108854F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601980</xdr:colOff>
      <xdr:row>61</xdr:row>
      <xdr:rowOff>0</xdr:rowOff>
    </xdr:from>
    <xdr:to>
      <xdr:col>12</xdr:col>
      <xdr:colOff>647700</xdr:colOff>
      <xdr:row>76</xdr:row>
      <xdr:rowOff>0</xdr:rowOff>
    </xdr:to>
    <xdr:graphicFrame macro="">
      <xdr:nvGraphicFramePr>
        <xdr:cNvPr id="4" name="Chart 3">
          <a:extLst>
            <a:ext uri="{FF2B5EF4-FFF2-40B4-BE49-F238E27FC236}">
              <a16:creationId xmlns:a16="http://schemas.microsoft.com/office/drawing/2014/main" id="{B6BF0087-C525-0FAD-9975-2C504BDCA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angani Kartik" id="{1ADD1E28-B854-42DD-9525-4DC73F0E89C9}" userId="S::Kartik.Sangani@AB-Inbev.com::d8de295b-690a-4d2c-87c5-13d862b8809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nath, Sourav" refreshedDate="45937.737195717593" createdVersion="8" refreshedVersion="8" minRefreshableVersion="3" recordCount="1032" xr:uid="{CD3ED6A5-552A-4312-9A61-0AE01439AFB5}">
  <cacheSource type="worksheet">
    <worksheetSource ref="A1:I1033" sheet="DEV+QA"/>
  </cacheSource>
  <cacheFields count="9">
    <cacheField name="Subscription" numFmtId="0">
      <sharedItems/>
    </cacheField>
    <cacheField name="UsageDate" numFmtId="0">
      <sharedItems count="10">
        <s v="2025-01-01"/>
        <s v="2025-02-01"/>
        <s v="2025-03-01"/>
        <s v="2025-04-01"/>
        <s v="2025-05-01"/>
        <s v="2025-06-01"/>
        <s v="2025-07-01"/>
        <s v="2025-08-01"/>
        <s v="2025-09-01"/>
        <s v="2025-10-01"/>
      </sharedItems>
    </cacheField>
    <cacheField name="PublisherType" numFmtId="0">
      <sharedItems/>
    </cacheField>
    <cacheField name="ChargeType" numFmtId="0">
      <sharedItems/>
    </cacheField>
    <cacheField name="ServiceName" numFmtId="0">
      <sharedItems count="33">
        <s v="App Configuration"/>
        <s v="Application Gateway"/>
        <s v="Azure App Service"/>
        <s v="Azure Applied AI Services"/>
        <s v="Azure Bastion"/>
        <s v="Azure Cognitive Search"/>
        <s v="Azure DNS"/>
        <s v="Azure Data Factory v2"/>
        <s v="Azure Database for PostgreSQL"/>
        <s v="Azure Databricks"/>
        <s v="Azure Monitor"/>
        <s v="Backup"/>
        <s v="Bandwidth"/>
        <s v="Cognitive Services"/>
        <s v="Container Registry"/>
        <s v="Email"/>
        <s v="Event Grid"/>
        <s v="Event Hubs"/>
        <s v="Key Vault"/>
        <s v="Load Balancer"/>
        <s v="Log Analytics"/>
        <s v="Microsoft Defender for Cloud"/>
        <s v="NAT Gateway"/>
        <s v="Redis Cache"/>
        <s v="SQL Database"/>
        <s v="Service Bus"/>
        <s v="SignalR"/>
        <s v="Storage"/>
        <s v="Virtual Machines"/>
        <s v="Virtual Network"/>
        <s v="Unassigned"/>
        <s v="Web PubSub"/>
        <s v="Logic Apps"/>
      </sharedItems>
    </cacheField>
    <cacheField name="ServiceTier" numFmtId="0">
      <sharedItems count="81">
        <s v="App Configuration"/>
        <s v="Application Gateway Standard v2"/>
        <s v="Azure App Service Free Plan - Linux"/>
        <s v="Azure App Service Premium v3 Plan - Linux"/>
        <s v="Azure App Service Std Plan-Linux"/>
        <s v="Static Web Apps"/>
        <s v="Az Form Recognizer"/>
        <s v="Azure Bastion"/>
        <s v="Azure AI Search"/>
        <s v="Azure DNS"/>
        <s v="Azure Data Factory v2"/>
        <s v="Az DB for PG Flex Stg"/>
        <s v="Az DB for PostgreSQL Flex Ddsv5 Comp"/>
        <s v="Az DB for PostgreSQL Flexible Dsv3 Compute"/>
        <s v="Az DB Regional"/>
        <s v="Azure Databricks"/>
        <s v="Azure Monitor"/>
        <s v="Backup"/>
        <s v="Bd Inter-Rgn"/>
        <s v="Rtn Pref: MGN"/>
        <s v="OpenAI"/>
        <s v="Container Registry"/>
        <s v="Email"/>
        <s v="Event Grid"/>
        <s v="Event Hubs"/>
        <s v="Key Vault"/>
        <s v="Load Balancer"/>
        <s v="Log Analytics"/>
        <s v="Defender  for Containers"/>
        <s v="Microsoft Def for App Service"/>
        <s v="Microsoft Def for Key Vault"/>
        <s v="Microsoft Def for PostgreSQL"/>
        <s v="Microsoft Def for Resource Manager"/>
        <s v="Microsoft Def for SQL"/>
        <s v="Microsoft Def for Storage"/>
        <s v="Microsoft Defender CSPM"/>
        <s v="NAT Gateway"/>
        <s v="Az Redis Ent"/>
        <s v="SQL DB Elastic Pool-Std"/>
        <s v="SQL DB Single Premium"/>
        <s v="SQL DB Std-Storage"/>
        <s v="Service Bus"/>
        <s v="SignalR"/>
        <s v="Azure Data Lake Storage Gen2 Hier Namespace"/>
        <s v="Blob Storage"/>
        <s v="Files"/>
        <s v="Files v2"/>
        <s v="General Block Blob"/>
        <s v="General Block Blob v2 Hierarchical Namespace"/>
        <s v="Premium SSD Managed Disks"/>
        <s v="Queues"/>
        <s v="Queues v2"/>
        <s v="Standard SSD Managed Disks"/>
        <s v="Std HDD"/>
        <s v="Storage - Bandwidth"/>
        <s v="Tables"/>
        <s v="Ddsv5 Series VM"/>
        <s v="Ddv4 Series VM"/>
        <s v="Dsv5 Series VM"/>
        <s v="Dsv5 Series Windows VM"/>
        <s v="Dv2 Series VM"/>
        <s v="Dv3 Series VM"/>
        <s v="Eadsv5 Series VM"/>
        <s v="Edsv4 Series VM"/>
        <s v="Ev3 Series VM"/>
        <s v="NCasT4 v3 Series VM"/>
        <s v="IP Address"/>
        <s v="Virtual Network Private Link"/>
        <s v="Unassigned"/>
        <s v="Azure App Service Free Plan"/>
        <s v="DSv2 Series VM"/>
        <s v="DSv3 Series VM"/>
        <s v="Web PubSub"/>
        <s v="Azure OpenAI Reasoning"/>
        <s v="Dav4 Series VM"/>
        <s v="Virtual Network Peering"/>
        <s v="Logic Apps"/>
        <s v="Dadsv5 Series VM"/>
        <s v="F Series VM"/>
        <s v="Azure OpenAI GPT5"/>
        <s v="Ddv5 Series VM"/>
      </sharedItems>
    </cacheField>
    <cacheField name="CostUSD" numFmtId="0">
      <sharedItems containsSemiMixedTypes="0" containsString="0" containsNumber="1" minValue="0" maxValue="19046.177775101802"/>
    </cacheField>
    <cacheField name="Cost" numFmtId="0">
      <sharedItems containsSemiMixedTypes="0" containsString="0" containsNumber="1" minValue="0" maxValue="16429.032843182798"/>
    </cacheField>
    <cacheField name="Curre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2">
  <r>
    <s v="ABI BREWDAT GLOBAL GAI DEV"/>
    <x v="0"/>
    <s v="Azure"/>
    <s v="Usage"/>
    <x v="0"/>
    <x v="0"/>
    <n v="45.750605999999998"/>
    <n v="43.896000000000001"/>
    <s v="EUR"/>
  </r>
  <r>
    <s v="ABI BREWDAT GLOBAL GAI DEV"/>
    <x v="0"/>
    <s v="Azure"/>
    <s v="Usage"/>
    <x v="1"/>
    <x v="1"/>
    <n v="173.02258842000001"/>
    <n v="166.00872000000001"/>
    <s v="EUR"/>
  </r>
  <r>
    <s v="ABI BREWDAT GLOBAL GAI DEV"/>
    <x v="0"/>
    <s v="Azure"/>
    <s v="Usage"/>
    <x v="2"/>
    <x v="2"/>
    <n v="0"/>
    <n v="0"/>
    <s v="EUR"/>
  </r>
  <r>
    <s v="ABI BREWDAT GLOBAL GAI DEV"/>
    <x v="0"/>
    <s v="Azure"/>
    <s v="Usage"/>
    <x v="2"/>
    <x v="3"/>
    <n v="224.100426"/>
    <n v="215.01599999999999"/>
    <s v="EUR"/>
  </r>
  <r>
    <s v="ABI BREWDAT GLOBAL GAI DEV"/>
    <x v="0"/>
    <s v="Azure"/>
    <s v="Usage"/>
    <x v="2"/>
    <x v="4"/>
    <n v="1736.97216"/>
    <n v="1666.56"/>
    <s v="EUR"/>
  </r>
  <r>
    <s v="ABI BREWDAT GLOBAL GAI DEV"/>
    <x v="0"/>
    <s v="Azure"/>
    <s v="Usage"/>
    <x v="2"/>
    <x v="5"/>
    <n v="16.911896868493201"/>
    <n v="16.226334246575298"/>
    <s v="EUR"/>
  </r>
  <r>
    <s v="ABI BREWDAT GLOBAL GAI DEV"/>
    <x v="0"/>
    <s v="Azure"/>
    <s v="Usage"/>
    <x v="3"/>
    <x v="6"/>
    <n v="2.3859186999999999"/>
    <n v="2.2892000000000001"/>
    <s v="EUR"/>
  </r>
  <r>
    <s v="ABI BREWDAT GLOBAL GAI DEV"/>
    <x v="0"/>
    <s v="Azure"/>
    <s v="Usage"/>
    <x v="4"/>
    <x v="7"/>
    <n v="78.292130607344902"/>
    <n v="75.1183790907603"/>
    <s v="EUR"/>
  </r>
  <r>
    <s v="ABI BREWDAT GLOBAL GAI DEV"/>
    <x v="0"/>
    <s v="Azure"/>
    <s v="Usage"/>
    <x v="5"/>
    <x v="8"/>
    <n v="138.80268599999999"/>
    <n v="133.17599999999999"/>
    <s v="EUR"/>
  </r>
  <r>
    <s v="ABI BREWDAT GLOBAL GAI DEV"/>
    <x v="0"/>
    <s v="Azure"/>
    <s v="Usage"/>
    <x v="6"/>
    <x v="9"/>
    <n v="0.63283172908999996"/>
    <n v="0.60717843999999999"/>
    <s v="EUR"/>
  </r>
  <r>
    <s v="ABI BREWDAT GLOBAL GAI DEV"/>
    <x v="0"/>
    <s v="Azure"/>
    <s v="Usage"/>
    <x v="7"/>
    <x v="10"/>
    <n v="2.1184197309458299"/>
    <n v="2.0325447166666701"/>
    <s v="EUR"/>
  </r>
  <r>
    <s v="ABI BREWDAT GLOBAL GAI DEV"/>
    <x v="0"/>
    <s v="Azure"/>
    <s v="Usage"/>
    <x v="8"/>
    <x v="11"/>
    <n v="13.474208000000001"/>
    <n v="12.928000000000001"/>
    <s v="EUR"/>
  </r>
  <r>
    <s v="ABI BREWDAT GLOBAL GAI DEV"/>
    <x v="0"/>
    <s v="Azure"/>
    <s v="Usage"/>
    <x v="8"/>
    <x v="12"/>
    <n v="193.85849999999999"/>
    <n v="186"/>
    <s v="EUR"/>
  </r>
  <r>
    <s v="ABI BREWDAT GLOBAL GAI DEV"/>
    <x v="0"/>
    <s v="Azure"/>
    <s v="Usage"/>
    <x v="8"/>
    <x v="13"/>
    <n v="185.79398639999999"/>
    <n v="178.26240000000001"/>
    <s v="EUR"/>
  </r>
  <r>
    <s v="ABI BREWDAT GLOBAL GAI DEV"/>
    <x v="0"/>
    <s v="Azure"/>
    <s v="Usage"/>
    <x v="9"/>
    <x v="14"/>
    <n v="1999.1959024051"/>
    <n v="1918.15390012483"/>
    <s v="EUR"/>
  </r>
  <r>
    <s v="ABI BREWDAT GLOBAL GAI DEV"/>
    <x v="0"/>
    <s v="Azure"/>
    <s v="Usage"/>
    <x v="9"/>
    <x v="15"/>
    <n v="1447.50767530804"/>
    <n v="1388.8296237064401"/>
    <s v="EUR"/>
  </r>
  <r>
    <s v="ABI BREWDAT GLOBAL GAI DEV"/>
    <x v="0"/>
    <s v="Azure"/>
    <s v="Usage"/>
    <x v="10"/>
    <x v="16"/>
    <n v="242.501397582838"/>
    <n v="232.67104589382399"/>
    <s v="EUR"/>
  </r>
  <r>
    <s v="ABI BREWDAT GLOBAL GAI DEV"/>
    <x v="0"/>
    <s v="Azure"/>
    <s v="Usage"/>
    <x v="11"/>
    <x v="17"/>
    <n v="43.954852852427997"/>
    <n v="42.173041834903302"/>
    <s v="EUR"/>
  </r>
  <r>
    <s v="ABI BREWDAT GLOBAL GAI DEV"/>
    <x v="0"/>
    <s v="Azure"/>
    <s v="Usage"/>
    <x v="12"/>
    <x v="18"/>
    <n v="0.64202765075887402"/>
    <n v="0.616001583841568"/>
    <s v="EUR"/>
  </r>
  <r>
    <s v="ABI BREWDAT GLOBAL GAI DEV"/>
    <x v="0"/>
    <s v="Azure"/>
    <s v="Usage"/>
    <x v="12"/>
    <x v="19"/>
    <n v="23.8464005626067"/>
    <n v="22.8797318902439"/>
    <s v="EUR"/>
  </r>
  <r>
    <s v="ABI BREWDAT GLOBAL GAI DEV"/>
    <x v="0"/>
    <s v="Azure"/>
    <s v="Usage"/>
    <x v="13"/>
    <x v="20"/>
    <n v="806.52692865968095"/>
    <n v="773.83250531032002"/>
    <s v="EUR"/>
  </r>
  <r>
    <s v="ABI BREWDAT GLOBAL GAI DEV"/>
    <x v="0"/>
    <s v="Azure"/>
    <s v="Usage"/>
    <x v="14"/>
    <x v="21"/>
    <n v="85.815382194467901"/>
    <n v="82.336658377997495"/>
    <s v="EUR"/>
  </r>
  <r>
    <s v="ABI BREWDAT GLOBAL GAI DEV"/>
    <x v="0"/>
    <s v="Azure"/>
    <s v="Usage"/>
    <x v="15"/>
    <x v="22"/>
    <n v="2.2155569502400399E-3"/>
    <n v="2.12574425544739E-3"/>
    <s v="EUR"/>
  </r>
  <r>
    <s v="ABI BREWDAT GLOBAL GAI DEV"/>
    <x v="0"/>
    <s v="Azure"/>
    <s v="Usage"/>
    <x v="16"/>
    <x v="23"/>
    <n v="0.98603263276925002"/>
    <n v="0.94606153299999995"/>
    <s v="EUR"/>
  </r>
  <r>
    <s v="ABI BREWDAT GLOBAL GAI DEV"/>
    <x v="0"/>
    <s v="Azure"/>
    <s v="Usage"/>
    <x v="17"/>
    <x v="24"/>
    <n v="12.337083209228201"/>
    <n v="11.836971177000001"/>
    <s v="EUR"/>
  </r>
  <r>
    <s v="ABI BREWDAT GLOBAL GAI DEV"/>
    <x v="0"/>
    <s v="Azure"/>
    <s v="Usage"/>
    <x v="18"/>
    <x v="25"/>
    <n v="0.35043303891749999"/>
    <n v="0.33622742999999999"/>
    <s v="EUR"/>
  </r>
  <r>
    <s v="ABI BREWDAT GLOBAL GAI DEV"/>
    <x v="0"/>
    <s v="Azure"/>
    <s v="Usage"/>
    <x v="19"/>
    <x v="26"/>
    <n v="127.524847114247"/>
    <n v="122.355334242501"/>
    <s v="EUR"/>
  </r>
  <r>
    <s v="ABI BREWDAT GLOBAL GAI DEV"/>
    <x v="0"/>
    <s v="Azure"/>
    <s v="Usage"/>
    <x v="20"/>
    <x v="27"/>
    <n v="20.077948676141499"/>
    <n v="19.264042865091401"/>
    <s v="EUR"/>
  </r>
  <r>
    <s v="ABI BREWDAT GLOBAL GAI DEV"/>
    <x v="0"/>
    <s v="Azure"/>
    <s v="Usage"/>
    <x v="21"/>
    <x v="28"/>
    <n v="154.96199890049999"/>
    <n v="148.68025800000001"/>
    <s v="EUR"/>
  </r>
  <r>
    <s v="ABI BREWDAT GLOBAL GAI DEV"/>
    <x v="0"/>
    <s v="Azure"/>
    <s v="Usage"/>
    <x v="21"/>
    <x v="29"/>
    <n v="172.61160839999999"/>
    <n v="165.61439999999999"/>
    <s v="EUR"/>
  </r>
  <r>
    <s v="ABI BREWDAT GLOBAL GAI DEV"/>
    <x v="0"/>
    <s v="Azure"/>
    <s v="Usage"/>
    <x v="21"/>
    <x v="30"/>
    <n v="1.7102196869999999"/>
    <n v="1.640892"/>
    <s v="EUR"/>
  </r>
  <r>
    <s v="ABI BREWDAT GLOBAL GAI DEV"/>
    <x v="0"/>
    <s v="Azure"/>
    <s v="Usage"/>
    <x v="21"/>
    <x v="31"/>
    <n v="18.447825000000002"/>
    <n v="17.7"/>
    <s v="EUR"/>
  </r>
  <r>
    <s v="ABI BREWDAT GLOBAL GAI DEV"/>
    <x v="0"/>
    <s v="Azure"/>
    <s v="Usage"/>
    <x v="21"/>
    <x v="32"/>
    <n v="3.1552409460000002"/>
    <n v="3.027336"/>
    <s v="EUR"/>
  </r>
  <r>
    <s v="ABI BREWDAT GLOBAL GAI DEV"/>
    <x v="0"/>
    <s v="Azure"/>
    <s v="Usage"/>
    <x v="21"/>
    <x v="33"/>
    <n v="16.613465000000001"/>
    <n v="15.94"/>
    <s v="EUR"/>
  </r>
  <r>
    <s v="ABI BREWDAT GLOBAL GAI DEV"/>
    <x v="0"/>
    <s v="Azure"/>
    <s v="Usage"/>
    <x v="21"/>
    <x v="34"/>
    <n v="204.40555387841701"/>
    <n v="196.11950480059201"/>
    <s v="EUR"/>
  </r>
  <r>
    <s v="ABI BREWDAT GLOBAL GAI DEV"/>
    <x v="0"/>
    <s v="Azure"/>
    <s v="Usage"/>
    <x v="21"/>
    <x v="35"/>
    <n v="112.9111427675"/>
    <n v="108.33403"/>
    <s v="EUR"/>
  </r>
  <r>
    <s v="ABI BREWDAT GLOBAL GAI DEV"/>
    <x v="0"/>
    <s v="Azure"/>
    <s v="Usage"/>
    <x v="22"/>
    <x v="36"/>
    <n v="31.075035513112599"/>
    <n v="29.8153375035861"/>
    <s v="EUR"/>
  </r>
  <r>
    <s v="ABI BREWDAT GLOBAL GAI DEV"/>
    <x v="0"/>
    <s v="Azure"/>
    <s v="Usage"/>
    <x v="23"/>
    <x v="37"/>
    <n v="439.98125160000001"/>
    <n v="422.1456"/>
    <s v="EUR"/>
  </r>
  <r>
    <s v="ABI BREWDAT GLOBAL GAI DEV"/>
    <x v="0"/>
    <s v="Azure"/>
    <s v="Usage"/>
    <x v="24"/>
    <x v="38"/>
    <n v="122.77705"/>
    <n v="117.8"/>
    <s v="EUR"/>
  </r>
  <r>
    <s v="ABI BREWDAT GLOBAL GAI DEV"/>
    <x v="0"/>
    <s v="Azure"/>
    <s v="Usage"/>
    <x v="24"/>
    <x v="39"/>
    <n v="3875.87761"/>
    <n v="3718.76"/>
    <s v="EUR"/>
  </r>
  <r>
    <s v="ABI BREWDAT GLOBAL GAI DEV"/>
    <x v="0"/>
    <s v="Azure"/>
    <s v="Usage"/>
    <x v="24"/>
    <x v="40"/>
    <n v="61.492750000000001"/>
    <n v="59"/>
    <s v="EUR"/>
  </r>
  <r>
    <s v="ABI BREWDAT GLOBAL GAI DEV"/>
    <x v="0"/>
    <s v="Azure"/>
    <s v="Usage"/>
    <x v="25"/>
    <x v="41"/>
    <n v="25.794823610242499"/>
    <n v="24.749171130000001"/>
    <s v="EUR"/>
  </r>
  <r>
    <s v="ABI BREWDAT GLOBAL GAI DEV"/>
    <x v="0"/>
    <s v="Azure"/>
    <s v="Usage"/>
    <x v="26"/>
    <x v="42"/>
    <n v="122.77705"/>
    <n v="117.8"/>
    <s v="EUR"/>
  </r>
  <r>
    <s v="ABI BREWDAT GLOBAL GAI DEV"/>
    <x v="0"/>
    <s v="Azure"/>
    <s v="Usage"/>
    <x v="27"/>
    <x v="43"/>
    <n v="38.744966630712902"/>
    <n v="37.174350329299997"/>
    <s v="EUR"/>
  </r>
  <r>
    <s v="ABI BREWDAT GLOBAL GAI DEV"/>
    <x v="0"/>
    <s v="Azure"/>
    <s v="Usage"/>
    <x v="27"/>
    <x v="44"/>
    <n v="5.1293050638943303"/>
    <n v="4.9213768902800004"/>
    <s v="EUR"/>
  </r>
  <r>
    <s v="ABI BREWDAT GLOBAL GAI DEV"/>
    <x v="0"/>
    <s v="Azure"/>
    <s v="Usage"/>
    <x v="27"/>
    <x v="45"/>
    <n v="20.418979637851599"/>
    <n v="19.5912493527"/>
    <s v="EUR"/>
  </r>
  <r>
    <s v="ABI BREWDAT GLOBAL GAI DEV"/>
    <x v="0"/>
    <s v="Azure"/>
    <s v="Usage"/>
    <x v="27"/>
    <x v="46"/>
    <n v="7.6733571750000004E-5"/>
    <n v="7.3622999999999996E-5"/>
    <s v="EUR"/>
  </r>
  <r>
    <s v="ABI BREWDAT GLOBAL GAI DEV"/>
    <x v="0"/>
    <s v="Azure"/>
    <s v="Usage"/>
    <x v="27"/>
    <x v="47"/>
    <n v="4.4874753296999997E-2"/>
    <n v="4.3055652E-2"/>
    <s v="EUR"/>
  </r>
  <r>
    <s v="ABI BREWDAT GLOBAL GAI DEV"/>
    <x v="0"/>
    <s v="Azure"/>
    <s v="Usage"/>
    <x v="27"/>
    <x v="48"/>
    <n v="11.809681521031401"/>
    <n v="11.330948928790001"/>
    <s v="EUR"/>
  </r>
  <r>
    <s v="ABI BREWDAT GLOBAL GAI DEV"/>
    <x v="0"/>
    <s v="Azure"/>
    <s v="Usage"/>
    <x v="27"/>
    <x v="49"/>
    <n v="578.076120274353"/>
    <n v="554.64247567699999"/>
    <s v="EUR"/>
  </r>
  <r>
    <s v="ABI BREWDAT GLOBAL GAI DEV"/>
    <x v="0"/>
    <s v="Azure"/>
    <s v="Usage"/>
    <x v="27"/>
    <x v="50"/>
    <n v="2.1063830809999999E-4"/>
    <n v="2.0209960000000001E-4"/>
    <s v="EUR"/>
  </r>
  <r>
    <s v="ABI BREWDAT GLOBAL GAI DEV"/>
    <x v="0"/>
    <s v="Azure"/>
    <s v="Usage"/>
    <x v="27"/>
    <x v="51"/>
    <n v="2.2073613888700001E-2"/>
    <n v="2.1178809199999999E-2"/>
    <s v="EUR"/>
  </r>
  <r>
    <s v="ABI BREWDAT GLOBAL GAI DEV"/>
    <x v="0"/>
    <s v="Azure"/>
    <s v="Usage"/>
    <x v="27"/>
    <x v="52"/>
    <n v="3.084645121965"/>
    <n v="2.9596019400000002"/>
    <s v="EUR"/>
  </r>
  <r>
    <s v="ABI BREWDAT GLOBAL GAI DEV"/>
    <x v="0"/>
    <s v="Azure"/>
    <s v="Usage"/>
    <x v="27"/>
    <x v="53"/>
    <n v="20.199115471683498"/>
    <n v="19.380297886000001"/>
    <s v="EUR"/>
  </r>
  <r>
    <s v="ABI BREWDAT GLOBAL GAI DEV"/>
    <x v="0"/>
    <s v="Azure"/>
    <s v="Usage"/>
    <x v="27"/>
    <x v="54"/>
    <n v="0.79077020284184996"/>
    <n v="0.75871451459999995"/>
    <s v="EUR"/>
  </r>
  <r>
    <s v="ABI BREWDAT GLOBAL GAI DEV"/>
    <x v="0"/>
    <s v="Azure"/>
    <s v="Usage"/>
    <x v="27"/>
    <x v="55"/>
    <n v="1.683413375534E-2"/>
    <n v="1.6151723440000001E-2"/>
    <s v="EUR"/>
  </r>
  <r>
    <s v="ABI BREWDAT GLOBAL GAI DEV"/>
    <x v="0"/>
    <s v="Azure"/>
    <s v="Usage"/>
    <x v="28"/>
    <x v="56"/>
    <n v="24.5511549676629"/>
    <n v="23.5559174551815"/>
    <s v="EUR"/>
  </r>
  <r>
    <s v="ABI BREWDAT GLOBAL GAI DEV"/>
    <x v="0"/>
    <s v="Azure"/>
    <s v="Usage"/>
    <x v="28"/>
    <x v="57"/>
    <n v="1.1423916437670001"/>
    <n v="1.096082172"/>
    <s v="EUR"/>
  </r>
  <r>
    <s v="ABI BREWDAT GLOBAL GAI DEV"/>
    <x v="0"/>
    <s v="Azure"/>
    <s v="Usage"/>
    <x v="28"/>
    <x v="58"/>
    <n v="1051.8745272615199"/>
    <n v="1009.2343749211"/>
    <s v="EUR"/>
  </r>
  <r>
    <s v="ABI BREWDAT GLOBAL GAI DEV"/>
    <x v="0"/>
    <s v="Azure"/>
    <s v="Usage"/>
    <x v="28"/>
    <x v="59"/>
    <n v="420.66823958894503"/>
    <n v="403.61548533360002"/>
    <s v="EUR"/>
  </r>
  <r>
    <s v="ABI BREWDAT GLOBAL GAI DEV"/>
    <x v="0"/>
    <s v="Azure"/>
    <s v="Usage"/>
    <x v="28"/>
    <x v="60"/>
    <n v="8.5049300952000001E-2"/>
    <n v="8.1601631999999993E-2"/>
    <s v="EUR"/>
  </r>
  <r>
    <s v="ABI BREWDAT GLOBAL GAI DEV"/>
    <x v="0"/>
    <s v="Azure"/>
    <s v="Usage"/>
    <x v="28"/>
    <x v="61"/>
    <n v="473.50818456596602"/>
    <n v="454.31344165600001"/>
    <s v="EUR"/>
  </r>
  <r>
    <s v="ABI BREWDAT GLOBAL GAI DEV"/>
    <x v="0"/>
    <s v="Azure"/>
    <s v="Usage"/>
    <x v="28"/>
    <x v="62"/>
    <n v="57.509670418933403"/>
    <n v="55.1783837073"/>
    <s v="EUR"/>
  </r>
  <r>
    <s v="ABI BREWDAT GLOBAL GAI DEV"/>
    <x v="0"/>
    <s v="Azure"/>
    <s v="Usage"/>
    <x v="28"/>
    <x v="63"/>
    <n v="131.513233246292"/>
    <n v="126.18204197293601"/>
    <s v="EUR"/>
  </r>
  <r>
    <s v="ABI BREWDAT GLOBAL GAI DEV"/>
    <x v="0"/>
    <s v="Azure"/>
    <s v="Usage"/>
    <x v="28"/>
    <x v="64"/>
    <n v="222.966607896395"/>
    <n v="213.92814382"/>
    <s v="EUR"/>
  </r>
  <r>
    <s v="ABI BREWDAT GLOBAL GAI DEV"/>
    <x v="0"/>
    <s v="Azure"/>
    <s v="Usage"/>
    <x v="28"/>
    <x v="65"/>
    <n v="188.60555828404"/>
    <n v="180.95999835360001"/>
    <s v="EUR"/>
  </r>
  <r>
    <s v="ABI BREWDAT GLOBAL GAI DEV"/>
    <x v="0"/>
    <s v="Azure"/>
    <s v="Usage"/>
    <x v="29"/>
    <x v="66"/>
    <n v="20.3472726294826"/>
    <n v="19.522449152777799"/>
    <s v="EUR"/>
  </r>
  <r>
    <s v="ABI BREWDAT GLOBAL GAI DEV"/>
    <x v="0"/>
    <s v="Azure"/>
    <s v="Usage"/>
    <x v="29"/>
    <x v="67"/>
    <n v="416.336790871939"/>
    <n v="399.45962184882598"/>
    <s v="EUR"/>
  </r>
  <r>
    <s v="ABI BREWDAT GLOBAL GAI DEV"/>
    <x v="0"/>
    <s v="Marketplace"/>
    <s v="Purchase"/>
    <x v="30"/>
    <x v="68"/>
    <n v="0"/>
    <n v="0"/>
    <s v="EUR"/>
  </r>
  <r>
    <s v="ABI BREWDAT GLOBAL GAI DEV"/>
    <x v="0"/>
    <s v="Marketplace"/>
    <s v="Usage"/>
    <x v="30"/>
    <x v="68"/>
    <n v="245.03714400000001"/>
    <n v="235.10400000000001"/>
    <s v="EUR"/>
  </r>
  <r>
    <s v="ABI BREWDAT GLOBAL GAI DEV"/>
    <x v="1"/>
    <s v="Azure"/>
    <s v="Usage"/>
    <x v="0"/>
    <x v="0"/>
    <n v="41.313215999999997"/>
    <n v="39.648000000000003"/>
    <s v="EUR"/>
  </r>
  <r>
    <s v="ABI BREWDAT GLOBAL GAI DEV"/>
    <x v="1"/>
    <s v="Azure"/>
    <s v="Usage"/>
    <x v="1"/>
    <x v="1"/>
    <n v="156.24098111999999"/>
    <n v="149.94336000000001"/>
    <s v="EUR"/>
  </r>
  <r>
    <s v="ABI BREWDAT GLOBAL GAI DEV"/>
    <x v="1"/>
    <s v="Azure"/>
    <s v="Usage"/>
    <x v="2"/>
    <x v="69"/>
    <n v="0"/>
    <n v="0"/>
    <s v="EUR"/>
  </r>
  <r>
    <s v="ABI BREWDAT GLOBAL GAI DEV"/>
    <x v="1"/>
    <s v="Azure"/>
    <s v="Usage"/>
    <x v="2"/>
    <x v="2"/>
    <n v="0"/>
    <n v="0"/>
    <s v="EUR"/>
  </r>
  <r>
    <s v="ABI BREWDAT GLOBAL GAI DEV"/>
    <x v="1"/>
    <s v="Azure"/>
    <s v="Usage"/>
    <x v="2"/>
    <x v="3"/>
    <n v="245.881048198592"/>
    <n v="235.970295776"/>
    <s v="EUR"/>
  </r>
  <r>
    <s v="ABI BREWDAT GLOBAL GAI DEV"/>
    <x v="1"/>
    <s v="Azure"/>
    <s v="Usage"/>
    <x v="2"/>
    <x v="4"/>
    <n v="1568.5017600000001"/>
    <n v="1505.28"/>
    <s v="EUR"/>
  </r>
  <r>
    <s v="ABI BREWDAT GLOBAL GAI DEV"/>
    <x v="1"/>
    <s v="Azure"/>
    <s v="Usage"/>
    <x v="2"/>
    <x v="5"/>
    <n v="15.2715976767123"/>
    <n v="14.6560438356164"/>
    <s v="EUR"/>
  </r>
  <r>
    <s v="ABI BREWDAT GLOBAL GAI DEV"/>
    <x v="1"/>
    <s v="Azure"/>
    <s v="Usage"/>
    <x v="3"/>
    <x v="6"/>
    <n v="3.3603864379999999"/>
    <n v="3.224939"/>
    <s v="EUR"/>
  </r>
  <r>
    <s v="ABI BREWDAT GLOBAL GAI DEV"/>
    <x v="1"/>
    <s v="Azure"/>
    <s v="Usage"/>
    <x v="4"/>
    <x v="7"/>
    <n v="54.029943674363899"/>
    <n v="51.852153238353097"/>
    <s v="EUR"/>
  </r>
  <r>
    <s v="ABI BREWDAT GLOBAL GAI DEV"/>
    <x v="1"/>
    <s v="Azure"/>
    <s v="Usage"/>
    <x v="5"/>
    <x v="8"/>
    <n v="125.340096"/>
    <n v="120.288"/>
    <s v="EUR"/>
  </r>
  <r>
    <s v="ABI BREWDAT GLOBAL GAI DEV"/>
    <x v="1"/>
    <s v="Azure"/>
    <s v="Usage"/>
    <x v="6"/>
    <x v="9"/>
    <n v="0.57428481423432298"/>
    <n v="0.55113705780645195"/>
    <s v="EUR"/>
  </r>
  <r>
    <s v="ABI BREWDAT GLOBAL GAI DEV"/>
    <x v="1"/>
    <s v="Azure"/>
    <s v="Usage"/>
    <x v="7"/>
    <x v="10"/>
    <n v="3.6422981313"/>
    <n v="3.4954876499999998"/>
    <s v="EUR"/>
  </r>
  <r>
    <s v="ABI BREWDAT GLOBAL GAI DEV"/>
    <x v="1"/>
    <s v="Azure"/>
    <s v="Usage"/>
    <x v="8"/>
    <x v="11"/>
    <n v="12.1673331612903"/>
    <n v="11.6769032258065"/>
    <s v="EUR"/>
  </r>
  <r>
    <s v="ABI BREWDAT GLOBAL GAI DEV"/>
    <x v="1"/>
    <s v="Azure"/>
    <s v="Usage"/>
    <x v="8"/>
    <x v="12"/>
    <n v="175.05600000000001"/>
    <n v="168"/>
    <s v="EUR"/>
  </r>
  <r>
    <s v="ABI BREWDAT GLOBAL GAI DEV"/>
    <x v="1"/>
    <s v="Azure"/>
    <s v="Usage"/>
    <x v="8"/>
    <x v="13"/>
    <n v="167.77367039999999"/>
    <n v="161.0112"/>
    <s v="EUR"/>
  </r>
  <r>
    <s v="ABI BREWDAT GLOBAL GAI DEV"/>
    <x v="1"/>
    <s v="Azure"/>
    <s v="Usage"/>
    <x v="9"/>
    <x v="14"/>
    <n v="8651.42955361452"/>
    <n v="8302.7155025091397"/>
    <s v="EUR"/>
  </r>
  <r>
    <s v="ABI BREWDAT GLOBAL GAI DEV"/>
    <x v="1"/>
    <s v="Azure"/>
    <s v="Usage"/>
    <x v="9"/>
    <x v="15"/>
    <n v="1365.0187777705901"/>
    <n v="1309.99882703511"/>
    <s v="EUR"/>
  </r>
  <r>
    <s v="ABI BREWDAT GLOBAL GAI DEV"/>
    <x v="1"/>
    <s v="Azure"/>
    <s v="Usage"/>
    <x v="10"/>
    <x v="16"/>
    <n v="182.40064250737001"/>
    <n v="175.048601254674"/>
    <s v="EUR"/>
  </r>
  <r>
    <s v="ABI BREWDAT GLOBAL GAI DEV"/>
    <x v="1"/>
    <s v="Azure"/>
    <s v="Usage"/>
    <x v="11"/>
    <x v="17"/>
    <n v="55.601360879070498"/>
    <n v="53.3602311699333"/>
    <s v="EUR"/>
  </r>
  <r>
    <s v="ABI BREWDAT GLOBAL GAI DEV"/>
    <x v="1"/>
    <s v="Azure"/>
    <s v="Usage"/>
    <x v="12"/>
    <x v="18"/>
    <n v="1.1650881561214199"/>
    <n v="1.1181268292911899"/>
    <s v="EUR"/>
  </r>
  <r>
    <s v="ABI BREWDAT GLOBAL GAI DEV"/>
    <x v="1"/>
    <s v="Azure"/>
    <s v="Usage"/>
    <x v="12"/>
    <x v="19"/>
    <n v="30.820413983947201"/>
    <n v="29.5781324222142"/>
    <s v="EUR"/>
  </r>
  <r>
    <s v="ABI BREWDAT GLOBAL GAI DEV"/>
    <x v="1"/>
    <s v="Azure"/>
    <s v="Usage"/>
    <x v="13"/>
    <x v="20"/>
    <n v="2361.9133515209301"/>
    <n v="2266.71146978976"/>
    <s v="EUR"/>
  </r>
  <r>
    <s v="ABI BREWDAT GLOBAL GAI DEV"/>
    <x v="1"/>
    <s v="Azure"/>
    <s v="Usage"/>
    <x v="14"/>
    <x v="21"/>
    <n v="78.1244192776185"/>
    <n v="74.975450362397794"/>
    <s v="EUR"/>
  </r>
  <r>
    <s v="ABI BREWDAT GLOBAL GAI DEV"/>
    <x v="1"/>
    <s v="Azure"/>
    <s v="Usage"/>
    <x v="16"/>
    <x v="23"/>
    <n v="1.3822529575739999"/>
    <n v="1.3265383470000001"/>
    <s v="EUR"/>
  </r>
  <r>
    <s v="ABI BREWDAT GLOBAL GAI DEV"/>
    <x v="1"/>
    <s v="Azure"/>
    <s v="Usage"/>
    <x v="17"/>
    <x v="24"/>
    <n v="11.14815020436"/>
    <n v="10.69880058"/>
    <s v="EUR"/>
  </r>
  <r>
    <s v="ABI BREWDAT GLOBAL GAI DEV"/>
    <x v="1"/>
    <s v="Azure"/>
    <s v="Usage"/>
    <x v="18"/>
    <x v="25"/>
    <n v="0.44393632667999999"/>
    <n v="0.42604254000000003"/>
    <s v="EUR"/>
  </r>
  <r>
    <s v="ABI BREWDAT GLOBAL GAI DEV"/>
    <x v="1"/>
    <s v="Azure"/>
    <s v="Usage"/>
    <x v="19"/>
    <x v="26"/>
    <n v="136.07677119297699"/>
    <n v="130.59191093375901"/>
    <s v="EUR"/>
  </r>
  <r>
    <s v="ABI BREWDAT GLOBAL GAI DEV"/>
    <x v="1"/>
    <s v="Azure"/>
    <s v="Usage"/>
    <x v="20"/>
    <x v="27"/>
    <n v="18.516344750822501"/>
    <n v="17.770004559330602"/>
    <s v="EUR"/>
  </r>
  <r>
    <s v="ABI BREWDAT GLOBAL GAI DEV"/>
    <x v="1"/>
    <s v="Azure"/>
    <s v="Usage"/>
    <x v="21"/>
    <x v="28"/>
    <n v="189.23569230000001"/>
    <n v="181.60814999999999"/>
    <s v="EUR"/>
  </r>
  <r>
    <s v="ABI BREWDAT GLOBAL GAI DEV"/>
    <x v="1"/>
    <s v="Azure"/>
    <s v="Usage"/>
    <x v="21"/>
    <x v="29"/>
    <n v="161.6244116"/>
    <n v="155.10980000000001"/>
    <s v="EUR"/>
  </r>
  <r>
    <s v="ABI BREWDAT GLOBAL GAI DEV"/>
    <x v="1"/>
    <s v="Azure"/>
    <s v="Usage"/>
    <x v="21"/>
    <x v="30"/>
    <n v="1.53974777"/>
    <n v="1.4776849999999999"/>
    <s v="EUR"/>
  </r>
  <r>
    <s v="ABI BREWDAT GLOBAL GAI DEV"/>
    <x v="1"/>
    <s v="Azure"/>
    <s v="Usage"/>
    <x v="21"/>
    <x v="31"/>
    <n v="16.658554838709701"/>
    <n v="15.987096774193599"/>
    <s v="EUR"/>
  </r>
  <r>
    <s v="ABI BREWDAT GLOBAL GAI DEV"/>
    <x v="1"/>
    <s v="Azure"/>
    <s v="Usage"/>
    <x v="21"/>
    <x v="32"/>
    <n v="2.8492114559999999"/>
    <n v="2.7343679999999999"/>
    <s v="EUR"/>
  </r>
  <r>
    <s v="ABI BREWDAT GLOBAL GAI DEV"/>
    <x v="1"/>
    <s v="Azure"/>
    <s v="Usage"/>
    <x v="21"/>
    <x v="33"/>
    <n v="15.002110967741899"/>
    <n v="14.3974193548387"/>
    <s v="EUR"/>
  </r>
  <r>
    <s v="ABI BREWDAT GLOBAL GAI DEV"/>
    <x v="1"/>
    <s v="Azure"/>
    <s v="Usage"/>
    <x v="21"/>
    <x v="34"/>
    <n v="150.06533564743299"/>
    <n v="144.016636897729"/>
    <s v="EUR"/>
  </r>
  <r>
    <s v="ABI BREWDAT GLOBAL GAI DEV"/>
    <x v="1"/>
    <s v="Azure"/>
    <s v="Usage"/>
    <x v="21"/>
    <x v="35"/>
    <n v="103.51112338"/>
    <n v="99.338890000000006"/>
    <s v="EUR"/>
  </r>
  <r>
    <s v="ABI BREWDAT GLOBAL GAI DEV"/>
    <x v="1"/>
    <s v="Azure"/>
    <s v="Usage"/>
    <x v="22"/>
    <x v="36"/>
    <n v="30.449335892058201"/>
    <n v="29.222011412723798"/>
    <s v="EUR"/>
  </r>
  <r>
    <s v="ABI BREWDAT GLOBAL GAI DEV"/>
    <x v="1"/>
    <s v="Azure"/>
    <s v="Usage"/>
    <x v="23"/>
    <x v="37"/>
    <n v="397.30709760000002"/>
    <n v="381.2928"/>
    <s v="EUR"/>
  </r>
  <r>
    <s v="ABI BREWDAT GLOBAL GAI DEV"/>
    <x v="1"/>
    <s v="Azure"/>
    <s v="Usage"/>
    <x v="24"/>
    <x v="38"/>
    <n v="110.86879999999999"/>
    <n v="106.4"/>
    <s v="EUR"/>
  </r>
  <r>
    <s v="ABI BREWDAT GLOBAL GAI DEV"/>
    <x v="1"/>
    <s v="Azure"/>
    <s v="Usage"/>
    <x v="24"/>
    <x v="39"/>
    <n v="3499.9529600000001"/>
    <n v="3358.88"/>
    <s v="EUR"/>
  </r>
  <r>
    <s v="ABI BREWDAT GLOBAL GAI DEV"/>
    <x v="1"/>
    <s v="Azure"/>
    <s v="Usage"/>
    <x v="24"/>
    <x v="40"/>
    <n v="55.528516129032297"/>
    <n v="53.290322580645203"/>
    <s v="EUR"/>
  </r>
  <r>
    <s v="ABI BREWDAT GLOBAL GAI DEV"/>
    <x v="1"/>
    <s v="Azure"/>
    <s v="Usage"/>
    <x v="25"/>
    <x v="41"/>
    <n v="25.170447647867999"/>
    <n v="24.155899854000001"/>
    <s v="EUR"/>
  </r>
  <r>
    <s v="ABI BREWDAT GLOBAL GAI DEV"/>
    <x v="1"/>
    <s v="Azure"/>
    <s v="Usage"/>
    <x v="26"/>
    <x v="42"/>
    <n v="110.86879999999999"/>
    <n v="106.4"/>
    <s v="EUR"/>
  </r>
  <r>
    <s v="ABI BREWDAT GLOBAL GAI DEV"/>
    <x v="1"/>
    <s v="Azure"/>
    <s v="Usage"/>
    <x v="27"/>
    <x v="43"/>
    <n v="71.057207573639005"/>
    <n v="68.193097479499997"/>
    <s v="EUR"/>
  </r>
  <r>
    <s v="ABI BREWDAT GLOBAL GAI DEV"/>
    <x v="1"/>
    <s v="Azure"/>
    <s v="Usage"/>
    <x v="27"/>
    <x v="44"/>
    <n v="3.5146634063994799"/>
    <n v="3.3729975109399999"/>
    <s v="EUR"/>
  </r>
  <r>
    <s v="ABI BREWDAT GLOBAL GAI DEV"/>
    <x v="1"/>
    <s v="Azure"/>
    <s v="Usage"/>
    <x v="27"/>
    <x v="45"/>
    <n v="7.6907207878534001"/>
    <n v="7.3807301227000002"/>
    <s v="EUR"/>
  </r>
  <r>
    <s v="ABI BREWDAT GLOBAL GAI DEV"/>
    <x v="1"/>
    <s v="Azure"/>
    <s v="Usage"/>
    <x v="27"/>
    <x v="46"/>
    <n v="6.9322175999999999E-5"/>
    <n v="6.6527999999999997E-5"/>
    <s v="EUR"/>
  </r>
  <r>
    <s v="ABI BREWDAT GLOBAL GAI DEV"/>
    <x v="1"/>
    <s v="Azure"/>
    <s v="Usage"/>
    <x v="27"/>
    <x v="47"/>
    <n v="4.8298288424800002E-2"/>
    <n v="4.6351524400000003E-2"/>
    <s v="EUR"/>
  </r>
  <r>
    <s v="ABI BREWDAT GLOBAL GAI DEV"/>
    <x v="1"/>
    <s v="Azure"/>
    <s v="Usage"/>
    <x v="27"/>
    <x v="48"/>
    <n v="8.4631980951090995"/>
    <n v="8.1220711085499993"/>
    <s v="EUR"/>
  </r>
  <r>
    <s v="ABI BREWDAT GLOBAL GAI DEV"/>
    <x v="1"/>
    <s v="Azure"/>
    <s v="Usage"/>
    <x v="27"/>
    <x v="49"/>
    <n v="606.01358659093603"/>
    <n v="581.58693530799997"/>
    <s v="EUR"/>
  </r>
  <r>
    <s v="ABI BREWDAT GLOBAL GAI DEV"/>
    <x v="1"/>
    <s v="Azure"/>
    <s v="Usage"/>
    <x v="27"/>
    <x v="50"/>
    <n v="1.8997744E-4"/>
    <n v="1.8232E-4"/>
    <s v="EUR"/>
  </r>
  <r>
    <s v="ABI BREWDAT GLOBAL GAI DEV"/>
    <x v="1"/>
    <s v="Azure"/>
    <s v="Usage"/>
    <x v="27"/>
    <x v="51"/>
    <n v="1.7947147812600001E-2"/>
    <n v="1.72237503E-2"/>
    <s v="EUR"/>
  </r>
  <r>
    <s v="ABI BREWDAT GLOBAL GAI DEV"/>
    <x v="1"/>
    <s v="Azure"/>
    <s v="Usage"/>
    <x v="27"/>
    <x v="52"/>
    <n v="3.0547592640071999"/>
    <n v="2.9316307716000001"/>
    <s v="EUR"/>
  </r>
  <r>
    <s v="ABI BREWDAT GLOBAL GAI DEV"/>
    <x v="1"/>
    <s v="Azure"/>
    <s v="Usage"/>
    <x v="27"/>
    <x v="53"/>
    <n v="29.583095226716001"/>
    <n v="28.390686398"/>
    <s v="EUR"/>
  </r>
  <r>
    <s v="ABI BREWDAT GLOBAL GAI DEV"/>
    <x v="1"/>
    <s v="Azure"/>
    <s v="Usage"/>
    <x v="27"/>
    <x v="54"/>
    <n v="1.169030705572"/>
    <n v="1.1219104660000001"/>
    <s v="EUR"/>
  </r>
  <r>
    <s v="ABI BREWDAT GLOBAL GAI DEV"/>
    <x v="1"/>
    <s v="Azure"/>
    <s v="Usage"/>
    <x v="27"/>
    <x v="55"/>
    <n v="1.268765391712E-2"/>
    <n v="1.2176251359999999E-2"/>
    <s v="EUR"/>
  </r>
  <r>
    <s v="ABI BREWDAT GLOBAL GAI DEV"/>
    <x v="1"/>
    <s v="Azure"/>
    <s v="Usage"/>
    <x v="28"/>
    <x v="56"/>
    <n v="5.8499049957599997E-2"/>
    <n v="5.6141122799999998E-2"/>
    <s v="EUR"/>
  </r>
  <r>
    <s v="ABI BREWDAT GLOBAL GAI DEV"/>
    <x v="1"/>
    <s v="Azure"/>
    <s v="Usage"/>
    <x v="28"/>
    <x v="58"/>
    <n v="1268.46936935484"/>
    <n v="1217.3410454461"/>
    <s v="EUR"/>
  </r>
  <r>
    <s v="ABI BREWDAT GLOBAL GAI DEV"/>
    <x v="1"/>
    <s v="Azure"/>
    <s v="Usage"/>
    <x v="28"/>
    <x v="59"/>
    <n v="379.862109700605"/>
    <n v="364.55096900249998"/>
    <s v="EUR"/>
  </r>
  <r>
    <s v="ABI BREWDAT GLOBAL GAI DEV"/>
    <x v="1"/>
    <s v="Azure"/>
    <s v="Usage"/>
    <x v="28"/>
    <x v="60"/>
    <n v="0.102534850656"/>
    <n v="9.8401968000000006E-2"/>
    <s v="EUR"/>
  </r>
  <r>
    <s v="ABI BREWDAT GLOBAL GAI DEV"/>
    <x v="1"/>
    <s v="Azure"/>
    <s v="Usage"/>
    <x v="28"/>
    <x v="61"/>
    <n v="458.25373638859799"/>
    <n v="439.78285641899998"/>
    <s v="EUR"/>
  </r>
  <r>
    <s v="ABI BREWDAT GLOBAL GAI DEV"/>
    <x v="1"/>
    <s v="Azure"/>
    <s v="Usage"/>
    <x v="28"/>
    <x v="62"/>
    <n v="32.5959187402634"/>
    <n v="31.2820717277"/>
    <s v="EUR"/>
  </r>
  <r>
    <s v="ABI BREWDAT GLOBAL GAI DEV"/>
    <x v="1"/>
    <s v="Azure"/>
    <s v="Usage"/>
    <x v="28"/>
    <x v="63"/>
    <n v="114.12983510303999"/>
    <n v="109.529592229405"/>
    <s v="EUR"/>
  </r>
  <r>
    <s v="ABI BREWDAT GLOBAL GAI DEV"/>
    <x v="1"/>
    <s v="Azure"/>
    <s v="Usage"/>
    <x v="28"/>
    <x v="64"/>
    <n v="238.06437168727999"/>
    <n v="228.46868684"/>
    <s v="EUR"/>
  </r>
  <r>
    <s v="ABI BREWDAT GLOBAL GAI DEV"/>
    <x v="1"/>
    <s v="Azure"/>
    <s v="Usage"/>
    <x v="28"/>
    <x v="65"/>
    <n v="21.276112644944401"/>
    <n v="20.418534208200001"/>
    <s v="EUR"/>
  </r>
  <r>
    <s v="ABI BREWDAT GLOBAL GAI DEV"/>
    <x v="1"/>
    <s v="Azure"/>
    <s v="Usage"/>
    <x v="29"/>
    <x v="66"/>
    <n v="18.1168893"/>
    <n v="17.386649999999999"/>
    <s v="EUR"/>
  </r>
  <r>
    <s v="ABI BREWDAT GLOBAL GAI DEV"/>
    <x v="1"/>
    <s v="Azure"/>
    <s v="Usage"/>
    <x v="29"/>
    <x v="67"/>
    <n v="364.44312340403798"/>
    <n v="349.75347735512298"/>
    <s v="EUR"/>
  </r>
  <r>
    <s v="ABI BREWDAT GLOBAL GAI DEV"/>
    <x v="1"/>
    <s v="Marketplace"/>
    <s v="Purchase"/>
    <x v="30"/>
    <x v="68"/>
    <n v="0"/>
    <n v="0"/>
    <s v="EUR"/>
  </r>
  <r>
    <s v="ABI BREWDAT GLOBAL GAI DEV"/>
    <x v="1"/>
    <s v="Marketplace"/>
    <s v="Usage"/>
    <x v="30"/>
    <x v="68"/>
    <n v="221.27078399999999"/>
    <n v="212.352"/>
    <s v="EUR"/>
  </r>
  <r>
    <s v="ABI BREWDAT GLOBAL GAI DEV"/>
    <x v="2"/>
    <s v="Azure"/>
    <s v="Usage"/>
    <x v="0"/>
    <x v="0"/>
    <n v="46.119332399999998"/>
    <n v="43.896000000000001"/>
    <s v="EUR"/>
  </r>
  <r>
    <s v="ABI BREWDAT GLOBAL GAI DEV"/>
    <x v="2"/>
    <s v="Azure"/>
    <s v="Usage"/>
    <x v="1"/>
    <x v="1"/>
    <n v="174.417061668"/>
    <n v="166.00872000000001"/>
    <s v="EUR"/>
  </r>
  <r>
    <s v="ABI BREWDAT GLOBAL GAI DEV"/>
    <x v="2"/>
    <s v="Azure"/>
    <s v="Usage"/>
    <x v="2"/>
    <x v="2"/>
    <n v="0"/>
    <n v="0"/>
    <s v="EUR"/>
  </r>
  <r>
    <s v="ABI BREWDAT GLOBAL GAI DEV"/>
    <x v="2"/>
    <s v="Azure"/>
    <s v="Usage"/>
    <x v="2"/>
    <x v="3"/>
    <n v="288.59758512000002"/>
    <n v="274.6848"/>
    <s v="EUR"/>
  </r>
  <r>
    <s v="ABI BREWDAT GLOBAL GAI DEV"/>
    <x v="2"/>
    <s v="Azure"/>
    <s v="Usage"/>
    <x v="2"/>
    <x v="4"/>
    <n v="1750.971264"/>
    <n v="1666.56"/>
    <s v="EUR"/>
  </r>
  <r>
    <s v="ABI BREWDAT GLOBAL GAI DEV"/>
    <x v="2"/>
    <s v="Azure"/>
    <s v="Usage"/>
    <x v="2"/>
    <x v="5"/>
    <n v="17.0481980761644"/>
    <n v="16.226334246575298"/>
    <s v="EUR"/>
  </r>
  <r>
    <s v="ABI BREWDAT GLOBAL GAI DEV"/>
    <x v="2"/>
    <s v="Azure"/>
    <s v="Usage"/>
    <x v="3"/>
    <x v="6"/>
    <n v="16.086348650034999"/>
    <n v="15.3108539"/>
    <s v="EUR"/>
  </r>
  <r>
    <s v="ABI BREWDAT GLOBAL GAI DEV"/>
    <x v="2"/>
    <s v="Azure"/>
    <s v="Usage"/>
    <x v="5"/>
    <x v="8"/>
    <n v="139.92136439999999"/>
    <n v="133.17599999999999"/>
    <s v="EUR"/>
  </r>
  <r>
    <s v="ABI BREWDAT GLOBAL GAI DEV"/>
    <x v="2"/>
    <s v="Azure"/>
    <s v="Usage"/>
    <x v="6"/>
    <x v="9"/>
    <n v="0.64120674853979998"/>
    <n v="0.61029529199999999"/>
    <s v="EUR"/>
  </r>
  <r>
    <s v="ABI BREWDAT GLOBAL GAI DEV"/>
    <x v="2"/>
    <s v="Azure"/>
    <s v="Usage"/>
    <x v="7"/>
    <x v="10"/>
    <n v="4.2370545958400001"/>
    <n v="4.0327935999999998"/>
    <s v="EUR"/>
  </r>
  <r>
    <s v="ABI BREWDAT GLOBAL GAI DEV"/>
    <x v="2"/>
    <s v="Azure"/>
    <s v="Usage"/>
    <x v="8"/>
    <x v="11"/>
    <n v="13.582803200000001"/>
    <n v="12.928000000000001"/>
    <s v="EUR"/>
  </r>
  <r>
    <s v="ABI BREWDAT GLOBAL GAI DEV"/>
    <x v="2"/>
    <s v="Azure"/>
    <s v="Usage"/>
    <x v="8"/>
    <x v="12"/>
    <n v="195.42089999999999"/>
    <n v="186"/>
    <s v="EUR"/>
  </r>
  <r>
    <s v="ABI BREWDAT GLOBAL GAI DEV"/>
    <x v="2"/>
    <s v="Azure"/>
    <s v="Usage"/>
    <x v="8"/>
    <x v="13"/>
    <n v="187.29139056"/>
    <n v="178.26240000000001"/>
    <s v="EUR"/>
  </r>
  <r>
    <s v="ABI BREWDAT GLOBAL GAI DEV"/>
    <x v="2"/>
    <s v="Azure"/>
    <s v="Usage"/>
    <x v="9"/>
    <x v="14"/>
    <n v="8087.3307322151704"/>
    <n v="7697.4546539905396"/>
    <s v="EUR"/>
  </r>
  <r>
    <s v="ABI BREWDAT GLOBAL GAI DEV"/>
    <x v="2"/>
    <s v="Azure"/>
    <s v="Usage"/>
    <x v="9"/>
    <x v="15"/>
    <n v="1566.54386641774"/>
    <n v="1491.0235248824399"/>
    <s v="EUR"/>
  </r>
  <r>
    <s v="ABI BREWDAT GLOBAL GAI DEV"/>
    <x v="2"/>
    <s v="Azure"/>
    <s v="Usage"/>
    <x v="10"/>
    <x v="16"/>
    <n v="202.47353453431501"/>
    <n v="192.71263935117699"/>
    <s v="EUR"/>
  </r>
  <r>
    <s v="ABI BREWDAT GLOBAL GAI DEV"/>
    <x v="2"/>
    <s v="Azure"/>
    <s v="Usage"/>
    <x v="11"/>
    <x v="17"/>
    <n v="72.252276702327904"/>
    <n v="68.7691207369989"/>
    <s v="EUR"/>
  </r>
  <r>
    <s v="ABI BREWDAT GLOBAL GAI DEV"/>
    <x v="2"/>
    <s v="Azure"/>
    <s v="Usage"/>
    <x v="12"/>
    <x v="18"/>
    <n v="1.2517289825482101"/>
    <n v="1.19138531627869"/>
    <s v="EUR"/>
  </r>
  <r>
    <s v="ABI BREWDAT GLOBAL GAI DEV"/>
    <x v="2"/>
    <s v="Azure"/>
    <s v="Usage"/>
    <x v="12"/>
    <x v="19"/>
    <n v="33.7038207231504"/>
    <n v="32.079018439204702"/>
    <s v="EUR"/>
  </r>
  <r>
    <s v="ABI BREWDAT GLOBAL GAI DEV"/>
    <x v="2"/>
    <s v="Azure"/>
    <s v="Usage"/>
    <x v="13"/>
    <x v="20"/>
    <n v="10637.9792284615"/>
    <n v="10125.140844678501"/>
    <s v="EUR"/>
  </r>
  <r>
    <s v="ABI BREWDAT GLOBAL GAI DEV"/>
    <x v="2"/>
    <s v="Azure"/>
    <s v="Usage"/>
    <x v="14"/>
    <x v="21"/>
    <n v="92.824215891810596"/>
    <n v="88.349322697197493"/>
    <s v="EUR"/>
  </r>
  <r>
    <s v="ABI BREWDAT GLOBAL GAI DEV"/>
    <x v="2"/>
    <s v="Azure"/>
    <s v="Usage"/>
    <x v="16"/>
    <x v="23"/>
    <n v="0.5836923036867"/>
    <n v="0.55555351799999997"/>
    <s v="EUR"/>
  </r>
  <r>
    <s v="ABI BREWDAT GLOBAL GAI DEV"/>
    <x v="2"/>
    <s v="Azure"/>
    <s v="Usage"/>
    <x v="17"/>
    <x v="24"/>
    <n v="12.4610271930298"/>
    <n v="11.8603028535"/>
    <s v="EUR"/>
  </r>
  <r>
    <s v="ABI BREWDAT GLOBAL GAI DEV"/>
    <x v="2"/>
    <s v="Azure"/>
    <s v="Usage"/>
    <x v="18"/>
    <x v="25"/>
    <n v="0.61069806629699996"/>
    <n v="0.58125738000000005"/>
    <s v="EUR"/>
  </r>
  <r>
    <s v="ABI BREWDAT GLOBAL GAI DEV"/>
    <x v="2"/>
    <s v="Azure"/>
    <s v="Usage"/>
    <x v="19"/>
    <x v="26"/>
    <n v="171.15025150865901"/>
    <n v="162.89939704816899"/>
    <s v="EUR"/>
  </r>
  <r>
    <s v="ABI BREWDAT GLOBAL GAI DEV"/>
    <x v="2"/>
    <s v="Azure"/>
    <s v="Usage"/>
    <x v="20"/>
    <x v="27"/>
    <n v="30.849497806236801"/>
    <n v="29.362297440857301"/>
    <s v="EUR"/>
  </r>
  <r>
    <s v="ABI BREWDAT GLOBAL GAI DEV"/>
    <x v="2"/>
    <s v="Azure"/>
    <s v="Usage"/>
    <x v="21"/>
    <x v="28"/>
    <n v="220.64489469349999"/>
    <n v="210.00799000000001"/>
    <s v="EUR"/>
  </r>
  <r>
    <s v="ABI BREWDAT GLOBAL GAI DEV"/>
    <x v="2"/>
    <s v="Azure"/>
    <s v="Usage"/>
    <x v="21"/>
    <x v="29"/>
    <n v="182.28861552000001"/>
    <n v="173.5008"/>
    <s v="EUR"/>
  </r>
  <r>
    <s v="ABI BREWDAT GLOBAL GAI DEV"/>
    <x v="2"/>
    <s v="Azure"/>
    <s v="Usage"/>
    <x v="21"/>
    <x v="30"/>
    <n v="1.7240031798"/>
    <n v="1.640892"/>
    <s v="EUR"/>
  </r>
  <r>
    <s v="ABI BREWDAT GLOBAL GAI DEV"/>
    <x v="2"/>
    <s v="Azure"/>
    <s v="Usage"/>
    <x v="21"/>
    <x v="31"/>
    <n v="18.596505000000001"/>
    <n v="17.7"/>
    <s v="EUR"/>
  </r>
  <r>
    <s v="ABI BREWDAT GLOBAL GAI DEV"/>
    <x v="2"/>
    <s v="Azure"/>
    <s v="Usage"/>
    <x v="21"/>
    <x v="32"/>
    <n v="3.1806705684000001"/>
    <n v="3.027336"/>
    <s v="EUR"/>
  </r>
  <r>
    <s v="ABI BREWDAT GLOBAL GAI DEV"/>
    <x v="2"/>
    <s v="Azure"/>
    <s v="Usage"/>
    <x v="21"/>
    <x v="33"/>
    <n v="16.747361000000001"/>
    <n v="15.94"/>
    <s v="EUR"/>
  </r>
  <r>
    <s v="ABI BREWDAT GLOBAL GAI DEV"/>
    <x v="2"/>
    <s v="Azure"/>
    <s v="Usage"/>
    <x v="21"/>
    <x v="34"/>
    <n v="146.91231004143901"/>
    <n v="139.82992437199701"/>
    <s v="EUR"/>
  </r>
  <r>
    <s v="ABI BREWDAT GLOBAL GAI DEV"/>
    <x v="2"/>
    <s v="Azure"/>
    <s v="Usage"/>
    <x v="21"/>
    <x v="35"/>
    <n v="116.2510919395"/>
    <n v="110.64682999999999"/>
    <s v="EUR"/>
  </r>
  <r>
    <s v="ABI BREWDAT GLOBAL GAI DEV"/>
    <x v="2"/>
    <s v="Azure"/>
    <s v="Usage"/>
    <x v="22"/>
    <x v="36"/>
    <n v="31.141996797080601"/>
    <n v="29.640695566630701"/>
    <s v="EUR"/>
  </r>
  <r>
    <s v="ABI BREWDAT GLOBAL GAI DEV"/>
    <x v="2"/>
    <s v="Azure"/>
    <s v="Usage"/>
    <x v="23"/>
    <x v="37"/>
    <n v="443.52727463999997"/>
    <n v="422.1456"/>
    <s v="EUR"/>
  </r>
  <r>
    <s v="ABI BREWDAT GLOBAL GAI DEV"/>
    <x v="2"/>
    <s v="Azure"/>
    <s v="Usage"/>
    <x v="24"/>
    <x v="38"/>
    <n v="123.76657"/>
    <n v="117.8"/>
    <s v="EUR"/>
  </r>
  <r>
    <s v="ABI BREWDAT GLOBAL GAI DEV"/>
    <x v="2"/>
    <s v="Azure"/>
    <s v="Usage"/>
    <x v="24"/>
    <x v="39"/>
    <n v="3907.115194"/>
    <n v="3718.76"/>
    <s v="EUR"/>
  </r>
  <r>
    <s v="ABI BREWDAT GLOBAL GAI DEV"/>
    <x v="2"/>
    <s v="Azure"/>
    <s v="Usage"/>
    <x v="24"/>
    <x v="40"/>
    <n v="61.988349999999997"/>
    <n v="59"/>
    <s v="EUR"/>
  </r>
  <r>
    <s v="ABI BREWDAT GLOBAL GAI DEV"/>
    <x v="2"/>
    <s v="Azure"/>
    <s v="Usage"/>
    <x v="25"/>
    <x v="41"/>
    <n v="28.412135117585599"/>
    <n v="27.042435746999999"/>
    <s v="EUR"/>
  </r>
  <r>
    <s v="ABI BREWDAT GLOBAL GAI DEV"/>
    <x v="2"/>
    <s v="Azure"/>
    <s v="Usage"/>
    <x v="26"/>
    <x v="42"/>
    <n v="123.76657"/>
    <n v="117.8"/>
    <s v="EUR"/>
  </r>
  <r>
    <s v="ABI BREWDAT GLOBAL GAI DEV"/>
    <x v="2"/>
    <s v="Azure"/>
    <s v="Usage"/>
    <x v="27"/>
    <x v="43"/>
    <n v="76.311503162380106"/>
    <n v="72.632658984800003"/>
    <s v="EUR"/>
  </r>
  <r>
    <s v="ABI BREWDAT GLOBAL GAI DEV"/>
    <x v="2"/>
    <s v="Azure"/>
    <s v="Usage"/>
    <x v="27"/>
    <x v="44"/>
    <n v="4.9926215769754902"/>
    <n v="4.7519360176800003"/>
    <s v="EUR"/>
  </r>
  <r>
    <s v="ABI BREWDAT GLOBAL GAI DEV"/>
    <x v="2"/>
    <s v="Azure"/>
    <s v="Usage"/>
    <x v="27"/>
    <x v="45"/>
    <n v="22.2532187031177"/>
    <n v="21.180429927300001"/>
    <s v="EUR"/>
  </r>
  <r>
    <s v="ABI BREWDAT GLOBAL GAI DEV"/>
    <x v="2"/>
    <s v="Azure"/>
    <s v="Usage"/>
    <x v="27"/>
    <x v="46"/>
    <n v="7.7386676399999996E-5"/>
    <n v="7.3656000000000001E-5"/>
    <s v="EUR"/>
  </r>
  <r>
    <s v="ABI BREWDAT GLOBAL GAI DEV"/>
    <x v="2"/>
    <s v="Azure"/>
    <s v="Usage"/>
    <x v="27"/>
    <x v="47"/>
    <n v="6.9484103157400001E-2"/>
    <n v="6.6134395999999998E-2"/>
    <s v="EUR"/>
  </r>
  <r>
    <s v="ABI BREWDAT GLOBAL GAI DEV"/>
    <x v="2"/>
    <s v="Azure"/>
    <s v="Usage"/>
    <x v="27"/>
    <x v="48"/>
    <n v="6.4637748281073604"/>
    <n v="6.1521675420999999"/>
    <s v="EUR"/>
  </r>
  <r>
    <s v="ABI BREWDAT GLOBAL GAI DEV"/>
    <x v="2"/>
    <s v="Azure"/>
    <s v="Usage"/>
    <x v="27"/>
    <x v="49"/>
    <n v="636.17959493164199"/>
    <n v="605.51048867999998"/>
    <s v="EUR"/>
  </r>
  <r>
    <s v="ABI BREWDAT GLOBAL GAI DEV"/>
    <x v="2"/>
    <s v="Azure"/>
    <s v="Usage"/>
    <x v="27"/>
    <x v="50"/>
    <n v="1.6219766596E-4"/>
    <n v="1.5437839999999999E-4"/>
    <s v="EUR"/>
  </r>
  <r>
    <s v="ABI BREWDAT GLOBAL GAI DEV"/>
    <x v="2"/>
    <s v="Azure"/>
    <s v="Usage"/>
    <x v="27"/>
    <x v="51"/>
    <n v="1.9137117798019999E-2"/>
    <n v="1.82145508E-2"/>
    <s v="EUR"/>
  </r>
  <r>
    <s v="ABI BREWDAT GLOBAL GAI DEV"/>
    <x v="2"/>
    <s v="Azure"/>
    <s v="Usage"/>
    <x v="27"/>
    <x v="52"/>
    <n v="3.5405252686872299"/>
    <n v="3.3698427342000001"/>
    <s v="EUR"/>
  </r>
  <r>
    <s v="ABI BREWDAT GLOBAL GAI DEV"/>
    <x v="2"/>
    <s v="Azure"/>
    <s v="Usage"/>
    <x v="27"/>
    <x v="53"/>
    <n v="29.071972770456998"/>
    <n v="27.670463779999999"/>
    <s v="EUR"/>
  </r>
  <r>
    <s v="ABI BREWDAT GLOBAL GAI DEV"/>
    <x v="2"/>
    <s v="Azure"/>
    <s v="Usage"/>
    <x v="27"/>
    <x v="54"/>
    <n v="1.18109299981102"/>
    <n v="1.1241545708"/>
    <s v="EUR"/>
  </r>
  <r>
    <s v="ABI BREWDAT GLOBAL GAI DEV"/>
    <x v="2"/>
    <s v="Azure"/>
    <s v="Usage"/>
    <x v="27"/>
    <x v="55"/>
    <n v="1.1646980280818E-2"/>
    <n v="1.1085499719999999E-2"/>
    <s v="EUR"/>
  </r>
  <r>
    <s v="ABI BREWDAT GLOBAL GAI DEV"/>
    <x v="2"/>
    <s v="Azure"/>
    <s v="Usage"/>
    <x v="28"/>
    <x v="70"/>
    <n v="5.4626750800000003"/>
    <n v="5.19932906296102"/>
    <s v="EUR"/>
  </r>
  <r>
    <s v="ABI BREWDAT GLOBAL GAI DEV"/>
    <x v="2"/>
    <s v="Azure"/>
    <s v="Usage"/>
    <x v="28"/>
    <x v="71"/>
    <n v="8.0001599999999992E-3"/>
    <n v="7.6144862704040396E-3"/>
    <s v="EUR"/>
  </r>
  <r>
    <s v="ABI BREWDAT GLOBAL GAI DEV"/>
    <x v="2"/>
    <s v="Azure"/>
    <s v="Usage"/>
    <x v="28"/>
    <x v="58"/>
    <n v="1498.25000120291"/>
    <n v="1426.0219875343"/>
    <s v="EUR"/>
  </r>
  <r>
    <s v="ABI BREWDAT GLOBAL GAI DEV"/>
    <x v="2"/>
    <s v="Azure"/>
    <s v="Usage"/>
    <x v="28"/>
    <x v="59"/>
    <n v="424.04437441593598"/>
    <n v="403.60193634030003"/>
    <s v="EUR"/>
  </r>
  <r>
    <s v="ABI BREWDAT GLOBAL GAI DEV"/>
    <x v="2"/>
    <s v="Azure"/>
    <s v="Usage"/>
    <x v="28"/>
    <x v="60"/>
    <n v="20.215354437698402"/>
    <n v="19.240807535999998"/>
    <s v="EUR"/>
  </r>
  <r>
    <s v="ABI BREWDAT GLOBAL GAI DEV"/>
    <x v="2"/>
    <s v="Azure"/>
    <s v="Usage"/>
    <x v="28"/>
    <x v="61"/>
    <n v="547.66787186399301"/>
    <n v="521.26576106599998"/>
    <s v="EUR"/>
  </r>
  <r>
    <s v="ABI BREWDAT GLOBAL GAI DEV"/>
    <x v="2"/>
    <s v="Azure"/>
    <s v="Usage"/>
    <x v="28"/>
    <x v="62"/>
    <n v="83.223519863472802"/>
    <n v="79.211459442700004"/>
    <s v="EUR"/>
  </r>
  <r>
    <s v="ABI BREWDAT GLOBAL GAI DEV"/>
    <x v="2"/>
    <s v="Azure"/>
    <s v="Usage"/>
    <x v="28"/>
    <x v="63"/>
    <n v="130.468831973113"/>
    <n v="124.17915763871299"/>
    <s v="EUR"/>
  </r>
  <r>
    <s v="ABI BREWDAT GLOBAL GAI DEV"/>
    <x v="2"/>
    <s v="Azure"/>
    <s v="Usage"/>
    <x v="28"/>
    <x v="64"/>
    <n v="224.596215455672"/>
    <n v="213.76882449499999"/>
    <s v="EUR"/>
  </r>
  <r>
    <s v="ABI BREWDAT GLOBAL GAI DEV"/>
    <x v="2"/>
    <s v="Azure"/>
    <s v="Usage"/>
    <x v="28"/>
    <x v="65"/>
    <n v="6.1164813021795002E-2"/>
    <n v="5.8216164299999998E-2"/>
    <s v="EUR"/>
  </r>
  <r>
    <s v="ABI BREWDAT GLOBAL GAI DEV"/>
    <x v="2"/>
    <s v="Azure"/>
    <s v="Usage"/>
    <x v="29"/>
    <x v="66"/>
    <n v="19.4735845701965"/>
    <n v="18.534797097222199"/>
    <s v="EUR"/>
  </r>
  <r>
    <s v="ABI BREWDAT GLOBAL GAI DEV"/>
    <x v="2"/>
    <s v="Azure"/>
    <s v="Usage"/>
    <x v="29"/>
    <x v="67"/>
    <n v="419.55101729021197"/>
    <n v="399.32519610737302"/>
    <s v="EUR"/>
  </r>
  <r>
    <s v="ABI BREWDAT GLOBAL GAI DEV"/>
    <x v="2"/>
    <s v="Azure"/>
    <s v="Usage"/>
    <x v="31"/>
    <x v="72"/>
    <n v="3.6263017155345798"/>
    <n v="3.4514840484791098"/>
    <s v="EUR"/>
  </r>
  <r>
    <s v="ABI BREWDAT GLOBAL GAI DEV"/>
    <x v="2"/>
    <s v="Marketplace"/>
    <s v="Purchase"/>
    <x v="30"/>
    <x v="68"/>
    <n v="0"/>
    <n v="0"/>
    <s v="EUR"/>
  </r>
  <r>
    <s v="ABI BREWDAT GLOBAL GAI DEV"/>
    <x v="2"/>
    <s v="Marketplace"/>
    <s v="Usage"/>
    <x v="30"/>
    <x v="68"/>
    <n v="247.01201760000001"/>
    <n v="235.10400000000001"/>
    <s v="EUR"/>
  </r>
  <r>
    <s v="ABI BREWDAT GLOBAL GAI DEV"/>
    <x v="3"/>
    <s v="Azure"/>
    <s v="Usage"/>
    <x v="0"/>
    <x v="0"/>
    <n v="45.869903999999998"/>
    <n v="42.48"/>
    <s v="EUR"/>
  </r>
  <r>
    <s v="ABI BREWDAT GLOBAL GAI DEV"/>
    <x v="3"/>
    <s v="Azure"/>
    <s v="Usage"/>
    <x v="1"/>
    <x v="1"/>
    <n v="173.47375728"/>
    <n v="160.65360000000001"/>
    <s v="EUR"/>
  </r>
  <r>
    <s v="ABI BREWDAT GLOBAL GAI DEV"/>
    <x v="3"/>
    <s v="Azure"/>
    <s v="Usage"/>
    <x v="2"/>
    <x v="2"/>
    <n v="0"/>
    <n v="0"/>
    <s v="EUR"/>
  </r>
  <r>
    <s v="ABI BREWDAT GLOBAL GAI DEV"/>
    <x v="3"/>
    <s v="Azure"/>
    <s v="Usage"/>
    <x v="2"/>
    <x v="3"/>
    <n v="358.88402321473302"/>
    <n v="332.36156993399999"/>
    <s v="EUR"/>
  </r>
  <r>
    <s v="ABI BREWDAT GLOBAL GAI DEV"/>
    <x v="3"/>
    <s v="Azure"/>
    <s v="Usage"/>
    <x v="2"/>
    <x v="4"/>
    <n v="1741.50144"/>
    <n v="1612.8"/>
    <s v="EUR"/>
  </r>
  <r>
    <s v="ABI BREWDAT GLOBAL GAI DEV"/>
    <x v="3"/>
    <s v="Azure"/>
    <s v="Usage"/>
    <x v="2"/>
    <x v="5"/>
    <n v="20.444667978197199"/>
    <n v="18.933754378771201"/>
    <s v="EUR"/>
  </r>
  <r>
    <s v="ABI BREWDAT GLOBAL GAI DEV"/>
    <x v="3"/>
    <s v="Azure"/>
    <s v="Usage"/>
    <x v="3"/>
    <x v="6"/>
    <n v="9.0214632612199992"/>
    <n v="8.3547539000000004"/>
    <s v="EUR"/>
  </r>
  <r>
    <s v="ABI BREWDAT GLOBAL GAI DEV"/>
    <x v="3"/>
    <s v="Azure"/>
    <s v="Usage"/>
    <x v="5"/>
    <x v="8"/>
    <n v="139.164624"/>
    <n v="128.88"/>
    <s v="EUR"/>
  </r>
  <r>
    <s v="ABI BREWDAT GLOBAL GAI DEV"/>
    <x v="3"/>
    <s v="Azure"/>
    <s v="Usage"/>
    <x v="6"/>
    <x v="9"/>
    <n v="0.642915591355536"/>
    <n v="0.59540247393548396"/>
    <s v="EUR"/>
  </r>
  <r>
    <s v="ABI BREWDAT GLOBAL GAI DEV"/>
    <x v="3"/>
    <s v="Azure"/>
    <s v="Usage"/>
    <x v="7"/>
    <x v="10"/>
    <n v="4.3363959769699996"/>
    <n v="4.0159251500000002"/>
    <s v="EUR"/>
  </r>
  <r>
    <s v="ABI BREWDAT GLOBAL GAI DEV"/>
    <x v="3"/>
    <s v="Azure"/>
    <s v="Usage"/>
    <x v="8"/>
    <x v="11"/>
    <n v="13.4905799913978"/>
    <n v="12.493591397849499"/>
    <s v="EUR"/>
  </r>
  <r>
    <s v="ABI BREWDAT GLOBAL GAI DEV"/>
    <x v="3"/>
    <s v="Azure"/>
    <s v="Usage"/>
    <x v="8"/>
    <x v="12"/>
    <n v="194.09405000000001"/>
    <n v="179.75"/>
    <s v="EUR"/>
  </r>
  <r>
    <s v="ABI BREWDAT GLOBAL GAI DEV"/>
    <x v="3"/>
    <s v="Azure"/>
    <s v="Usage"/>
    <x v="8"/>
    <x v="13"/>
    <n v="186.01973752000001"/>
    <n v="172.2724"/>
    <s v="EUR"/>
  </r>
  <r>
    <s v="ABI BREWDAT GLOBAL GAI DEV"/>
    <x v="3"/>
    <s v="Azure"/>
    <s v="Usage"/>
    <x v="9"/>
    <x v="14"/>
    <n v="3136.9561480992302"/>
    <n v="2905.1270125015999"/>
    <s v="EUR"/>
  </r>
  <r>
    <s v="ABI BREWDAT GLOBAL GAI DEV"/>
    <x v="3"/>
    <s v="Azure"/>
    <s v="Usage"/>
    <x v="9"/>
    <x v="15"/>
    <n v="1687.5113615002599"/>
    <n v="1562.7999273016001"/>
    <s v="EUR"/>
  </r>
  <r>
    <s v="ABI BREWDAT GLOBAL GAI DEV"/>
    <x v="3"/>
    <s v="Azure"/>
    <s v="Usage"/>
    <x v="10"/>
    <x v="16"/>
    <n v="222.69751891568399"/>
    <n v="206.23959892172999"/>
    <s v="EUR"/>
  </r>
  <r>
    <s v="ABI BREWDAT GLOBAL GAI DEV"/>
    <x v="3"/>
    <s v="Azure"/>
    <s v="Usage"/>
    <x v="11"/>
    <x v="17"/>
    <n v="80.992077751112106"/>
    <n v="75.006554687082897"/>
    <s v="EUR"/>
  </r>
  <r>
    <s v="ABI BREWDAT GLOBAL GAI DEV"/>
    <x v="3"/>
    <s v="Azure"/>
    <s v="Usage"/>
    <x v="12"/>
    <x v="18"/>
    <n v="2.3463652435626101"/>
    <n v="2.1729628112267201"/>
    <s v="EUR"/>
  </r>
  <r>
    <s v="ABI BREWDAT GLOBAL GAI DEV"/>
    <x v="3"/>
    <s v="Azure"/>
    <s v="Usage"/>
    <x v="12"/>
    <x v="19"/>
    <n v="47.880286686369097"/>
    <n v="44.341810230013998"/>
    <s v="EUR"/>
  </r>
  <r>
    <s v="ABI BREWDAT GLOBAL GAI DEV"/>
    <x v="3"/>
    <s v="Azure"/>
    <s v="Usage"/>
    <x v="13"/>
    <x v="73"/>
    <n v="0.21658272022808001"/>
    <n v="0.20057669959999999"/>
    <s v="EUR"/>
  </r>
  <r>
    <s v="ABI BREWDAT GLOBAL GAI DEV"/>
    <x v="3"/>
    <s v="Azure"/>
    <s v="Usage"/>
    <x v="13"/>
    <x v="20"/>
    <n v="3837.6825138488798"/>
    <n v="3554.0678957667001"/>
    <s v="EUR"/>
  </r>
  <r>
    <s v="ABI BREWDAT GLOBAL GAI DEV"/>
    <x v="3"/>
    <s v="Azure"/>
    <s v="Usage"/>
    <x v="14"/>
    <x v="21"/>
    <n v="107.64588911760301"/>
    <n v="99.690580771997602"/>
    <s v="EUR"/>
  </r>
  <r>
    <s v="ABI BREWDAT GLOBAL GAI DEV"/>
    <x v="3"/>
    <s v="Azure"/>
    <s v="Usage"/>
    <x v="15"/>
    <x v="22"/>
    <n v="3.77478418663635E-4"/>
    <n v="3.4958179168701202E-4"/>
    <s v="EUR"/>
  </r>
  <r>
    <s v="ABI BREWDAT GLOBAL GAI DEV"/>
    <x v="3"/>
    <s v="Azure"/>
    <s v="Usage"/>
    <x v="16"/>
    <x v="23"/>
    <n v="2.882892805479"/>
    <n v="2.6698396049999999"/>
    <s v="EUR"/>
  </r>
  <r>
    <s v="ABI BREWDAT GLOBAL GAI DEV"/>
    <x v="3"/>
    <s v="Azure"/>
    <s v="Usage"/>
    <x v="17"/>
    <x v="24"/>
    <n v="12.3812802037959"/>
    <n v="11.4662717205"/>
    <s v="EUR"/>
  </r>
  <r>
    <s v="ABI BREWDAT GLOBAL GAI DEV"/>
    <x v="3"/>
    <s v="Azure"/>
    <s v="Usage"/>
    <x v="18"/>
    <x v="25"/>
    <n v="0.62507873803799996"/>
    <n v="0.57888381"/>
    <s v="EUR"/>
  </r>
  <r>
    <s v="ABI BREWDAT GLOBAL GAI DEV"/>
    <x v="3"/>
    <s v="Azure"/>
    <s v="Usage"/>
    <x v="19"/>
    <x v="26"/>
    <n v="221.599256731016"/>
    <n v="205.222501140041"/>
    <s v="EUR"/>
  </r>
  <r>
    <s v="ABI BREWDAT GLOBAL GAI DEV"/>
    <x v="3"/>
    <s v="Azure"/>
    <s v="Usage"/>
    <x v="20"/>
    <x v="27"/>
    <n v="15.0806752844409"/>
    <n v="13.966174554955501"/>
    <s v="EUR"/>
  </r>
  <r>
    <s v="ABI BREWDAT GLOBAL GAI DEV"/>
    <x v="3"/>
    <s v="Azure"/>
    <s v="Usage"/>
    <x v="21"/>
    <x v="28"/>
    <n v="650.53128261079996"/>
    <n v="602.45534599999996"/>
    <s v="EUR"/>
  </r>
  <r>
    <s v="ABI BREWDAT GLOBAL GAI DEV"/>
    <x v="3"/>
    <s v="Azure"/>
    <s v="Usage"/>
    <x v="21"/>
    <x v="29"/>
    <n v="183.9352916"/>
    <n v="170.34200000000001"/>
    <s v="EUR"/>
  </r>
  <r>
    <s v="ABI BREWDAT GLOBAL GAI DEV"/>
    <x v="3"/>
    <s v="Azure"/>
    <s v="Usage"/>
    <x v="21"/>
    <x v="30"/>
    <n v="1.714679208"/>
    <n v="1.58796"/>
    <s v="EUR"/>
  </r>
  <r>
    <s v="ABI BREWDAT GLOBAL GAI DEV"/>
    <x v="3"/>
    <s v="Azure"/>
    <s v="Usage"/>
    <x v="21"/>
    <x v="31"/>
    <n v="18.4702402419355"/>
    <n v="17.1052419354839"/>
    <s v="EUR"/>
  </r>
  <r>
    <s v="ABI BREWDAT GLOBAL GAI DEV"/>
    <x v="3"/>
    <s v="Azure"/>
    <s v="Usage"/>
    <x v="21"/>
    <x v="32"/>
    <n v="3.1634684640000001"/>
    <n v="2.9296799999999998"/>
    <s v="EUR"/>
  </r>
  <r>
    <s v="ABI BREWDAT GLOBAL GAI DEV"/>
    <x v="3"/>
    <s v="Azure"/>
    <s v="Usage"/>
    <x v="21"/>
    <x v="33"/>
    <n v="16.5179792580645"/>
    <n v="15.2972580645161"/>
    <s v="EUR"/>
  </r>
  <r>
    <s v="ABI BREWDAT GLOBAL GAI DEV"/>
    <x v="3"/>
    <s v="Azure"/>
    <s v="Usage"/>
    <x v="21"/>
    <x v="34"/>
    <n v="248.983984132313"/>
    <n v="230.58342668300901"/>
    <s v="EUR"/>
  </r>
  <r>
    <s v="ABI BREWDAT GLOBAL GAI DEV"/>
    <x v="3"/>
    <s v="Azure"/>
    <s v="Usage"/>
    <x v="21"/>
    <x v="35"/>
    <n v="126.40662503"/>
    <n v="117.06485000000001"/>
    <s v="EUR"/>
  </r>
  <r>
    <s v="ABI BREWDAT GLOBAL GAI DEV"/>
    <x v="3"/>
    <s v="Azure"/>
    <s v="Usage"/>
    <x v="22"/>
    <x v="36"/>
    <n v="29.476224399496498"/>
    <n v="27.297855528335401"/>
    <s v="EUR"/>
  </r>
  <r>
    <s v="ABI BREWDAT GLOBAL GAI DEV"/>
    <x v="3"/>
    <s v="Azure"/>
    <s v="Usage"/>
    <x v="23"/>
    <x v="37"/>
    <n v="441.12853439999998"/>
    <n v="408.52800000000002"/>
    <s v="EUR"/>
  </r>
  <r>
    <s v="ABI BREWDAT GLOBAL GAI DEV"/>
    <x v="3"/>
    <s v="Azure"/>
    <s v="Usage"/>
    <x v="24"/>
    <x v="38"/>
    <n v="122.926231666666"/>
    <n v="113.841666666666"/>
    <s v="EUR"/>
  </r>
  <r>
    <s v="ABI BREWDAT GLOBAL GAI DEV"/>
    <x v="3"/>
    <s v="Azure"/>
    <s v="Usage"/>
    <x v="24"/>
    <x v="39"/>
    <n v="3875.1898393333399"/>
    <n v="3588.8033333333401"/>
    <s v="EUR"/>
  </r>
  <r>
    <s v="ABI BREWDAT GLOBAL GAI DEV"/>
    <x v="3"/>
    <s v="Azure"/>
    <s v="Usage"/>
    <x v="24"/>
    <x v="40"/>
    <n v="61.567467473118299"/>
    <n v="57.017473118279597"/>
    <s v="EUR"/>
  </r>
  <r>
    <s v="ABI BREWDAT GLOBAL GAI DEV"/>
    <x v="3"/>
    <s v="Azure"/>
    <s v="Usage"/>
    <x v="25"/>
    <x v="41"/>
    <n v="28.324190441710801"/>
    <n v="26.230959846000001"/>
    <s v="EUR"/>
  </r>
  <r>
    <s v="ABI BREWDAT GLOBAL GAI DEV"/>
    <x v="3"/>
    <s v="Azure"/>
    <s v="Usage"/>
    <x v="26"/>
    <x v="42"/>
    <n v="123.0972"/>
    <n v="114"/>
    <s v="EUR"/>
  </r>
  <r>
    <s v="ABI BREWDAT GLOBAL GAI DEV"/>
    <x v="3"/>
    <s v="Azure"/>
    <s v="Usage"/>
    <x v="27"/>
    <x v="43"/>
    <n v="94.687473275795398"/>
    <n v="87.689825223"/>
    <s v="EUR"/>
  </r>
  <r>
    <s v="ABI BREWDAT GLOBAL GAI DEV"/>
    <x v="3"/>
    <s v="Azure"/>
    <s v="Usage"/>
    <x v="27"/>
    <x v="44"/>
    <n v="2.1912488400621402"/>
    <n v="2.0293099093000002"/>
    <s v="EUR"/>
  </r>
  <r>
    <s v="ABI BREWDAT GLOBAL GAI DEV"/>
    <x v="3"/>
    <s v="Azure"/>
    <s v="Usage"/>
    <x v="27"/>
    <x v="45"/>
    <n v="83.868923187676103"/>
    <n v="77.670793839300003"/>
    <s v="EUR"/>
  </r>
  <r>
    <s v="ABI BREWDAT GLOBAL GAI DEV"/>
    <x v="3"/>
    <s v="Azure"/>
    <s v="Usage"/>
    <x v="27"/>
    <x v="46"/>
    <n v="9.4499776800000007E-5"/>
    <n v="8.7515999999999994E-5"/>
    <s v="EUR"/>
  </r>
  <r>
    <s v="ABI BREWDAT GLOBAL GAI DEV"/>
    <x v="3"/>
    <s v="Azure"/>
    <s v="Usage"/>
    <x v="27"/>
    <x v="47"/>
    <n v="5.5211473215359998E-2"/>
    <n v="5.1131203200000003E-2"/>
    <s v="EUR"/>
  </r>
  <r>
    <s v="ABI BREWDAT GLOBAL GAI DEV"/>
    <x v="3"/>
    <s v="Azure"/>
    <s v="Usage"/>
    <x v="27"/>
    <x v="48"/>
    <n v="6.5185371270005996"/>
    <n v="6.0368004510100004"/>
    <s v="EUR"/>
  </r>
  <r>
    <s v="ABI BREWDAT GLOBAL GAI DEV"/>
    <x v="3"/>
    <s v="Azure"/>
    <s v="Usage"/>
    <x v="27"/>
    <x v="49"/>
    <n v="877.55301913817596"/>
    <n v="812.69959171899995"/>
    <s v="EUR"/>
  </r>
  <r>
    <s v="ABI BREWDAT GLOBAL GAI DEV"/>
    <x v="3"/>
    <s v="Azure"/>
    <s v="Usage"/>
    <x v="27"/>
    <x v="50"/>
    <n v="7.8976571999999995E-6"/>
    <n v="7.3139999999999998E-6"/>
    <s v="EUR"/>
  </r>
  <r>
    <s v="ABI BREWDAT GLOBAL GAI DEV"/>
    <x v="3"/>
    <s v="Azure"/>
    <s v="Usage"/>
    <x v="27"/>
    <x v="51"/>
    <n v="6.1263370830000005E-4"/>
    <n v="5.6735849999999997E-4"/>
    <s v="EUR"/>
  </r>
  <r>
    <s v="ABI BREWDAT GLOBAL GAI DEV"/>
    <x v="3"/>
    <s v="Azure"/>
    <s v="Usage"/>
    <x v="27"/>
    <x v="52"/>
    <n v="4.3595981993383202"/>
    <n v="4.0374126684"/>
    <s v="EUR"/>
  </r>
  <r>
    <s v="ABI BREWDAT GLOBAL GAI DEV"/>
    <x v="3"/>
    <s v="Azure"/>
    <s v="Usage"/>
    <x v="27"/>
    <x v="53"/>
    <n v="22.531072806816201"/>
    <n v="20.865968518999999"/>
    <s v="EUR"/>
  </r>
  <r>
    <s v="ABI BREWDAT GLOBAL GAI DEV"/>
    <x v="3"/>
    <s v="Azure"/>
    <s v="Usage"/>
    <x v="27"/>
    <x v="54"/>
    <n v="1.0905000591165599"/>
    <n v="1.0099092971999999"/>
    <s v="EUR"/>
  </r>
  <r>
    <s v="ABI BREWDAT GLOBAL GAI DEV"/>
    <x v="3"/>
    <s v="Azure"/>
    <s v="Usage"/>
    <x v="27"/>
    <x v="55"/>
    <n v="8.6856194380400004E-3"/>
    <n v="8.0437297999999997E-3"/>
    <s v="EUR"/>
  </r>
  <r>
    <s v="ABI BREWDAT GLOBAL GAI DEV"/>
    <x v="3"/>
    <s v="Azure"/>
    <s v="Usage"/>
    <x v="28"/>
    <x v="70"/>
    <n v="30.42140324"/>
    <n v="28.173183219114598"/>
    <s v="EUR"/>
  </r>
  <r>
    <s v="ABI BREWDAT GLOBAL GAI DEV"/>
    <x v="3"/>
    <s v="Azure"/>
    <s v="Usage"/>
    <x v="28"/>
    <x v="74"/>
    <n v="47.634654255306401"/>
    <n v="44.114330668000001"/>
    <s v="EUR"/>
  </r>
  <r>
    <s v="ABI BREWDAT GLOBAL GAI DEV"/>
    <x v="3"/>
    <s v="Azure"/>
    <s v="Usage"/>
    <x v="28"/>
    <x v="56"/>
    <n v="0.41145483026536001"/>
    <n v="0.38104725899737002"/>
    <s v="EUR"/>
  </r>
  <r>
    <s v="ABI BREWDAT GLOBAL GAI DEV"/>
    <x v="3"/>
    <s v="Azure"/>
    <s v="Usage"/>
    <x v="28"/>
    <x v="58"/>
    <n v="2826.3999474633001"/>
    <n v="2617.5217146353998"/>
    <s v="EUR"/>
  </r>
  <r>
    <s v="ABI BREWDAT GLOBAL GAI DEV"/>
    <x v="3"/>
    <s v="Azure"/>
    <s v="Usage"/>
    <x v="28"/>
    <x v="59"/>
    <n v="421.738176266685"/>
    <n v="390.57063925419999"/>
    <s v="EUR"/>
  </r>
  <r>
    <s v="ABI BREWDAT GLOBAL GAI DEV"/>
    <x v="3"/>
    <s v="Azure"/>
    <s v="Usage"/>
    <x v="28"/>
    <x v="60"/>
    <n v="112.06251934634901"/>
    <n v="103.780810656"/>
    <s v="EUR"/>
  </r>
  <r>
    <s v="ABI BREWDAT GLOBAL GAI DEV"/>
    <x v="3"/>
    <s v="Azure"/>
    <s v="Usage"/>
    <x v="28"/>
    <x v="61"/>
    <n v="604.15141164186002"/>
    <n v="559.50306690299999"/>
    <s v="EUR"/>
  </r>
  <r>
    <s v="ABI BREWDAT GLOBAL GAI DEV"/>
    <x v="3"/>
    <s v="Azure"/>
    <s v="Usage"/>
    <x v="28"/>
    <x v="62"/>
    <n v="108.5454079016"/>
    <n v="100.52362280200001"/>
    <s v="EUR"/>
  </r>
  <r>
    <s v="ABI BREWDAT GLOBAL GAI DEV"/>
    <x v="3"/>
    <s v="Azure"/>
    <s v="Usage"/>
    <x v="28"/>
    <x v="63"/>
    <n v="122.432127104583"/>
    <n v="113.384077703819"/>
    <s v="EUR"/>
  </r>
  <r>
    <s v="ABI BREWDAT GLOBAL GAI DEV"/>
    <x v="3"/>
    <s v="Azure"/>
    <s v="Usage"/>
    <x v="28"/>
    <x v="64"/>
    <n v="231.10753361634301"/>
    <n v="214.02809188399999"/>
    <s v="EUR"/>
  </r>
  <r>
    <s v="ABI BREWDAT GLOBAL GAI DEV"/>
    <x v="3"/>
    <s v="Azure"/>
    <s v="Usage"/>
    <x v="28"/>
    <x v="65"/>
    <n v="0.27938542186802001"/>
    <n v="0.25873811990000001"/>
    <s v="EUR"/>
  </r>
  <r>
    <s v="ABI BREWDAT GLOBAL GAI DEV"/>
    <x v="3"/>
    <s v="Azure"/>
    <s v="Usage"/>
    <x v="29"/>
    <x v="66"/>
    <n v="23.3951895450389"/>
    <n v="21.666224805555601"/>
    <s v="EUR"/>
  </r>
  <r>
    <s v="ABI BREWDAT GLOBAL GAI DEV"/>
    <x v="3"/>
    <s v="Azure"/>
    <s v="Usage"/>
    <x v="29"/>
    <x v="67"/>
    <n v="437.31355918752701"/>
    <n v="404.99496127757601"/>
    <s v="EUR"/>
  </r>
  <r>
    <s v="ABI BREWDAT GLOBAL GAI DEV"/>
    <x v="3"/>
    <s v="Azure"/>
    <s v="Usage"/>
    <x v="31"/>
    <x v="72"/>
    <n v="30.741906"/>
    <n v="28.47"/>
    <s v="EUR"/>
  </r>
  <r>
    <s v="ABI BREWDAT GLOBAL GAI DEV"/>
    <x v="3"/>
    <s v="Marketplace"/>
    <s v="Purchase"/>
    <x v="30"/>
    <x v="68"/>
    <n v="0"/>
    <n v="0"/>
    <s v="EUR"/>
  </r>
  <r>
    <s v="ABI BREWDAT GLOBAL GAI DEV"/>
    <x v="3"/>
    <s v="Marketplace"/>
    <s v="Usage"/>
    <x v="30"/>
    <x v="68"/>
    <n v="246.053301432604"/>
    <n v="227.86932898000001"/>
    <s v="EUR"/>
  </r>
  <r>
    <s v="ABI BREWDAT GLOBAL GAI DEV"/>
    <x v="4"/>
    <s v="Azure"/>
    <s v="Usage"/>
    <x v="0"/>
    <x v="0"/>
    <n v="49.949258399999998"/>
    <n v="43.896000000000001"/>
    <s v="EUR"/>
  </r>
  <r>
    <s v="ABI BREWDAT GLOBAL GAI DEV"/>
    <x v="4"/>
    <s v="Azure"/>
    <s v="Usage"/>
    <x v="1"/>
    <x v="1"/>
    <n v="188.90132248800001"/>
    <n v="166.00872000000001"/>
    <s v="EUR"/>
  </r>
  <r>
    <s v="ABI BREWDAT GLOBAL GAI DEV"/>
    <x v="4"/>
    <s v="Azure"/>
    <s v="Usage"/>
    <x v="2"/>
    <x v="2"/>
    <n v="0"/>
    <n v="0"/>
    <s v="EUR"/>
  </r>
  <r>
    <s v="ABI BREWDAT GLOBAL GAI DEV"/>
    <x v="4"/>
    <s v="Azure"/>
    <s v="Usage"/>
    <x v="2"/>
    <x v="3"/>
    <n v="557.23054032000005"/>
    <n v="489.70080000000002"/>
    <s v="EUR"/>
  </r>
  <r>
    <s v="ABI BREWDAT GLOBAL GAI DEV"/>
    <x v="4"/>
    <s v="Azure"/>
    <s v="Usage"/>
    <x v="2"/>
    <x v="4"/>
    <n v="1896.3786239999999"/>
    <n v="1666.56"/>
    <s v="EUR"/>
  </r>
  <r>
    <s v="ABI BREWDAT GLOBAL GAI DEV"/>
    <x v="4"/>
    <s v="Azure"/>
    <s v="Usage"/>
    <x v="2"/>
    <x v="5"/>
    <n v="24.6187444421649"/>
    <n v="21.6352442588671"/>
    <s v="EUR"/>
  </r>
  <r>
    <s v="ABI BREWDAT GLOBAL GAI DEV"/>
    <x v="4"/>
    <s v="Azure"/>
    <s v="Usage"/>
    <x v="3"/>
    <x v="6"/>
    <n v="0.87948291000000001"/>
    <n v="0.77290000000000003"/>
    <s v="EUR"/>
  </r>
  <r>
    <s v="ABI BREWDAT GLOBAL GAI DEV"/>
    <x v="4"/>
    <s v="Azure"/>
    <s v="Usage"/>
    <x v="5"/>
    <x v="8"/>
    <n v="151.54097039999999"/>
    <n v="133.17599999999999"/>
    <s v="EUR"/>
  </r>
  <r>
    <s v="ABI BREWDAT GLOBAL GAI DEV"/>
    <x v="4"/>
    <s v="Azure"/>
    <s v="Usage"/>
    <x v="6"/>
    <x v="9"/>
    <n v="0.71345076944520003"/>
    <n v="0.62698898800000002"/>
    <s v="EUR"/>
  </r>
  <r>
    <s v="ABI BREWDAT GLOBAL GAI DEV"/>
    <x v="4"/>
    <s v="Azure"/>
    <s v="Usage"/>
    <x v="7"/>
    <x v="10"/>
    <n v="0.76192854715000002"/>
    <n v="0.66959183333333305"/>
    <s v="EUR"/>
  </r>
  <r>
    <s v="ABI BREWDAT GLOBAL GAI DEV"/>
    <x v="4"/>
    <s v="Azure"/>
    <s v="Usage"/>
    <x v="8"/>
    <x v="11"/>
    <n v="14.7107712"/>
    <n v="12.928000000000001"/>
    <s v="EUR"/>
  </r>
  <r>
    <s v="ABI BREWDAT GLOBAL GAI DEV"/>
    <x v="4"/>
    <s v="Azure"/>
    <s v="Usage"/>
    <x v="8"/>
    <x v="12"/>
    <n v="211.64940000000001"/>
    <n v="186"/>
    <s v="EUR"/>
  </r>
  <r>
    <s v="ABI BREWDAT GLOBAL GAI DEV"/>
    <x v="4"/>
    <s v="Azure"/>
    <s v="Usage"/>
    <x v="8"/>
    <x v="13"/>
    <n v="202.84478496"/>
    <n v="178.26240000000001"/>
    <s v="EUR"/>
  </r>
  <r>
    <s v="ABI BREWDAT GLOBAL GAI DEV"/>
    <x v="4"/>
    <s v="Azure"/>
    <s v="Usage"/>
    <x v="9"/>
    <x v="14"/>
    <n v="3555.9103353115202"/>
    <n v="3124.9761273499598"/>
    <s v="EUR"/>
  </r>
  <r>
    <s v="ABI BREWDAT GLOBAL GAI DEV"/>
    <x v="4"/>
    <s v="Azure"/>
    <s v="Usage"/>
    <x v="9"/>
    <x v="15"/>
    <n v="1787.68241055565"/>
    <n v="1571.0364799680599"/>
    <s v="EUR"/>
  </r>
  <r>
    <s v="ABI BREWDAT GLOBAL GAI DEV"/>
    <x v="4"/>
    <s v="Azure"/>
    <s v="Usage"/>
    <x v="10"/>
    <x v="16"/>
    <n v="259.31850031133001"/>
    <n v="227.89217006004901"/>
    <s v="EUR"/>
  </r>
  <r>
    <s v="ABI BREWDAT GLOBAL GAI DEV"/>
    <x v="4"/>
    <s v="Azure"/>
    <s v="Usage"/>
    <x v="11"/>
    <x v="17"/>
    <n v="99.496792432738999"/>
    <n v="87.438959867069997"/>
    <s v="EUR"/>
  </r>
  <r>
    <s v="ABI BREWDAT GLOBAL GAI DEV"/>
    <x v="4"/>
    <s v="Azure"/>
    <s v="Usage"/>
    <x v="12"/>
    <x v="18"/>
    <n v="1.80669099374019"/>
    <n v="1.5877414480536001"/>
    <s v="EUR"/>
  </r>
  <r>
    <s v="ABI BREWDAT GLOBAL GAI DEV"/>
    <x v="4"/>
    <s v="Azure"/>
    <s v="Usage"/>
    <x v="12"/>
    <x v="19"/>
    <n v="63.0687823922866"/>
    <n v="55.425593103336503"/>
    <s v="EUR"/>
  </r>
  <r>
    <s v="ABI BREWDAT GLOBAL GAI DEV"/>
    <x v="4"/>
    <s v="Azure"/>
    <s v="Usage"/>
    <x v="13"/>
    <x v="73"/>
    <n v="0.18856291626234001"/>
    <n v="0.16571132459999999"/>
    <s v="EUR"/>
  </r>
  <r>
    <s v="ABI BREWDAT GLOBAL GAI DEV"/>
    <x v="4"/>
    <s v="Azure"/>
    <s v="Usage"/>
    <x v="13"/>
    <x v="20"/>
    <n v="6254.3262246178001"/>
    <n v="5496.3759773422998"/>
    <s v="EUR"/>
  </r>
  <r>
    <s v="ABI BREWDAT GLOBAL GAI DEV"/>
    <x v="4"/>
    <s v="Azure"/>
    <s v="Usage"/>
    <x v="14"/>
    <x v="21"/>
    <n v="132.81670125943799"/>
    <n v="116.720890464398"/>
    <s v="EUR"/>
  </r>
  <r>
    <s v="ABI BREWDAT GLOBAL GAI DEV"/>
    <x v="4"/>
    <s v="Azure"/>
    <s v="Usage"/>
    <x v="16"/>
    <x v="23"/>
    <n v="6.2819383451844004"/>
    <n v="5.5206418360000002"/>
    <s v="EUR"/>
  </r>
  <r>
    <s v="ABI BREWDAT GLOBAL GAI DEV"/>
    <x v="4"/>
    <s v="Azure"/>
    <s v="Usage"/>
    <x v="17"/>
    <x v="24"/>
    <n v="13.4973179268242"/>
    <n v="11.8616028885"/>
    <s v="EUR"/>
  </r>
  <r>
    <s v="ABI BREWDAT GLOBAL GAI DEV"/>
    <x v="4"/>
    <s v="Azure"/>
    <s v="Usage"/>
    <x v="18"/>
    <x v="25"/>
    <n v="81.721153880127005"/>
    <n v="71.817518129999996"/>
    <s v="EUR"/>
  </r>
  <r>
    <s v="ABI BREWDAT GLOBAL GAI DEV"/>
    <x v="4"/>
    <s v="Azure"/>
    <s v="Usage"/>
    <x v="19"/>
    <x v="26"/>
    <n v="301.96956076652702"/>
    <n v="265.37442724890298"/>
    <s v="EUR"/>
  </r>
  <r>
    <s v="ABI BREWDAT GLOBAL GAI DEV"/>
    <x v="4"/>
    <s v="Azure"/>
    <s v="Usage"/>
    <x v="20"/>
    <x v="27"/>
    <n v="26.541531478824002"/>
    <n v="23.325012284756099"/>
    <s v="EUR"/>
  </r>
  <r>
    <s v="ABI BREWDAT GLOBAL GAI DEV"/>
    <x v="4"/>
    <s v="Azure"/>
    <s v="Usage"/>
    <x v="21"/>
    <x v="28"/>
    <n v="559.65519357059998"/>
    <n v="491.831614"/>
    <s v="EUR"/>
  </r>
  <r>
    <s v="ABI BREWDAT GLOBAL GAI DEV"/>
    <x v="4"/>
    <s v="Azure"/>
    <s v="Usage"/>
    <x v="21"/>
    <x v="29"/>
    <n v="206.40049488"/>
    <n v="181.38720000000001"/>
    <s v="EUR"/>
  </r>
  <r>
    <s v="ABI BREWDAT GLOBAL GAI DEV"/>
    <x v="4"/>
    <s v="Azure"/>
    <s v="Usage"/>
    <x v="21"/>
    <x v="30"/>
    <n v="1.8671710068"/>
    <n v="1.640892"/>
    <s v="EUR"/>
  </r>
  <r>
    <s v="ABI BREWDAT GLOBAL GAI DEV"/>
    <x v="4"/>
    <s v="Azure"/>
    <s v="Usage"/>
    <x v="21"/>
    <x v="31"/>
    <n v="20.086687983870998"/>
    <n v="17.652419354838699"/>
    <s v="EUR"/>
  </r>
  <r>
    <s v="ABI BREWDAT GLOBAL GAI DEV"/>
    <x v="4"/>
    <s v="Azure"/>
    <s v="Usage"/>
    <x v="21"/>
    <x v="32"/>
    <n v="3.4448056344000002"/>
    <n v="3.027336"/>
    <s v="EUR"/>
  </r>
  <r>
    <s v="ABI BREWDAT GLOBAL GAI DEV"/>
    <x v="4"/>
    <s v="Azure"/>
    <s v="Usage"/>
    <x v="21"/>
    <x v="33"/>
    <n v="17.943092387096801"/>
    <n v="15.7686021505376"/>
    <s v="EUR"/>
  </r>
  <r>
    <s v="ABI BREWDAT GLOBAL GAI DEV"/>
    <x v="4"/>
    <s v="Azure"/>
    <s v="Usage"/>
    <x v="21"/>
    <x v="34"/>
    <n v="252.159475162972"/>
    <n v="221.600733951113"/>
    <s v="EUR"/>
  </r>
  <r>
    <s v="ABI BREWDAT GLOBAL GAI DEV"/>
    <x v="4"/>
    <s v="Azure"/>
    <s v="Usage"/>
    <x v="21"/>
    <x v="35"/>
    <n v="144.11569498200001"/>
    <n v="126.65058000000001"/>
    <s v="EUR"/>
  </r>
  <r>
    <s v="ABI BREWDAT GLOBAL GAI DEV"/>
    <x v="4"/>
    <s v="Azure"/>
    <s v="Usage"/>
    <x v="22"/>
    <x v="36"/>
    <n v="28.718007213105199"/>
    <n v="25.237724943409098"/>
    <s v="EUR"/>
  </r>
  <r>
    <s v="ABI BREWDAT GLOBAL GAI DEV"/>
    <x v="4"/>
    <s v="Azure"/>
    <s v="Usage"/>
    <x v="23"/>
    <x v="37"/>
    <n v="480.35947823999999"/>
    <n v="422.1456"/>
    <s v="EUR"/>
  </r>
  <r>
    <s v="ABI BREWDAT GLOBAL GAI DEV"/>
    <x v="4"/>
    <s v="Azure"/>
    <s v="Usage"/>
    <x v="24"/>
    <x v="38"/>
    <n v="133.14378249999999"/>
    <n v="117.008333333333"/>
    <s v="EUR"/>
  </r>
  <r>
    <s v="ABI BREWDAT GLOBAL GAI DEV"/>
    <x v="4"/>
    <s v="Azure"/>
    <s v="Usage"/>
    <x v="24"/>
    <x v="39"/>
    <n v="4203.1389865000001"/>
    <n v="3693.7683333333398"/>
    <s v="EUR"/>
  </r>
  <r>
    <s v="ABI BREWDAT GLOBAL GAI DEV"/>
    <x v="4"/>
    <s v="Azure"/>
    <s v="Usage"/>
    <x v="24"/>
    <x v="40"/>
    <n v="66.684916532258001"/>
    <n v="58.603494623655898"/>
    <s v="EUR"/>
  </r>
  <r>
    <s v="ABI BREWDAT GLOBAL GAI DEV"/>
    <x v="4"/>
    <s v="Azure"/>
    <s v="Usage"/>
    <x v="25"/>
    <x v="41"/>
    <n v="29.597149854126901"/>
    <n v="26.010325910999999"/>
    <s v="EUR"/>
  </r>
  <r>
    <s v="ABI BREWDAT GLOBAL GAI DEV"/>
    <x v="4"/>
    <s v="Azure"/>
    <s v="Usage"/>
    <x v="26"/>
    <x v="42"/>
    <n v="134.04462000000001"/>
    <n v="117.8"/>
    <s v="EUR"/>
  </r>
  <r>
    <s v="ABI BREWDAT GLOBAL GAI DEV"/>
    <x v="4"/>
    <s v="Azure"/>
    <s v="Usage"/>
    <x v="27"/>
    <x v="43"/>
    <n v="142.428931830593"/>
    <n v="125.1682325605"/>
    <s v="EUR"/>
  </r>
  <r>
    <s v="ABI BREWDAT GLOBAL GAI DEV"/>
    <x v="4"/>
    <s v="Azure"/>
    <s v="Usage"/>
    <x v="27"/>
    <x v="44"/>
    <n v="11.1625139387312"/>
    <n v="9.8097494847799993"/>
    <s v="EUR"/>
  </r>
  <r>
    <s v="ABI BREWDAT GLOBAL GAI DEV"/>
    <x v="4"/>
    <s v="Azure"/>
    <s v="Usage"/>
    <x v="27"/>
    <x v="45"/>
    <n v="88.851083272959002"/>
    <n v="78.083384544300003"/>
    <s v="EUR"/>
  </r>
  <r>
    <s v="ABI BREWDAT GLOBAL GAI DEV"/>
    <x v="4"/>
    <s v="Azure"/>
    <s v="Usage"/>
    <x v="27"/>
    <x v="46"/>
    <n v="1.2528791055E-4"/>
    <n v="1.101045E-4"/>
    <s v="EUR"/>
  </r>
  <r>
    <s v="ABI BREWDAT GLOBAL GAI DEV"/>
    <x v="4"/>
    <s v="Azure"/>
    <s v="Usage"/>
    <x v="27"/>
    <x v="47"/>
    <n v="7.7699412770760007E-2"/>
    <n v="6.8283164399999999E-2"/>
    <s v="EUR"/>
  </r>
  <r>
    <s v="ABI BREWDAT GLOBAL GAI DEV"/>
    <x v="4"/>
    <s v="Azure"/>
    <s v="Usage"/>
    <x v="27"/>
    <x v="48"/>
    <n v="9.5867802160027509"/>
    <n v="8.4249760224999992"/>
    <s v="EUR"/>
  </r>
  <r>
    <s v="ABI BREWDAT GLOBAL GAI DEV"/>
    <x v="4"/>
    <s v="Azure"/>
    <s v="Usage"/>
    <x v="27"/>
    <x v="49"/>
    <n v="1015.41954436217"/>
    <n v="892.36272463499995"/>
    <s v="EUR"/>
  </r>
  <r>
    <s v="ABI BREWDAT GLOBAL GAI DEV"/>
    <x v="4"/>
    <s v="Azure"/>
    <s v="Usage"/>
    <x v="27"/>
    <x v="50"/>
    <n v="8.8291936799999992E-6"/>
    <n v="7.7592000000000002E-6"/>
    <s v="EUR"/>
  </r>
  <r>
    <s v="ABI BREWDAT GLOBAL GAI DEV"/>
    <x v="4"/>
    <s v="Azure"/>
    <s v="Usage"/>
    <x v="27"/>
    <x v="51"/>
    <n v="6.8237905812000002E-4"/>
    <n v="5.9968279999999998E-4"/>
    <s v="EUR"/>
  </r>
  <r>
    <s v="ABI BREWDAT GLOBAL GAI DEV"/>
    <x v="4"/>
    <s v="Azure"/>
    <s v="Usage"/>
    <x v="27"/>
    <x v="52"/>
    <n v="5.2198663315437299"/>
    <n v="4.5872803687000001"/>
    <s v="EUR"/>
  </r>
  <r>
    <s v="ABI BREWDAT GLOBAL GAI DEV"/>
    <x v="4"/>
    <s v="Azure"/>
    <s v="Usage"/>
    <x v="27"/>
    <x v="53"/>
    <n v="34.982417158470597"/>
    <n v="30.742962614"/>
    <s v="EUR"/>
  </r>
  <r>
    <s v="ABI BREWDAT GLOBAL GAI DEV"/>
    <x v="4"/>
    <s v="Azure"/>
    <s v="Usage"/>
    <x v="27"/>
    <x v="54"/>
    <n v="0.90200052202518"/>
    <n v="0.79268874420000002"/>
    <s v="EUR"/>
  </r>
  <r>
    <s v="ABI BREWDAT GLOBAL GAI DEV"/>
    <x v="4"/>
    <s v="Azure"/>
    <s v="Usage"/>
    <x v="27"/>
    <x v="55"/>
    <n v="7.2682163153399999E-3"/>
    <n v="6.3873945999999996E-3"/>
    <s v="EUR"/>
  </r>
  <r>
    <s v="ABI BREWDAT GLOBAL GAI DEV"/>
    <x v="4"/>
    <s v="Azure"/>
    <s v="Usage"/>
    <x v="28"/>
    <x v="70"/>
    <n v="31.496789239999998"/>
    <n v="27.679751507162301"/>
    <s v="EUR"/>
  </r>
  <r>
    <s v="ABI BREWDAT GLOBAL GAI DEV"/>
    <x v="4"/>
    <s v="Azure"/>
    <s v="Usage"/>
    <x v="28"/>
    <x v="74"/>
    <n v="137.12752111034399"/>
    <n v="120.509290017"/>
    <s v="EUR"/>
  </r>
  <r>
    <s v="ABI BREWDAT GLOBAL GAI DEV"/>
    <x v="4"/>
    <s v="Azure"/>
    <s v="Usage"/>
    <x v="28"/>
    <x v="57"/>
    <n v="25.6257645318173"/>
    <n v="22.520225443200001"/>
    <s v="EUR"/>
  </r>
  <r>
    <s v="ABI BREWDAT GLOBAL GAI DEV"/>
    <x v="4"/>
    <s v="Azure"/>
    <s v="Usage"/>
    <x v="28"/>
    <x v="58"/>
    <n v="3770.38258875978"/>
    <n v="3313.4568844009"/>
    <s v="EUR"/>
  </r>
  <r>
    <s v="ABI BREWDAT GLOBAL GAI DEV"/>
    <x v="4"/>
    <s v="Azure"/>
    <s v="Usage"/>
    <x v="28"/>
    <x v="59"/>
    <n v="459.26892162794502"/>
    <n v="403.61096900249998"/>
    <s v="EUR"/>
  </r>
  <r>
    <s v="ABI BREWDAT GLOBAL GAI DEV"/>
    <x v="4"/>
    <s v="Azure"/>
    <s v="Usage"/>
    <x v="28"/>
    <x v="60"/>
    <n v="122.035704012547"/>
    <n v="107.246422368"/>
    <s v="EUR"/>
  </r>
  <r>
    <s v="ABI BREWDAT GLOBAL GAI DEV"/>
    <x v="4"/>
    <s v="Azure"/>
    <s v="Usage"/>
    <x v="28"/>
    <x v="61"/>
    <n v="668.66697034650497"/>
    <n v="587.63245482599996"/>
    <s v="EUR"/>
  </r>
  <r>
    <s v="ABI BREWDAT GLOBAL GAI DEV"/>
    <x v="4"/>
    <s v="Azure"/>
    <s v="Usage"/>
    <x v="28"/>
    <x v="62"/>
    <n v="61.896958116505402"/>
    <n v="54.395780047899997"/>
    <s v="EUR"/>
  </r>
  <r>
    <s v="ABI BREWDAT GLOBAL GAI DEV"/>
    <x v="4"/>
    <s v="Azure"/>
    <s v="Usage"/>
    <x v="28"/>
    <x v="63"/>
    <n v="142.03769219773801"/>
    <n v="124.824406536372"/>
    <s v="EUR"/>
  </r>
  <r>
    <s v="ABI BREWDAT GLOBAL GAI DEV"/>
    <x v="4"/>
    <s v="Azure"/>
    <s v="Usage"/>
    <x v="28"/>
    <x v="64"/>
    <n v="195.29479579303199"/>
    <n v="171.62738007999999"/>
    <s v="EUR"/>
  </r>
  <r>
    <s v="ABI BREWDAT GLOBAL GAI DEV"/>
    <x v="4"/>
    <s v="Azure"/>
    <s v="Usage"/>
    <x v="28"/>
    <x v="65"/>
    <n v="0.47843014091144997"/>
    <n v="0.42045007550000002"/>
    <s v="EUR"/>
  </r>
  <r>
    <s v="ABI BREWDAT GLOBAL GAI DEV"/>
    <x v="4"/>
    <s v="Azure"/>
    <s v="Usage"/>
    <x v="29"/>
    <x v="66"/>
    <n v="34.801399185562502"/>
    <n v="30.583881874999999"/>
    <s v="EUR"/>
  </r>
  <r>
    <s v="ABI BREWDAT GLOBAL GAI DEV"/>
    <x v="4"/>
    <s v="Azure"/>
    <s v="Usage"/>
    <x v="29"/>
    <x v="67"/>
    <n v="474.49206955555201"/>
    <n v="416.98925174053198"/>
    <s v="EUR"/>
  </r>
  <r>
    <s v="ABI BREWDAT GLOBAL GAI DEV"/>
    <x v="4"/>
    <s v="Azure"/>
    <s v="Usage"/>
    <x v="31"/>
    <x v="72"/>
    <n v="33.475880099999998"/>
    <n v="29.419"/>
    <s v="EUR"/>
  </r>
  <r>
    <s v="ABI BREWDAT GLOBAL GAI DEV"/>
    <x v="4"/>
    <s v="Marketplace"/>
    <s v="Purchase"/>
    <x v="30"/>
    <x v="68"/>
    <n v="0"/>
    <n v="0"/>
    <s v="EUR"/>
  </r>
  <r>
    <s v="ABI BREWDAT GLOBAL GAI DEV"/>
    <x v="4"/>
    <s v="Marketplace"/>
    <s v="Usage"/>
    <x v="30"/>
    <x v="68"/>
    <n v="267.740366926359"/>
    <n v="235.29340621"/>
    <s v="EUR"/>
  </r>
  <r>
    <s v="ABI BREWDAT GLOBAL GAI DEV"/>
    <x v="5"/>
    <s v="Azure"/>
    <s v="Usage"/>
    <x v="0"/>
    <x v="0"/>
    <n v="56.812893600000002"/>
    <n v="50.268000000000001"/>
    <s v="EUR"/>
  </r>
  <r>
    <s v="ABI BREWDAT GLOBAL GAI DEV"/>
    <x v="5"/>
    <s v="Azure"/>
    <s v="Usage"/>
    <x v="1"/>
    <x v="1"/>
    <n v="181.57069872"/>
    <n v="160.65360000000001"/>
    <s v="EUR"/>
  </r>
  <r>
    <s v="ABI BREWDAT GLOBAL GAI DEV"/>
    <x v="5"/>
    <s v="Azure"/>
    <s v="Usage"/>
    <x v="2"/>
    <x v="69"/>
    <n v="0"/>
    <n v="0"/>
    <s v="EUR"/>
  </r>
  <r>
    <s v="ABI BREWDAT GLOBAL GAI DEV"/>
    <x v="5"/>
    <s v="Azure"/>
    <s v="Usage"/>
    <x v="2"/>
    <x v="2"/>
    <n v="0"/>
    <n v="0"/>
    <s v="EUR"/>
  </r>
  <r>
    <s v="ABI BREWDAT GLOBAL GAI DEV"/>
    <x v="5"/>
    <s v="Azure"/>
    <s v="Usage"/>
    <x v="2"/>
    <x v="3"/>
    <n v="536.02357064"/>
    <n v="474.27319999999997"/>
    <s v="EUR"/>
  </r>
  <r>
    <s v="ABI BREWDAT GLOBAL GAI DEV"/>
    <x v="5"/>
    <s v="Azure"/>
    <s v="Usage"/>
    <x v="2"/>
    <x v="4"/>
    <n v="954.15049585701399"/>
    <n v="844.23154827200005"/>
    <s v="EUR"/>
  </r>
  <r>
    <s v="ABI BREWDAT GLOBAL GAI DEV"/>
    <x v="5"/>
    <s v="Azure"/>
    <s v="Usage"/>
    <x v="2"/>
    <x v="5"/>
    <n v="28.691665929862999"/>
    <n v="25.386361643835599"/>
    <s v="EUR"/>
  </r>
  <r>
    <s v="ABI BREWDAT GLOBAL GAI DEV"/>
    <x v="5"/>
    <s v="Azure"/>
    <s v="Usage"/>
    <x v="3"/>
    <x v="6"/>
    <n v="0.18670903999999999"/>
    <n v="0.16520000000000001"/>
    <s v="EUR"/>
  </r>
  <r>
    <s v="ABI BREWDAT GLOBAL GAI DEV"/>
    <x v="5"/>
    <s v="Azure"/>
    <s v="Usage"/>
    <x v="5"/>
    <x v="8"/>
    <n v="145.66017600000001"/>
    <n v="128.88"/>
    <s v="EUR"/>
  </r>
  <r>
    <s v="ABI BREWDAT GLOBAL GAI DEV"/>
    <x v="5"/>
    <s v="Azure"/>
    <s v="Usage"/>
    <x v="6"/>
    <x v="9"/>
    <n v="0.69208529136268404"/>
    <n v="0.61235647793548398"/>
    <s v="EUR"/>
  </r>
  <r>
    <s v="ABI BREWDAT GLOBAL GAI DEV"/>
    <x v="5"/>
    <s v="Azure"/>
    <s v="Usage"/>
    <x v="7"/>
    <x v="10"/>
    <n v="7.9351341999999998E-4"/>
    <n v="7.0209999999999999E-4"/>
    <s v="EUR"/>
  </r>
  <r>
    <s v="ABI BREWDAT GLOBAL GAI DEV"/>
    <x v="5"/>
    <s v="Azure"/>
    <s v="Usage"/>
    <x v="8"/>
    <x v="11"/>
    <n v="14.760480055053799"/>
    <n v="13.060060215053801"/>
    <s v="EUR"/>
  </r>
  <r>
    <s v="ABI BREWDAT GLOBAL GAI DEV"/>
    <x v="5"/>
    <s v="Azure"/>
    <s v="Usage"/>
    <x v="8"/>
    <x v="12"/>
    <n v="225.75745000000001"/>
    <n v="199.75"/>
    <s v="EUR"/>
  </r>
  <r>
    <s v="ABI BREWDAT GLOBAL GAI DEV"/>
    <x v="5"/>
    <s v="Azure"/>
    <s v="Usage"/>
    <x v="8"/>
    <x v="13"/>
    <n v="194.9730624"/>
    <n v="172.512"/>
    <s v="EUR"/>
  </r>
  <r>
    <s v="ABI BREWDAT GLOBAL GAI DEV"/>
    <x v="5"/>
    <s v="Azure"/>
    <s v="Usage"/>
    <x v="9"/>
    <x v="14"/>
    <n v="2728.2075255474601"/>
    <n v="2413.9157012453202"/>
    <s v="EUR"/>
  </r>
  <r>
    <s v="ABI BREWDAT GLOBAL GAI DEV"/>
    <x v="5"/>
    <s v="Azure"/>
    <s v="Usage"/>
    <x v="9"/>
    <x v="15"/>
    <n v="1896.1144491871501"/>
    <n v="1677.68045406756"/>
    <s v="EUR"/>
  </r>
  <r>
    <s v="ABI BREWDAT GLOBAL GAI DEV"/>
    <x v="5"/>
    <s v="Azure"/>
    <s v="Usage"/>
    <x v="10"/>
    <x v="16"/>
    <n v="258.99959268326302"/>
    <n v="229.16261961003701"/>
    <s v="EUR"/>
  </r>
  <r>
    <s v="ABI BREWDAT GLOBAL GAI DEV"/>
    <x v="5"/>
    <s v="Azure"/>
    <s v="Usage"/>
    <x v="11"/>
    <x v="17"/>
    <n v="104.64781121107499"/>
    <n v="92.592294470956304"/>
    <s v="EUR"/>
  </r>
  <r>
    <s v="ABI BREWDAT GLOBAL GAI DEV"/>
    <x v="5"/>
    <s v="Azure"/>
    <s v="Usage"/>
    <x v="12"/>
    <x v="18"/>
    <n v="0.84279847908611405"/>
    <n v="0.74570737841631096"/>
    <s v="EUR"/>
  </r>
  <r>
    <s v="ABI BREWDAT GLOBAL GAI DEV"/>
    <x v="5"/>
    <s v="Azure"/>
    <s v="Usage"/>
    <x v="12"/>
    <x v="19"/>
    <n v="63.0457105257981"/>
    <n v="55.782791121746698"/>
    <s v="EUR"/>
  </r>
  <r>
    <s v="ABI BREWDAT GLOBAL GAI DEV"/>
    <x v="5"/>
    <s v="Azure"/>
    <s v="Usage"/>
    <x v="13"/>
    <x v="20"/>
    <n v="14479.0113744911"/>
    <n v="12811.016965573501"/>
    <s v="EUR"/>
  </r>
  <r>
    <s v="ABI BREWDAT GLOBAL GAI DEV"/>
    <x v="5"/>
    <s v="Azure"/>
    <s v="Usage"/>
    <x v="14"/>
    <x v="21"/>
    <n v="138.388442435505"/>
    <n v="122.445976318798"/>
    <s v="EUR"/>
  </r>
  <r>
    <s v="ABI BREWDAT GLOBAL GAI DEV"/>
    <x v="5"/>
    <s v="Azure"/>
    <s v="Usage"/>
    <x v="16"/>
    <x v="23"/>
    <n v="7.1274742067448003"/>
    <n v="6.3063831239999999"/>
    <s v="EUR"/>
  </r>
  <r>
    <s v="ABI BREWDAT GLOBAL GAI DEV"/>
    <x v="5"/>
    <s v="Azure"/>
    <s v="Usage"/>
    <x v="17"/>
    <x v="24"/>
    <n v="12.9797623712742"/>
    <n v="11.484482720999999"/>
    <s v="EUR"/>
  </r>
  <r>
    <s v="ABI BREWDAT GLOBAL GAI DEV"/>
    <x v="5"/>
    <s v="Azure"/>
    <s v="Usage"/>
    <x v="18"/>
    <x v="25"/>
    <n v="154.62063491848801"/>
    <n v="136.80820643999999"/>
    <s v="EUR"/>
  </r>
  <r>
    <s v="ABI BREWDAT GLOBAL GAI DEV"/>
    <x v="5"/>
    <s v="Azure"/>
    <s v="Usage"/>
    <x v="19"/>
    <x v="26"/>
    <n v="297.23649003983098"/>
    <n v="262.99459391243198"/>
    <s v="EUR"/>
  </r>
  <r>
    <s v="ABI BREWDAT GLOBAL GAI DEV"/>
    <x v="5"/>
    <s v="Azure"/>
    <s v="Usage"/>
    <x v="20"/>
    <x v="27"/>
    <n v="24.270760747376301"/>
    <n v="21.47474849352"/>
    <s v="EUR"/>
  </r>
  <r>
    <s v="ABI BREWDAT GLOBAL GAI DEV"/>
    <x v="5"/>
    <s v="Azure"/>
    <s v="Usage"/>
    <x v="21"/>
    <x v="28"/>
    <n v="588.19664513839996"/>
    <n v="520.43589199999997"/>
    <s v="EUR"/>
  </r>
  <r>
    <s v="ABI BREWDAT GLOBAL GAI DEV"/>
    <x v="5"/>
    <s v="Azure"/>
    <s v="Usage"/>
    <x v="21"/>
    <x v="29"/>
    <n v="116.20716400000001"/>
    <n v="102.82"/>
    <s v="EUR"/>
  </r>
  <r>
    <s v="ABI BREWDAT GLOBAL GAI DEV"/>
    <x v="5"/>
    <s v="Azure"/>
    <s v="Usage"/>
    <x v="21"/>
    <x v="30"/>
    <n v="1.8524966924999999"/>
    <n v="1.6390875"/>
    <s v="EUR"/>
  </r>
  <r>
    <s v="ABI BREWDAT GLOBAL GAI DEV"/>
    <x v="5"/>
    <s v="Azure"/>
    <s v="Usage"/>
    <x v="21"/>
    <x v="31"/>
    <n v="19.359232258064502"/>
    <n v="17.129032258064498"/>
    <s v="EUR"/>
  </r>
  <r>
    <s v="ABI BREWDAT GLOBAL GAI DEV"/>
    <x v="5"/>
    <s v="Azure"/>
    <s v="Usage"/>
    <x v="21"/>
    <x v="32"/>
    <n v="3.3065255522000001"/>
    <n v="2.925611"/>
    <s v="EUR"/>
  </r>
  <r>
    <s v="ABI BREWDAT GLOBAL GAI DEV"/>
    <x v="5"/>
    <s v="Azure"/>
    <s v="Usage"/>
    <x v="21"/>
    <x v="33"/>
    <n v="17.4342464516129"/>
    <n v="15.4258064516129"/>
    <s v="EUR"/>
  </r>
  <r>
    <s v="ABI BREWDAT GLOBAL GAI DEV"/>
    <x v="5"/>
    <s v="Azure"/>
    <s v="Usage"/>
    <x v="21"/>
    <x v="34"/>
    <n v="242.93429683026"/>
    <n v="214.94805948527701"/>
    <s v="EUR"/>
  </r>
  <r>
    <s v="ABI BREWDAT GLOBAL GAI DEV"/>
    <x v="5"/>
    <s v="Azure"/>
    <s v="Usage"/>
    <x v="21"/>
    <x v="35"/>
    <n v="148.844446688"/>
    <n v="131.69744"/>
    <s v="EUR"/>
  </r>
  <r>
    <s v="ABI BREWDAT GLOBAL GAI DEV"/>
    <x v="5"/>
    <s v="Azure"/>
    <s v="Usage"/>
    <x v="22"/>
    <x v="36"/>
    <n v="26.682052985204901"/>
    <n v="23.608257817381801"/>
    <s v="EUR"/>
  </r>
  <r>
    <s v="ABI BREWDAT GLOBAL GAI DEV"/>
    <x v="5"/>
    <s v="Azure"/>
    <s v="Usage"/>
    <x v="23"/>
    <x v="37"/>
    <n v="461.71834560000002"/>
    <n v="408.52800000000002"/>
    <s v="EUR"/>
  </r>
  <r>
    <s v="ABI BREWDAT GLOBAL GAI DEV"/>
    <x v="5"/>
    <s v="Azure"/>
    <s v="Usage"/>
    <x v="24"/>
    <x v="38"/>
    <n v="128.84280000000001"/>
    <n v="114"/>
    <s v="EUR"/>
  </r>
  <r>
    <s v="ABI BREWDAT GLOBAL GAI DEV"/>
    <x v="5"/>
    <s v="Azure"/>
    <s v="Usage"/>
    <x v="24"/>
    <x v="39"/>
    <n v="4067.3637600000002"/>
    <n v="3598.8"/>
    <s v="EUR"/>
  </r>
  <r>
    <s v="ABI BREWDAT GLOBAL GAI DEV"/>
    <x v="5"/>
    <s v="Azure"/>
    <s v="Usage"/>
    <x v="24"/>
    <x v="40"/>
    <n v="66.269520053763401"/>
    <n v="58.635215053763403"/>
    <s v="EUR"/>
  </r>
  <r>
    <s v="ABI BREWDAT GLOBAL GAI DEV"/>
    <x v="5"/>
    <s v="Azure"/>
    <s v="Usage"/>
    <x v="25"/>
    <x v="41"/>
    <n v="9.7797564636023999"/>
    <n v="8.6531202119999993"/>
    <s v="EUR"/>
  </r>
  <r>
    <s v="ABI BREWDAT GLOBAL GAI DEV"/>
    <x v="5"/>
    <s v="Azure"/>
    <s v="Usage"/>
    <x v="26"/>
    <x v="42"/>
    <n v="128.84280000000001"/>
    <n v="114"/>
    <s v="EUR"/>
  </r>
  <r>
    <s v="ABI BREWDAT GLOBAL GAI DEV"/>
    <x v="5"/>
    <s v="Azure"/>
    <s v="Usage"/>
    <x v="27"/>
    <x v="43"/>
    <n v="166.94031329159299"/>
    <n v="147.70864740010001"/>
    <s v="EUR"/>
  </r>
  <r>
    <s v="ABI BREWDAT GLOBAL GAI DEV"/>
    <x v="5"/>
    <s v="Azure"/>
    <s v="Usage"/>
    <x v="27"/>
    <x v="44"/>
    <n v="18.298793714655101"/>
    <n v="16.190757135599998"/>
    <s v="EUR"/>
  </r>
  <r>
    <s v="ABI BREWDAT GLOBAL GAI DEV"/>
    <x v="5"/>
    <s v="Azure"/>
    <s v="Usage"/>
    <x v="27"/>
    <x v="45"/>
    <n v="85.013423811497503"/>
    <n v="75.219805177400005"/>
    <s v="EUR"/>
  </r>
  <r>
    <s v="ABI BREWDAT GLOBAL GAI DEV"/>
    <x v="5"/>
    <s v="Azure"/>
    <s v="Usage"/>
    <x v="27"/>
    <x v="46"/>
    <n v="1.134935538E-4"/>
    <n v="1.00419E-4"/>
    <s v="EUR"/>
  </r>
  <r>
    <s v="ABI BREWDAT GLOBAL GAI DEV"/>
    <x v="5"/>
    <s v="Azure"/>
    <s v="Usage"/>
    <x v="27"/>
    <x v="47"/>
    <n v="8.3678124182640007E-2"/>
    <n v="7.4038333200000001E-2"/>
    <s v="EUR"/>
  </r>
  <r>
    <s v="ABI BREWDAT GLOBAL GAI DEV"/>
    <x v="5"/>
    <s v="Azure"/>
    <s v="Usage"/>
    <x v="27"/>
    <x v="48"/>
    <n v="9.3888409316104706"/>
    <n v="8.3072384813400006"/>
    <s v="EUR"/>
  </r>
  <r>
    <s v="ABI BREWDAT GLOBAL GAI DEV"/>
    <x v="5"/>
    <s v="Azure"/>
    <s v="Usage"/>
    <x v="27"/>
    <x v="49"/>
    <n v="1055.03956294664"/>
    <n v="933.49810913700003"/>
    <s v="EUR"/>
  </r>
  <r>
    <s v="ABI BREWDAT GLOBAL GAI DEV"/>
    <x v="5"/>
    <s v="Azure"/>
    <s v="Usage"/>
    <x v="27"/>
    <x v="50"/>
    <n v="5.9660997600000003E-6"/>
    <n v="5.2788000000000002E-6"/>
    <s v="EUR"/>
  </r>
  <r>
    <s v="ABI BREWDAT GLOBAL GAI DEV"/>
    <x v="5"/>
    <s v="Azure"/>
    <s v="Usage"/>
    <x v="27"/>
    <x v="51"/>
    <n v="4.8758941474000002E-4"/>
    <n v="4.314187E-4"/>
    <s v="EUR"/>
  </r>
  <r>
    <s v="ABI BREWDAT GLOBAL GAI DEV"/>
    <x v="5"/>
    <s v="Azure"/>
    <s v="Usage"/>
    <x v="27"/>
    <x v="52"/>
    <n v="8.6746343303534399"/>
    <n v="7.6753090871999996"/>
    <s v="EUR"/>
  </r>
  <r>
    <s v="ABI BREWDAT GLOBAL GAI DEV"/>
    <x v="5"/>
    <s v="Azure"/>
    <s v="Usage"/>
    <x v="27"/>
    <x v="53"/>
    <n v="46.584686338005497"/>
    <n v="41.218090902500002"/>
    <s v="EUR"/>
  </r>
  <r>
    <s v="ABI BREWDAT GLOBAL GAI DEV"/>
    <x v="5"/>
    <s v="Azure"/>
    <s v="Usage"/>
    <x v="27"/>
    <x v="54"/>
    <n v="1.29362578098444"/>
    <n v="1.1445989921999999"/>
    <s v="EUR"/>
  </r>
  <r>
    <s v="ABI BREWDAT GLOBAL GAI DEV"/>
    <x v="5"/>
    <s v="Azure"/>
    <s v="Usage"/>
    <x v="27"/>
    <x v="55"/>
    <n v="2.5652791353599999E-3"/>
    <n v="2.2697568000000002E-3"/>
    <s v="EUR"/>
  </r>
  <r>
    <s v="ABI BREWDAT GLOBAL GAI DEV"/>
    <x v="5"/>
    <s v="Azure"/>
    <s v="Usage"/>
    <x v="28"/>
    <x v="70"/>
    <n v="51.181467789999999"/>
    <n v="45.285319226685502"/>
    <s v="EUR"/>
  </r>
  <r>
    <s v="ABI BREWDAT GLOBAL GAI DEV"/>
    <x v="5"/>
    <s v="Azure"/>
    <s v="Usage"/>
    <x v="28"/>
    <x v="71"/>
    <n v="14.942120640000001"/>
    <n v="13.220775650327401"/>
    <s v="EUR"/>
  </r>
  <r>
    <s v="ABI BREWDAT GLOBAL GAI DEV"/>
    <x v="5"/>
    <s v="Azure"/>
    <s v="Usage"/>
    <x v="28"/>
    <x v="74"/>
    <n v="123.84096258069999"/>
    <n v="109.57437849999999"/>
    <s v="EUR"/>
  </r>
  <r>
    <s v="ABI BREWDAT GLOBAL GAI DEV"/>
    <x v="5"/>
    <s v="Azure"/>
    <s v="Usage"/>
    <x v="28"/>
    <x v="56"/>
    <n v="99.948156727715201"/>
    <n v="88.434044176"/>
    <s v="EUR"/>
  </r>
  <r>
    <s v="ABI BREWDAT GLOBAL GAI DEV"/>
    <x v="5"/>
    <s v="Azure"/>
    <s v="Usage"/>
    <x v="28"/>
    <x v="57"/>
    <n v="89.602896449077804"/>
    <n v="79.280566668800006"/>
    <s v="EUR"/>
  </r>
  <r>
    <s v="ABI BREWDAT GLOBAL GAI DEV"/>
    <x v="5"/>
    <s v="Azure"/>
    <s v="Usage"/>
    <x v="28"/>
    <x v="58"/>
    <n v="3932.4004196737901"/>
    <n v="3479.3845511181999"/>
    <s v="EUR"/>
  </r>
  <r>
    <s v="ABI BREWDAT GLOBAL GAI DEV"/>
    <x v="5"/>
    <s v="Azure"/>
    <s v="Usage"/>
    <x v="28"/>
    <x v="59"/>
    <n v="390.33700177684602"/>
    <n v="345.36984761709999"/>
    <s v="EUR"/>
  </r>
  <r>
    <s v="ABI BREWDAT GLOBAL GAI DEV"/>
    <x v="5"/>
    <s v="Azure"/>
    <s v="Usage"/>
    <x v="28"/>
    <x v="60"/>
    <n v="117.38040073661401"/>
    <n v="103.85807886800001"/>
    <s v="EUR"/>
  </r>
  <r>
    <s v="ABI BREWDAT GLOBAL GAI DEV"/>
    <x v="5"/>
    <s v="Azure"/>
    <s v="Usage"/>
    <x v="28"/>
    <x v="61"/>
    <n v="752.55350987495297"/>
    <n v="665.85870631299997"/>
    <s v="EUR"/>
  </r>
  <r>
    <s v="ABI BREWDAT GLOBAL GAI DEV"/>
    <x v="5"/>
    <s v="Azure"/>
    <s v="Usage"/>
    <x v="28"/>
    <x v="62"/>
    <n v="3.0328339974129599"/>
    <n v="2.6834489447999998"/>
    <s v="EUR"/>
  </r>
  <r>
    <s v="ABI BREWDAT GLOBAL GAI DEV"/>
    <x v="5"/>
    <s v="Azure"/>
    <s v="Usage"/>
    <x v="28"/>
    <x v="63"/>
    <n v="171.77252576848301"/>
    <n v="151.984184895136"/>
    <s v="EUR"/>
  </r>
  <r>
    <s v="ABI BREWDAT GLOBAL GAI DEV"/>
    <x v="5"/>
    <s v="Azure"/>
    <s v="Usage"/>
    <x v="28"/>
    <x v="64"/>
    <n v="110.4969935092"/>
    <n v="97.767645999999999"/>
    <s v="EUR"/>
  </r>
  <r>
    <s v="ABI BREWDAT GLOBAL GAI DEV"/>
    <x v="5"/>
    <s v="Azure"/>
    <s v="Usage"/>
    <x v="29"/>
    <x v="66"/>
    <n v="39.717165209891697"/>
    <n v="35.141714041666702"/>
    <s v="EUR"/>
  </r>
  <r>
    <s v="ABI BREWDAT GLOBAL GAI DEV"/>
    <x v="5"/>
    <s v="Azure"/>
    <s v="Usage"/>
    <x v="29"/>
    <x v="75"/>
    <n v="7.2989833071069998E-3"/>
    <n v="6.4581342303194102E-3"/>
    <s v="EUR"/>
  </r>
  <r>
    <s v="ABI BREWDAT GLOBAL GAI DEV"/>
    <x v="5"/>
    <s v="Azure"/>
    <s v="Usage"/>
    <x v="29"/>
    <x v="67"/>
    <n v="476.78313697531598"/>
    <n v="421.85731461273701"/>
    <s v="EUR"/>
  </r>
  <r>
    <s v="ABI BREWDAT GLOBAL GAI DEV"/>
    <x v="5"/>
    <s v="Azure"/>
    <s v="Usage"/>
    <x v="31"/>
    <x v="72"/>
    <n v="32.176794000000001"/>
    <n v="28.47"/>
    <s v="EUR"/>
  </r>
  <r>
    <s v="ABI BREWDAT GLOBAL GAI DEV"/>
    <x v="5"/>
    <s v="Marketplace"/>
    <s v="Purchase"/>
    <x v="30"/>
    <x v="68"/>
    <n v="0"/>
    <n v="0"/>
    <s v="EUR"/>
  </r>
  <r>
    <s v="ABI BREWDAT GLOBAL GAI DEV"/>
    <x v="5"/>
    <s v="Marketplace"/>
    <s v="Usage"/>
    <x v="30"/>
    <x v="68"/>
    <n v="257.14527329457798"/>
    <n v="227.52191938999999"/>
    <s v="EUR"/>
  </r>
  <r>
    <s v="ABI BREWDAT GLOBAL GAI DEV"/>
    <x v="6"/>
    <s v="Azure"/>
    <s v="Usage"/>
    <x v="0"/>
    <x v="0"/>
    <n v="77.090155199999998"/>
    <n v="65.843999999999994"/>
    <s v="EUR"/>
  </r>
  <r>
    <s v="ABI BREWDAT GLOBAL GAI DEV"/>
    <x v="6"/>
    <s v="Azure"/>
    <s v="Usage"/>
    <x v="1"/>
    <x v="1"/>
    <n v="194.36300937600001"/>
    <n v="166.00872000000001"/>
    <s v="EUR"/>
  </r>
  <r>
    <s v="ABI BREWDAT GLOBAL GAI DEV"/>
    <x v="6"/>
    <s v="Azure"/>
    <s v="Usage"/>
    <x v="2"/>
    <x v="2"/>
    <n v="0"/>
    <n v="0"/>
    <s v="EUR"/>
  </r>
  <r>
    <s v="ABI BREWDAT GLOBAL GAI DEV"/>
    <x v="6"/>
    <s v="Azure"/>
    <s v="Usage"/>
    <x v="2"/>
    <x v="3"/>
    <n v="573.34169664000001"/>
    <n v="489.70080000000002"/>
    <s v="EUR"/>
  </r>
  <r>
    <s v="ABI BREWDAT GLOBAL GAI DEV"/>
    <x v="6"/>
    <s v="Azure"/>
    <s v="Usage"/>
    <x v="2"/>
    <x v="4"/>
    <n v="975.60422400000004"/>
    <n v="833.28"/>
    <s v="EUR"/>
  </r>
  <r>
    <s v="ABI BREWDAT GLOBAL GAI DEV"/>
    <x v="6"/>
    <s v="Azure"/>
    <s v="Usage"/>
    <x v="2"/>
    <x v="5"/>
    <n v="31.6459637819178"/>
    <n v="27.029350684931501"/>
    <s v="EUR"/>
  </r>
  <r>
    <s v="ABI BREWDAT GLOBAL GAI DEV"/>
    <x v="6"/>
    <s v="Azure"/>
    <s v="Usage"/>
    <x v="3"/>
    <x v="6"/>
    <n v="0.73221831999999998"/>
    <n v="0.62539999999999996"/>
    <s v="EUR"/>
  </r>
  <r>
    <s v="ABI BREWDAT GLOBAL GAI DEV"/>
    <x v="6"/>
    <s v="Azure"/>
    <s v="Usage"/>
    <x v="5"/>
    <x v="8"/>
    <n v="155.92246080000001"/>
    <n v="133.17599999999999"/>
    <s v="EUR"/>
  </r>
  <r>
    <s v="ABI BREWDAT GLOBAL GAI DEV"/>
    <x v="6"/>
    <s v="Azure"/>
    <s v="Usage"/>
    <x v="6"/>
    <x v="9"/>
    <n v="0.74511641478400004"/>
    <n v="0.63641647999999995"/>
    <s v="EUR"/>
  </r>
  <r>
    <s v="ABI BREWDAT GLOBAL GAI DEV"/>
    <x v="6"/>
    <s v="Azure"/>
    <s v="Usage"/>
    <x v="7"/>
    <x v="10"/>
    <n v="7.1840287999999999E-4"/>
    <n v="6.1359999999999995E-4"/>
    <s v="EUR"/>
  </r>
  <r>
    <s v="ABI BREWDAT GLOBAL GAI DEV"/>
    <x v="6"/>
    <s v="Azure"/>
    <s v="Usage"/>
    <x v="8"/>
    <x v="11"/>
    <n v="18.163322879999999"/>
    <n v="15.5136"/>
    <s v="EUR"/>
  </r>
  <r>
    <s v="ABI BREWDAT GLOBAL GAI DEV"/>
    <x v="6"/>
    <s v="Azure"/>
    <s v="Usage"/>
    <x v="8"/>
    <x v="12"/>
    <n v="326.65320000000003"/>
    <n v="279"/>
    <s v="EUR"/>
  </r>
  <r>
    <s v="ABI BREWDAT GLOBAL GAI DEV"/>
    <x v="6"/>
    <s v="Azure"/>
    <s v="Usage"/>
    <x v="8"/>
    <x v="13"/>
    <n v="208.70961792"/>
    <n v="178.26240000000001"/>
    <s v="EUR"/>
  </r>
  <r>
    <s v="ABI BREWDAT GLOBAL GAI DEV"/>
    <x v="6"/>
    <s v="Azure"/>
    <s v="Usage"/>
    <x v="9"/>
    <x v="14"/>
    <n v="2823.2935866031198"/>
    <n v="2411.4226055714998"/>
    <s v="EUR"/>
  </r>
  <r>
    <s v="ABI BREWDAT GLOBAL GAI DEV"/>
    <x v="6"/>
    <s v="Azure"/>
    <s v="Usage"/>
    <x v="9"/>
    <x v="15"/>
    <n v="2450.1045604979699"/>
    <n v="2092.67557268361"/>
    <s v="EUR"/>
  </r>
  <r>
    <s v="ABI BREWDAT GLOBAL GAI DEV"/>
    <x v="6"/>
    <s v="Azure"/>
    <s v="Usage"/>
    <x v="10"/>
    <x v="16"/>
    <n v="668.93657019267505"/>
    <n v="571.34999162339795"/>
    <s v="EUR"/>
  </r>
  <r>
    <s v="ABI BREWDAT GLOBAL GAI DEV"/>
    <x v="6"/>
    <s v="Azure"/>
    <s v="Usage"/>
    <x v="11"/>
    <x v="17"/>
    <n v="121.456874415946"/>
    <n v="103.738362159161"/>
    <s v="EUR"/>
  </r>
  <r>
    <s v="ABI BREWDAT GLOBAL GAI DEV"/>
    <x v="6"/>
    <s v="Azure"/>
    <s v="Usage"/>
    <x v="12"/>
    <x v="18"/>
    <n v="1.4822573991300501"/>
    <n v="1.2660210105312999"/>
    <s v="EUR"/>
  </r>
  <r>
    <s v="ABI BREWDAT GLOBAL GAI DEV"/>
    <x v="6"/>
    <s v="Azure"/>
    <s v="Usage"/>
    <x v="12"/>
    <x v="19"/>
    <n v="74.773820783803103"/>
    <n v="63.865579760679097"/>
    <s v="EUR"/>
  </r>
  <r>
    <s v="ABI BREWDAT GLOBAL GAI DEV"/>
    <x v="6"/>
    <s v="Azure"/>
    <s v="Usage"/>
    <x v="13"/>
    <x v="73"/>
    <n v="4.5703020976000002E-3"/>
    <n v="3.9035720000000001E-3"/>
    <s v="EUR"/>
  </r>
  <r>
    <s v="ABI BREWDAT GLOBAL GAI DEV"/>
    <x v="6"/>
    <s v="Azure"/>
    <s v="Usage"/>
    <x v="13"/>
    <x v="20"/>
    <n v="17616.412380519399"/>
    <n v="15046.474530679399"/>
    <s v="EUR"/>
  </r>
  <r>
    <s v="ABI BREWDAT GLOBAL GAI DEV"/>
    <x v="6"/>
    <s v="Azure"/>
    <s v="Usage"/>
    <x v="14"/>
    <x v="21"/>
    <n v="156.34229941163201"/>
    <n v="133.53459122961399"/>
    <s v="EUR"/>
  </r>
  <r>
    <s v="ABI BREWDAT GLOBAL GAI DEV"/>
    <x v="6"/>
    <s v="Azure"/>
    <s v="Usage"/>
    <x v="15"/>
    <x v="22"/>
    <n v="1.6576392289992799E-2"/>
    <n v="1.4158175854110701E-2"/>
    <s v="EUR"/>
  </r>
  <r>
    <s v="ABI BREWDAT GLOBAL GAI DEV"/>
    <x v="6"/>
    <s v="Azure"/>
    <s v="Usage"/>
    <x v="16"/>
    <x v="23"/>
    <n v="180.51840745723101"/>
    <n v="154.18381231399999"/>
    <s v="EUR"/>
  </r>
  <r>
    <s v="ABI BREWDAT GLOBAL GAI DEV"/>
    <x v="6"/>
    <s v="Azure"/>
    <s v="Usage"/>
    <x v="17"/>
    <x v="24"/>
    <n v="13.888554255969"/>
    <n v="11.8624481175"/>
    <s v="EUR"/>
  </r>
  <r>
    <s v="ABI BREWDAT GLOBAL GAI DEV"/>
    <x v="6"/>
    <s v="Azure"/>
    <s v="Usage"/>
    <x v="18"/>
    <x v="25"/>
    <n v="221.65732531887599"/>
    <n v="189.32125497000001"/>
    <s v="EUR"/>
  </r>
  <r>
    <s v="ABI BREWDAT GLOBAL GAI DEV"/>
    <x v="6"/>
    <s v="Azure"/>
    <s v="Usage"/>
    <x v="19"/>
    <x v="26"/>
    <n v="326.14236295172498"/>
    <n v="278.56368547294602"/>
    <s v="EUR"/>
  </r>
  <r>
    <s v="ABI BREWDAT GLOBAL GAI DEV"/>
    <x v="6"/>
    <s v="Azure"/>
    <s v="Usage"/>
    <x v="20"/>
    <x v="27"/>
    <n v="23.698609883982801"/>
    <n v="20.241381861960001"/>
    <s v="EUR"/>
  </r>
  <r>
    <s v="ABI BREWDAT GLOBAL GAI DEV"/>
    <x v="6"/>
    <s v="Azure"/>
    <s v="Usage"/>
    <x v="32"/>
    <x v="76"/>
    <n v="0.18563326230521299"/>
    <n v="0.15855249599010299"/>
    <s v="EUR"/>
  </r>
  <r>
    <s v="ABI BREWDAT GLOBAL GAI DEV"/>
    <x v="6"/>
    <s v="Azure"/>
    <s v="Usage"/>
    <x v="21"/>
    <x v="28"/>
    <n v="870.92439627680005"/>
    <n v="743.87119600000005"/>
    <s v="EUR"/>
  </r>
  <r>
    <s v="ABI BREWDAT GLOBAL GAI DEV"/>
    <x v="6"/>
    <s v="Azure"/>
    <s v="Usage"/>
    <x v="21"/>
    <x v="29"/>
    <n v="120.03416256"/>
    <n v="102.5232"/>
    <s v="EUR"/>
  </r>
  <r>
    <s v="ABI BREWDAT GLOBAL GAI DEV"/>
    <x v="6"/>
    <s v="Azure"/>
    <s v="Usage"/>
    <x v="21"/>
    <x v="30"/>
    <n v="2.0958069311999998"/>
    <n v="1.7900640000000001"/>
    <s v="EUR"/>
  </r>
  <r>
    <s v="ABI BREWDAT GLOBAL GAI DEV"/>
    <x v="6"/>
    <s v="Azure"/>
    <s v="Usage"/>
    <x v="21"/>
    <x v="31"/>
    <n v="23.2439207258065"/>
    <n v="19.8530241935484"/>
    <s v="EUR"/>
  </r>
  <r>
    <s v="ABI BREWDAT GLOBAL GAI DEV"/>
    <x v="6"/>
    <s v="Azure"/>
    <s v="Usage"/>
    <x v="21"/>
    <x v="32"/>
    <n v="3.5444049888000002"/>
    <n v="3.027336"/>
    <s v="EUR"/>
  </r>
  <r>
    <s v="ABI BREWDAT GLOBAL GAI DEV"/>
    <x v="6"/>
    <s v="Azure"/>
    <s v="Usage"/>
    <x v="21"/>
    <x v="33"/>
    <n v="18.662552000000002"/>
    <n v="15.94"/>
    <s v="EUR"/>
  </r>
  <r>
    <s v="ABI BREWDAT GLOBAL GAI DEV"/>
    <x v="6"/>
    <s v="Azure"/>
    <s v="Usage"/>
    <x v="21"/>
    <x v="34"/>
    <n v="346.111497123351"/>
    <n v="295.61965931273602"/>
    <s v="EUR"/>
  </r>
  <r>
    <s v="ABI BREWDAT GLOBAL GAI DEV"/>
    <x v="6"/>
    <s v="Azure"/>
    <s v="Usage"/>
    <x v="21"/>
    <x v="35"/>
    <n v="179.21457845200001"/>
    <n v="153.07019"/>
    <s v="EUR"/>
  </r>
  <r>
    <s v="ABI BREWDAT GLOBAL GAI DEV"/>
    <x v="6"/>
    <s v="Azure"/>
    <s v="Usage"/>
    <x v="22"/>
    <x v="36"/>
    <n v="27.440910667789701"/>
    <n v="23.437743993670701"/>
    <s v="EUR"/>
  </r>
  <r>
    <s v="ABI BREWDAT GLOBAL GAI DEV"/>
    <x v="6"/>
    <s v="Azure"/>
    <s v="Usage"/>
    <x v="23"/>
    <x v="37"/>
    <n v="494.24806847999997"/>
    <n v="422.1456"/>
    <s v="EUR"/>
  </r>
  <r>
    <s v="ABI BREWDAT GLOBAL GAI DEV"/>
    <x v="6"/>
    <s v="Azure"/>
    <s v="Usage"/>
    <x v="24"/>
    <x v="38"/>
    <n v="190.567213333333"/>
    <n v="162.766666666666"/>
    <s v="EUR"/>
  </r>
  <r>
    <s v="ABI BREWDAT GLOBAL GAI DEV"/>
    <x v="6"/>
    <s v="Azure"/>
    <s v="Usage"/>
    <x v="24"/>
    <x v="39"/>
    <n v="10603.795104000001"/>
    <n v="9056.8800000000101"/>
    <s v="EUR"/>
  </r>
  <r>
    <s v="ABI BREWDAT GLOBAL GAI DEV"/>
    <x v="6"/>
    <s v="Azure"/>
    <s v="Usage"/>
    <x v="24"/>
    <x v="40"/>
    <n v="95.445378494623597"/>
    <n v="81.521505376344095"/>
    <s v="EUR"/>
  </r>
  <r>
    <s v="ABI BREWDAT GLOBAL GAI DEV"/>
    <x v="6"/>
    <s v="Azure"/>
    <s v="Usage"/>
    <x v="25"/>
    <x v="41"/>
    <n v="7.0927031674211998"/>
    <n v="6.0579972389999996"/>
    <s v="EUR"/>
  </r>
  <r>
    <s v="ABI BREWDAT GLOBAL GAI DEV"/>
    <x v="6"/>
    <s v="Azure"/>
    <s v="Usage"/>
    <x v="26"/>
    <x v="42"/>
    <n v="137.92024000000001"/>
    <n v="117.8"/>
    <s v="EUR"/>
  </r>
  <r>
    <s v="ABI BREWDAT GLOBAL GAI DEV"/>
    <x v="6"/>
    <s v="Azure"/>
    <s v="Usage"/>
    <x v="27"/>
    <x v="43"/>
    <n v="1146.73288673308"/>
    <n v="979.44387319190002"/>
    <s v="EUR"/>
  </r>
  <r>
    <s v="ABI BREWDAT GLOBAL GAI DEV"/>
    <x v="6"/>
    <s v="Azure"/>
    <s v="Usage"/>
    <x v="27"/>
    <x v="44"/>
    <n v="24.858385192741601"/>
    <n v="21.23196548748"/>
    <s v="EUR"/>
  </r>
  <r>
    <s v="ABI BREWDAT GLOBAL GAI DEV"/>
    <x v="6"/>
    <s v="Azure"/>
    <s v="Usage"/>
    <x v="27"/>
    <x v="45"/>
    <n v="93.8560549345315"/>
    <n v="80.164037354399994"/>
    <s v="EUR"/>
  </r>
  <r>
    <s v="ABI BREWDAT GLOBAL GAI DEV"/>
    <x v="6"/>
    <s v="Azure"/>
    <s v="Usage"/>
    <x v="27"/>
    <x v="46"/>
    <n v="1.229410248E-4"/>
    <n v="1.05006E-4"/>
    <s v="EUR"/>
  </r>
  <r>
    <s v="ABI BREWDAT GLOBAL GAI DEV"/>
    <x v="6"/>
    <s v="Azure"/>
    <s v="Usage"/>
    <x v="27"/>
    <x v="47"/>
    <n v="7.9246275659039994E-2"/>
    <n v="6.7685578800000007E-2"/>
    <s v="EUR"/>
  </r>
  <r>
    <s v="ABI BREWDAT GLOBAL GAI DEV"/>
    <x v="6"/>
    <s v="Azure"/>
    <s v="Usage"/>
    <x v="27"/>
    <x v="48"/>
    <n v="90.420582936366799"/>
    <n v="77.229742856480001"/>
    <s v="EUR"/>
  </r>
  <r>
    <s v="ABI BREWDAT GLOBAL GAI DEV"/>
    <x v="6"/>
    <s v="Azure"/>
    <s v="Usage"/>
    <x v="27"/>
    <x v="49"/>
    <n v="1286.2166458824299"/>
    <n v="1098.579301232"/>
    <s v="EUR"/>
  </r>
  <r>
    <s v="ABI BREWDAT GLOBAL GAI DEV"/>
    <x v="6"/>
    <s v="Azure"/>
    <s v="Usage"/>
    <x v="27"/>
    <x v="50"/>
    <n v="4.6166985600000001E-6"/>
    <n v="3.9431999999999998E-6"/>
    <s v="EUR"/>
  </r>
  <r>
    <s v="ABI BREWDAT GLOBAL GAI DEV"/>
    <x v="6"/>
    <s v="Azure"/>
    <s v="Usage"/>
    <x v="27"/>
    <x v="51"/>
    <n v="3.9347871743999999E-4"/>
    <n v="3.3607679999999999E-4"/>
    <s v="EUR"/>
  </r>
  <r>
    <s v="ABI BREWDAT GLOBAL GAI DEV"/>
    <x v="6"/>
    <s v="Azure"/>
    <s v="Usage"/>
    <x v="27"/>
    <x v="52"/>
    <n v="8.8131729658175999"/>
    <n v="7.5274794719999996"/>
    <s v="EUR"/>
  </r>
  <r>
    <s v="ABI BREWDAT GLOBAL GAI DEV"/>
    <x v="6"/>
    <s v="Azure"/>
    <s v="Usage"/>
    <x v="27"/>
    <x v="53"/>
    <n v="28.808024691646398"/>
    <n v="24.605419108"/>
    <s v="EUR"/>
  </r>
  <r>
    <s v="ABI BREWDAT GLOBAL GAI DEV"/>
    <x v="6"/>
    <s v="Azure"/>
    <s v="Usage"/>
    <x v="27"/>
    <x v="54"/>
    <n v="3.3415375881829599"/>
    <n v="2.8540635362"/>
    <s v="EUR"/>
  </r>
  <r>
    <s v="ABI BREWDAT GLOBAL GAI DEV"/>
    <x v="6"/>
    <s v="Azure"/>
    <s v="Usage"/>
    <x v="27"/>
    <x v="55"/>
    <n v="2.6937691468799999E-3"/>
    <n v="2.3007936E-3"/>
    <s v="EUR"/>
  </r>
  <r>
    <s v="ABI BREWDAT GLOBAL GAI DEV"/>
    <x v="6"/>
    <s v="Azure"/>
    <s v="Usage"/>
    <x v="28"/>
    <x v="70"/>
    <n v="74.028457919999994"/>
    <n v="63.228952784420898"/>
    <s v="EUR"/>
  </r>
  <r>
    <s v="ABI BREWDAT GLOBAL GAI DEV"/>
    <x v="6"/>
    <s v="Azure"/>
    <s v="Usage"/>
    <x v="28"/>
    <x v="77"/>
    <n v="6.3811710303680005E-2"/>
    <n v="5.4502656562760501E-2"/>
    <s v="EUR"/>
  </r>
  <r>
    <s v="ABI BREWDAT GLOBAL GAI DEV"/>
    <x v="6"/>
    <s v="Azure"/>
    <s v="Usage"/>
    <x v="28"/>
    <x v="74"/>
    <n v="5.4520713929955997"/>
    <n v="4.6567060070000004"/>
    <s v="EUR"/>
  </r>
  <r>
    <s v="ABI BREWDAT GLOBAL GAI DEV"/>
    <x v="6"/>
    <s v="Azure"/>
    <s v="Usage"/>
    <x v="28"/>
    <x v="56"/>
    <n v="126.31817976587899"/>
    <n v="107.89048493839999"/>
    <s v="EUR"/>
  </r>
  <r>
    <s v="ABI BREWDAT GLOBAL GAI DEV"/>
    <x v="6"/>
    <s v="Azure"/>
    <s v="Usage"/>
    <x v="28"/>
    <x v="57"/>
    <n v="178.65078644831499"/>
    <n v="152.58864575359999"/>
    <s v="EUR"/>
  </r>
  <r>
    <s v="ABI BREWDAT GLOBAL GAI DEV"/>
    <x v="6"/>
    <s v="Azure"/>
    <s v="Usage"/>
    <x v="28"/>
    <x v="58"/>
    <n v="5865.0579859627796"/>
    <n v="5009.4448120625002"/>
    <s v="EUR"/>
  </r>
  <r>
    <s v="ABI BREWDAT GLOBAL GAI DEV"/>
    <x v="6"/>
    <s v="Azure"/>
    <s v="Usage"/>
    <x v="28"/>
    <x v="59"/>
    <n v="472.52656967728899"/>
    <n v="403.59290201340002"/>
    <s v="EUR"/>
  </r>
  <r>
    <s v="ABI BREWDAT GLOBAL GAI DEV"/>
    <x v="6"/>
    <s v="Azure"/>
    <s v="Usage"/>
    <x v="28"/>
    <x v="60"/>
    <n v="138.245719698964"/>
    <n v="118.077997693"/>
    <s v="EUR"/>
  </r>
  <r>
    <s v="ABI BREWDAT GLOBAL GAI DEV"/>
    <x v="6"/>
    <s v="Azure"/>
    <s v="Usage"/>
    <x v="28"/>
    <x v="61"/>
    <n v="799.02414563186596"/>
    <n v="682.45998089499994"/>
    <s v="EUR"/>
  </r>
  <r>
    <s v="ABI BREWDAT GLOBAL GAI DEV"/>
    <x v="6"/>
    <s v="Azure"/>
    <s v="Usage"/>
    <x v="28"/>
    <x v="63"/>
    <n v="238.32329102246999"/>
    <n v="203.55593698536899"/>
    <s v="EUR"/>
  </r>
  <r>
    <s v="ABI BREWDAT GLOBAL GAI DEV"/>
    <x v="6"/>
    <s v="Azure"/>
    <s v="Usage"/>
    <x v="28"/>
    <x v="64"/>
    <n v="330.04312809134399"/>
    <n v="281.89539467999998"/>
    <s v="EUR"/>
  </r>
  <r>
    <s v="ABI BREWDAT GLOBAL GAI DEV"/>
    <x v="6"/>
    <s v="Azure"/>
    <s v="Usage"/>
    <x v="28"/>
    <x v="78"/>
    <n v="1.25610788232"/>
    <n v="1.07286289914588"/>
    <s v="EUR"/>
  </r>
  <r>
    <s v="ABI BREWDAT GLOBAL GAI DEV"/>
    <x v="6"/>
    <s v="Azure"/>
    <s v="Usage"/>
    <x v="28"/>
    <x v="65"/>
    <n v="1.19752404400188"/>
    <n v="1.0228254561000001"/>
    <s v="EUR"/>
  </r>
  <r>
    <s v="ABI BREWDAT GLOBAL GAI DEV"/>
    <x v="6"/>
    <s v="Azure"/>
    <s v="Usage"/>
    <x v="29"/>
    <x v="66"/>
    <n v="40.287913698533302"/>
    <n v="34.410585666666698"/>
    <s v="EUR"/>
  </r>
  <r>
    <s v="ABI BREWDAT GLOBAL GAI DEV"/>
    <x v="6"/>
    <s v="Azure"/>
    <s v="Usage"/>
    <x v="29"/>
    <x v="67"/>
    <n v="514.22434294429797"/>
    <n v="439.20767248402598"/>
    <s v="EUR"/>
  </r>
  <r>
    <s v="ABI BREWDAT GLOBAL GAI DEV"/>
    <x v="6"/>
    <s v="Azure"/>
    <s v="Usage"/>
    <x v="31"/>
    <x v="72"/>
    <n v="34.443765200000001"/>
    <n v="29.419"/>
    <s v="EUR"/>
  </r>
  <r>
    <s v="ABI BREWDAT GLOBAL GAI DEV"/>
    <x v="6"/>
    <s v="Marketplace"/>
    <s v="Purchase"/>
    <x v="30"/>
    <x v="68"/>
    <n v="0"/>
    <n v="0"/>
    <s v="EUR"/>
  </r>
  <r>
    <s v="ABI BREWDAT GLOBAL GAI DEV"/>
    <x v="6"/>
    <s v="Marketplace"/>
    <s v="Usage"/>
    <x v="30"/>
    <x v="68"/>
    <n v="275.25976320000001"/>
    <n v="235.10400000000001"/>
    <s v="EUR"/>
  </r>
  <r>
    <s v="ABI BREWDAT GLOBAL GAI DEV"/>
    <x v="7"/>
    <s v="Azure"/>
    <s v="Usage"/>
    <x v="0"/>
    <x v="0"/>
    <n v="75.868748999999994"/>
    <n v="65.843999999999994"/>
    <s v="EUR"/>
  </r>
  <r>
    <s v="ABI BREWDAT GLOBAL GAI DEV"/>
    <x v="7"/>
    <s v="Azure"/>
    <s v="Usage"/>
    <x v="1"/>
    <x v="1"/>
    <n v="191.28354762000001"/>
    <n v="166.00872000000001"/>
    <s v="EUR"/>
  </r>
  <r>
    <s v="ABI BREWDAT GLOBAL GAI DEV"/>
    <x v="7"/>
    <s v="Azure"/>
    <s v="Usage"/>
    <x v="2"/>
    <x v="2"/>
    <n v="0"/>
    <n v="0"/>
    <s v="EUR"/>
  </r>
  <r>
    <s v="ABI BREWDAT GLOBAL GAI DEV"/>
    <x v="7"/>
    <s v="Azure"/>
    <s v="Usage"/>
    <x v="2"/>
    <x v="3"/>
    <n v="564.25774679999995"/>
    <n v="489.70080000000002"/>
    <s v="EUR"/>
  </r>
  <r>
    <s v="ABI BREWDAT GLOBAL GAI DEV"/>
    <x v="7"/>
    <s v="Azure"/>
    <s v="Usage"/>
    <x v="2"/>
    <x v="4"/>
    <n v="960.14688000000001"/>
    <n v="833.28"/>
    <s v="EUR"/>
  </r>
  <r>
    <s v="ABI BREWDAT GLOBAL GAI DEV"/>
    <x v="7"/>
    <s v="Azure"/>
    <s v="Usage"/>
    <x v="2"/>
    <x v="5"/>
    <n v="31.1613227260274"/>
    <n v="27.043890410958898"/>
    <s v="EUR"/>
  </r>
  <r>
    <s v="ABI BREWDAT GLOBAL GAI DEV"/>
    <x v="7"/>
    <s v="Azure"/>
    <s v="Usage"/>
    <x v="3"/>
    <x v="6"/>
    <n v="41.551056799999998"/>
    <n v="36.0608"/>
    <s v="EUR"/>
  </r>
  <r>
    <s v="ABI BREWDAT GLOBAL GAI DEV"/>
    <x v="7"/>
    <s v="Azure"/>
    <s v="Usage"/>
    <x v="5"/>
    <x v="8"/>
    <n v="153.452046"/>
    <n v="133.17599999999999"/>
    <s v="EUR"/>
  </r>
  <r>
    <s v="ABI BREWDAT GLOBAL GAI DEV"/>
    <x v="7"/>
    <s v="Azure"/>
    <s v="Usage"/>
    <x v="6"/>
    <x v="9"/>
    <n v="0.72483860684400003"/>
    <n v="0.62906366400000002"/>
    <s v="EUR"/>
  </r>
  <r>
    <s v="ABI BREWDAT GLOBAL GAI DEV"/>
    <x v="7"/>
    <s v="Azure"/>
    <s v="Usage"/>
    <x v="7"/>
    <x v="10"/>
    <n v="6.7302922499999998E-4"/>
    <n v="5.8410000000000005E-4"/>
    <s v="EUR"/>
  </r>
  <r>
    <s v="ABI BREWDAT GLOBAL GAI DEV"/>
    <x v="7"/>
    <s v="Azure"/>
    <s v="Usage"/>
    <x v="8"/>
    <x v="11"/>
    <n v="17.875545599999999"/>
    <n v="15.5136"/>
    <s v="EUR"/>
  </r>
  <r>
    <s v="ABI BREWDAT GLOBAL GAI DEV"/>
    <x v="7"/>
    <s v="Azure"/>
    <s v="Usage"/>
    <x v="8"/>
    <x v="12"/>
    <n v="321.47775000000001"/>
    <n v="279"/>
    <s v="EUR"/>
  </r>
  <r>
    <s v="ABI BREWDAT GLOBAL GAI DEV"/>
    <x v="7"/>
    <s v="Azure"/>
    <s v="Usage"/>
    <x v="8"/>
    <x v="13"/>
    <n v="205.40285040000001"/>
    <n v="178.26240000000001"/>
    <s v="EUR"/>
  </r>
  <r>
    <s v="ABI BREWDAT GLOBAL GAI DEV"/>
    <x v="7"/>
    <s v="Azure"/>
    <s v="Usage"/>
    <x v="9"/>
    <x v="14"/>
    <n v="1180.1860598757701"/>
    <n v="1024.24479051921"/>
    <s v="EUR"/>
  </r>
  <r>
    <s v="ABI BREWDAT GLOBAL GAI DEV"/>
    <x v="7"/>
    <s v="Azure"/>
    <s v="Usage"/>
    <x v="9"/>
    <x v="15"/>
    <n v="2952.0542031015202"/>
    <n v="2561.99106365938"/>
    <s v="EUR"/>
  </r>
  <r>
    <s v="ABI BREWDAT GLOBAL GAI DEV"/>
    <x v="7"/>
    <s v="Azure"/>
    <s v="Usage"/>
    <x v="10"/>
    <x v="16"/>
    <n v="176.089618035341"/>
    <n v="152.822406626462"/>
    <s v="EUR"/>
  </r>
  <r>
    <s v="ABI BREWDAT GLOBAL GAI DEV"/>
    <x v="7"/>
    <s v="Azure"/>
    <s v="Usage"/>
    <x v="11"/>
    <x v="17"/>
    <n v="128.955766272685"/>
    <n v="111.91648190295901"/>
    <s v="EUR"/>
  </r>
  <r>
    <s v="ABI BREWDAT GLOBAL GAI DEV"/>
    <x v="7"/>
    <s v="Azure"/>
    <s v="Usage"/>
    <x v="12"/>
    <x v="18"/>
    <n v="0.44645398743797499"/>
    <n v="0.38746277929093098"/>
    <s v="EUR"/>
  </r>
  <r>
    <s v="ABI BREWDAT GLOBAL GAI DEV"/>
    <x v="7"/>
    <s v="Azure"/>
    <s v="Usage"/>
    <x v="12"/>
    <x v="19"/>
    <n v="1.6169374939994701"/>
    <n v="1.4032870418741299"/>
    <s v="EUR"/>
  </r>
  <r>
    <s v="ABI BREWDAT GLOBAL GAI DEV"/>
    <x v="7"/>
    <s v="Azure"/>
    <s v="Usage"/>
    <x v="13"/>
    <x v="79"/>
    <n v="2.9785704606441299"/>
    <n v="2.5850036542799999"/>
    <s v="EUR"/>
  </r>
  <r>
    <s v="ABI BREWDAT GLOBAL GAI DEV"/>
    <x v="7"/>
    <s v="Azure"/>
    <s v="Usage"/>
    <x v="13"/>
    <x v="73"/>
    <n v="6.1318287175199999E-2"/>
    <n v="5.3216131200000003E-2"/>
    <s v="EUR"/>
  </r>
  <r>
    <s v="ABI BREWDAT GLOBAL GAI DEV"/>
    <x v="7"/>
    <s v="Azure"/>
    <s v="Usage"/>
    <x v="13"/>
    <x v="20"/>
    <n v="15611.514177737399"/>
    <n v="13548.7213519092"/>
    <s v="EUR"/>
  </r>
  <r>
    <s v="ABI BREWDAT GLOBAL GAI DEV"/>
    <x v="7"/>
    <s v="Azure"/>
    <s v="Usage"/>
    <x v="14"/>
    <x v="21"/>
    <n v="161.61218395481299"/>
    <n v="140.257916211598"/>
    <s v="EUR"/>
  </r>
  <r>
    <s v="ABI BREWDAT GLOBAL GAI DEV"/>
    <x v="7"/>
    <s v="Azure"/>
    <s v="Usage"/>
    <x v="15"/>
    <x v="22"/>
    <n v="0.15780971869580601"/>
    <n v="0.13695788127212499"/>
    <s v="EUR"/>
  </r>
  <r>
    <s v="ABI BREWDAT GLOBAL GAI DEV"/>
    <x v="7"/>
    <s v="Azure"/>
    <s v="Usage"/>
    <x v="16"/>
    <x v="23"/>
    <n v="1.4427145333535001"/>
    <n v="1.2520846459999999"/>
    <s v="EUR"/>
  </r>
  <r>
    <s v="ABI BREWDAT GLOBAL GAI DEV"/>
    <x v="7"/>
    <s v="Azure"/>
    <s v="Usage"/>
    <x v="17"/>
    <x v="24"/>
    <n v="13.654368826494"/>
    <n v="11.850179064000001"/>
    <s v="EUR"/>
  </r>
  <r>
    <s v="ABI BREWDAT GLOBAL GAI DEV"/>
    <x v="7"/>
    <s v="Azure"/>
    <s v="Usage"/>
    <x v="18"/>
    <x v="25"/>
    <n v="267.78339349715202"/>
    <n v="232.40042829000001"/>
    <s v="EUR"/>
  </r>
  <r>
    <s v="ABI BREWDAT GLOBAL GAI DEV"/>
    <x v="7"/>
    <s v="Azure"/>
    <s v="Usage"/>
    <x v="19"/>
    <x v="26"/>
    <n v="339.66683719882099"/>
    <n v="294.78571247456802"/>
    <s v="EUR"/>
  </r>
  <r>
    <s v="ABI BREWDAT GLOBAL GAI DEV"/>
    <x v="7"/>
    <s v="Azure"/>
    <s v="Usage"/>
    <x v="20"/>
    <x v="27"/>
    <n v="22.759516220900998"/>
    <n v="19.752237987329998"/>
    <s v="EUR"/>
  </r>
  <r>
    <s v="ABI BREWDAT GLOBAL GAI DEV"/>
    <x v="7"/>
    <s v="Azure"/>
    <s v="Usage"/>
    <x v="32"/>
    <x v="76"/>
    <n v="13.3694674665338"/>
    <n v="11.6029225138067"/>
    <s v="EUR"/>
  </r>
  <r>
    <s v="ABI BREWDAT GLOBAL GAI DEV"/>
    <x v="7"/>
    <s v="Azure"/>
    <s v="Usage"/>
    <x v="21"/>
    <x v="28"/>
    <n v="1030.61724557"/>
    <n v="894.43892000000005"/>
    <s v="EUR"/>
  </r>
  <r>
    <s v="ABI BREWDAT GLOBAL GAI DEV"/>
    <x v="7"/>
    <s v="Azure"/>
    <s v="Usage"/>
    <x v="21"/>
    <x v="29"/>
    <n v="117.97357715"/>
    <n v="102.3854"/>
    <s v="EUR"/>
  </r>
  <r>
    <s v="ABI BREWDAT GLOBAL GAI DEV"/>
    <x v="7"/>
    <s v="Azure"/>
    <s v="Usage"/>
    <x v="21"/>
    <x v="30"/>
    <n v="2.0626012440000001"/>
    <n v="1.7900640000000001"/>
    <s v="EUR"/>
  </r>
  <r>
    <s v="ABI BREWDAT GLOBAL GAI DEV"/>
    <x v="7"/>
    <s v="Azure"/>
    <s v="Usage"/>
    <x v="21"/>
    <x v="31"/>
    <n v="30.5922375"/>
    <n v="26.55"/>
    <s v="EUR"/>
  </r>
  <r>
    <s v="ABI BREWDAT GLOBAL GAI DEV"/>
    <x v="7"/>
    <s v="Azure"/>
    <s v="Usage"/>
    <x v="21"/>
    <x v="32"/>
    <n v="3.4835594007499999"/>
    <n v="3.0232670000000001"/>
    <s v="EUR"/>
  </r>
  <r>
    <s v="ABI BREWDAT GLOBAL GAI DEV"/>
    <x v="7"/>
    <s v="Azure"/>
    <s v="Usage"/>
    <x v="21"/>
    <x v="33"/>
    <n v="25.661769042338701"/>
    <n v="22.271008064516099"/>
    <s v="EUR"/>
  </r>
  <r>
    <s v="ABI BREWDAT GLOBAL GAI DEV"/>
    <x v="7"/>
    <s v="Azure"/>
    <s v="Usage"/>
    <x v="21"/>
    <x v="34"/>
    <n v="181.13476808265199"/>
    <n v="157.20092695391801"/>
    <s v="EUR"/>
  </r>
  <r>
    <s v="ABI BREWDAT GLOBAL GAI DEV"/>
    <x v="7"/>
    <s v="Azure"/>
    <s v="Usage"/>
    <x v="21"/>
    <x v="35"/>
    <n v="173.42467507750001"/>
    <n v="150.50959"/>
    <s v="EUR"/>
  </r>
  <r>
    <s v="ABI BREWDAT GLOBAL GAI DEV"/>
    <x v="7"/>
    <s v="Azure"/>
    <s v="Usage"/>
    <x v="22"/>
    <x v="36"/>
    <n v="20.8601121675668"/>
    <n v="18.1038074789038"/>
    <s v="EUR"/>
  </r>
  <r>
    <s v="ABI BREWDAT GLOBAL GAI DEV"/>
    <x v="7"/>
    <s v="Azure"/>
    <s v="Usage"/>
    <x v="23"/>
    <x v="37"/>
    <n v="486.4172676"/>
    <n v="422.1456"/>
    <s v="EUR"/>
  </r>
  <r>
    <s v="ABI BREWDAT GLOBAL GAI DEV"/>
    <x v="7"/>
    <s v="Azure"/>
    <s v="Usage"/>
    <x v="24"/>
    <x v="38"/>
    <n v="203.602575"/>
    <n v="176.7"/>
    <s v="EUR"/>
  </r>
  <r>
    <s v="ABI BREWDAT GLOBAL GAI DEV"/>
    <x v="7"/>
    <s v="Azure"/>
    <s v="Usage"/>
    <x v="24"/>
    <x v="39"/>
    <n v="13012.720288333299"/>
    <n v="11293.313333333301"/>
    <s v="EUR"/>
  </r>
  <r>
    <s v="ABI BREWDAT GLOBAL GAI DEV"/>
    <x v="7"/>
    <s v="Azure"/>
    <s v="Usage"/>
    <x v="24"/>
    <x v="40"/>
    <n v="101.974125"/>
    <n v="88.5"/>
    <s v="EUR"/>
  </r>
  <r>
    <s v="ABI BREWDAT GLOBAL GAI DEV"/>
    <x v="7"/>
    <s v="Azure"/>
    <s v="Usage"/>
    <x v="25"/>
    <x v="41"/>
    <n v="6.9759167164995004"/>
    <n v="6.0541694220000002"/>
    <s v="EUR"/>
  </r>
  <r>
    <s v="ABI BREWDAT GLOBAL GAI DEV"/>
    <x v="7"/>
    <s v="Azure"/>
    <s v="Usage"/>
    <x v="26"/>
    <x v="42"/>
    <n v="135.73505"/>
    <n v="117.8"/>
    <s v="EUR"/>
  </r>
  <r>
    <s v="ABI BREWDAT GLOBAL GAI DEV"/>
    <x v="7"/>
    <s v="Azure"/>
    <s v="Usage"/>
    <x v="27"/>
    <x v="43"/>
    <n v="152.620554486744"/>
    <n v="132.45437577499999"/>
    <s v="EUR"/>
  </r>
  <r>
    <s v="ABI BREWDAT GLOBAL GAI DEV"/>
    <x v="7"/>
    <s v="Azure"/>
    <s v="Usage"/>
    <x v="27"/>
    <x v="44"/>
    <n v="21.778280107553002"/>
    <n v="18.90065533309"/>
    <s v="EUR"/>
  </r>
  <r>
    <s v="ABI BREWDAT GLOBAL GAI DEV"/>
    <x v="7"/>
    <s v="Azure"/>
    <s v="Usage"/>
    <x v="27"/>
    <x v="45"/>
    <n v="44.964801973457"/>
    <n v="39.023477520900002"/>
    <s v="EUR"/>
  </r>
  <r>
    <s v="ABI BREWDAT GLOBAL GAI DEV"/>
    <x v="7"/>
    <s v="Azure"/>
    <s v="Usage"/>
    <x v="27"/>
    <x v="46"/>
    <n v="1.2730518900000001E-4"/>
    <n v="1.1048399999999999E-4"/>
    <s v="EUR"/>
  </r>
  <r>
    <s v="ABI BREWDAT GLOBAL GAI DEV"/>
    <x v="7"/>
    <s v="Azure"/>
    <s v="Usage"/>
    <x v="27"/>
    <x v="47"/>
    <n v="6.3399090281999998E-2"/>
    <n v="5.5021991999999999E-2"/>
    <s v="EUR"/>
  </r>
  <r>
    <s v="ABI BREWDAT GLOBAL GAI DEV"/>
    <x v="7"/>
    <s v="Azure"/>
    <s v="Usage"/>
    <x v="27"/>
    <x v="48"/>
    <n v="6.4582243656843303"/>
    <n v="5.6048812025899997"/>
    <s v="EUR"/>
  </r>
  <r>
    <s v="ABI BREWDAT GLOBAL GAI DEV"/>
    <x v="7"/>
    <s v="Azure"/>
    <s v="Usage"/>
    <x v="27"/>
    <x v="49"/>
    <n v="1367.0054528136"/>
    <n v="1186.3792170219999"/>
    <s v="EUR"/>
  </r>
  <r>
    <s v="ABI BREWDAT GLOBAL GAI DEV"/>
    <x v="7"/>
    <s v="Azure"/>
    <s v="Usage"/>
    <x v="27"/>
    <x v="50"/>
    <n v="4.5435522000000002E-6"/>
    <n v="3.9431999999999998E-6"/>
    <s v="EUR"/>
  </r>
  <r>
    <s v="ABI BREWDAT GLOBAL GAI DEV"/>
    <x v="7"/>
    <s v="Azure"/>
    <s v="Usage"/>
    <x v="27"/>
    <x v="51"/>
    <n v="4.0790963565E-4"/>
    <n v="3.5401140000000002E-4"/>
    <s v="EUR"/>
  </r>
  <r>
    <s v="ABI BREWDAT GLOBAL GAI DEV"/>
    <x v="7"/>
    <s v="Azure"/>
    <s v="Usage"/>
    <x v="27"/>
    <x v="52"/>
    <n v="8.7870777623937002"/>
    <n v="7.6260167171999997"/>
    <s v="EUR"/>
  </r>
  <r>
    <s v="ABI BREWDAT GLOBAL GAI DEV"/>
    <x v="7"/>
    <s v="Azure"/>
    <s v="Usage"/>
    <x v="27"/>
    <x v="53"/>
    <n v="26.640184232496999"/>
    <n v="23.120142531999999"/>
    <s v="EUR"/>
  </r>
  <r>
    <s v="ABI BREWDAT GLOBAL GAI DEV"/>
    <x v="7"/>
    <s v="Azure"/>
    <s v="Usage"/>
    <x v="27"/>
    <x v="54"/>
    <n v="2.3322250818415999"/>
    <n v="2.0240616895999999"/>
    <s v="EUR"/>
  </r>
  <r>
    <s v="ABI BREWDAT GLOBAL GAI DEV"/>
    <x v="7"/>
    <s v="Azure"/>
    <s v="Usage"/>
    <x v="27"/>
    <x v="55"/>
    <n v="1.0637760969E-3"/>
    <n v="9.2321639999999995E-4"/>
    <s v="EUR"/>
  </r>
  <r>
    <s v="ABI BREWDAT GLOBAL GAI DEV"/>
    <x v="7"/>
    <s v="Azure"/>
    <s v="Usage"/>
    <x v="28"/>
    <x v="70"/>
    <n v="75.010787100000002"/>
    <n v="65.099402994141897"/>
    <s v="EUR"/>
  </r>
  <r>
    <s v="ABI BREWDAT GLOBAL GAI DEV"/>
    <x v="7"/>
    <s v="Azure"/>
    <s v="Usage"/>
    <x v="28"/>
    <x v="56"/>
    <n v="3.0309504694637002"/>
    <n v="2.6304625467248401"/>
    <s v="EUR"/>
  </r>
  <r>
    <s v="ABI BREWDAT GLOBAL GAI DEV"/>
    <x v="7"/>
    <s v="Azure"/>
    <s v="Usage"/>
    <x v="28"/>
    <x v="57"/>
    <n v="169.62883567296001"/>
    <n v="147.21530542240001"/>
    <s v="EUR"/>
  </r>
  <r>
    <s v="ABI BREWDAT GLOBAL GAI DEV"/>
    <x v="7"/>
    <s v="Azure"/>
    <s v="Usage"/>
    <x v="28"/>
    <x v="58"/>
    <n v="6743.4579795659802"/>
    <n v="5852.4261050692003"/>
    <s v="EUR"/>
  </r>
  <r>
    <s v="ABI BREWDAT GLOBAL GAI DEV"/>
    <x v="7"/>
    <s v="Azure"/>
    <s v="Usage"/>
    <x v="28"/>
    <x v="59"/>
    <n v="465.03471932058102"/>
    <n v="403.58838734699998"/>
    <s v="EUR"/>
  </r>
  <r>
    <s v="ABI BREWDAT GLOBAL GAI DEV"/>
    <x v="7"/>
    <s v="Azure"/>
    <s v="Usage"/>
    <x v="28"/>
    <x v="60"/>
    <n v="123.89849096899199"/>
    <n v="107.527438463"/>
    <s v="EUR"/>
  </r>
  <r>
    <s v="ABI BREWDAT GLOBAL GAI DEV"/>
    <x v="7"/>
    <s v="Azure"/>
    <s v="Usage"/>
    <x v="28"/>
    <x v="61"/>
    <n v="557.26082830274697"/>
    <n v="483.62840382100001"/>
    <s v="EUR"/>
  </r>
  <r>
    <s v="ABI BREWDAT GLOBAL GAI DEV"/>
    <x v="7"/>
    <s v="Azure"/>
    <s v="Usage"/>
    <x v="28"/>
    <x v="63"/>
    <n v="347.28378037103897"/>
    <n v="301.396207742277"/>
    <s v="EUR"/>
  </r>
  <r>
    <s v="ABI BREWDAT GLOBAL GAI DEV"/>
    <x v="7"/>
    <s v="Azure"/>
    <s v="Usage"/>
    <x v="28"/>
    <x v="64"/>
    <n v="502.869806688425"/>
    <n v="436.4242193"/>
    <s v="EUR"/>
  </r>
  <r>
    <s v="ABI BREWDAT GLOBAL GAI DEV"/>
    <x v="7"/>
    <s v="Azure"/>
    <s v="Usage"/>
    <x v="29"/>
    <x v="66"/>
    <n v="36.348417599999998"/>
    <n v="31.5456"/>
    <s v="EUR"/>
  </r>
  <r>
    <s v="ABI BREWDAT GLOBAL GAI DEV"/>
    <x v="7"/>
    <s v="Azure"/>
    <s v="Usage"/>
    <x v="29"/>
    <x v="67"/>
    <n v="541.14596228487005"/>
    <n v="469.642839908761"/>
    <s v="EUR"/>
  </r>
  <r>
    <s v="ABI BREWDAT GLOBAL GAI DEV"/>
    <x v="7"/>
    <s v="Azure"/>
    <s v="Usage"/>
    <x v="31"/>
    <x v="72"/>
    <n v="33.898042750000002"/>
    <n v="29.419"/>
    <s v="EUR"/>
  </r>
  <r>
    <s v="ABI BREWDAT GLOBAL GAI DEV"/>
    <x v="7"/>
    <s v="Marketplace"/>
    <s v="Purchase"/>
    <x v="30"/>
    <x v="68"/>
    <n v="0"/>
    <n v="0"/>
    <s v="EUR"/>
  </r>
  <r>
    <s v="ABI BREWDAT GLOBAL GAI DEV"/>
    <x v="7"/>
    <s v="Marketplace"/>
    <s v="Usage"/>
    <x v="30"/>
    <x v="68"/>
    <n v="270.89858400000003"/>
    <n v="235.10400000000001"/>
    <s v="EUR"/>
  </r>
  <r>
    <s v="ABI BREWDAT GLOBAL GAI DEV"/>
    <x v="8"/>
    <s v="Azure"/>
    <s v="Usage"/>
    <x v="0"/>
    <x v="0"/>
    <n v="73.870596000000006"/>
    <n v="63.72"/>
    <s v="EUR"/>
  </r>
  <r>
    <s v="ABI BREWDAT GLOBAL GAI DEV"/>
    <x v="8"/>
    <s v="Azure"/>
    <s v="Usage"/>
    <x v="1"/>
    <x v="1"/>
    <n v="186.24571847999999"/>
    <n v="160.65360000000001"/>
    <s v="EUR"/>
  </r>
  <r>
    <s v="ABI BREWDAT GLOBAL GAI DEV"/>
    <x v="8"/>
    <s v="Azure"/>
    <s v="Usage"/>
    <x v="2"/>
    <x v="2"/>
    <n v="0"/>
    <n v="0"/>
    <s v="EUR"/>
  </r>
  <r>
    <s v="ABI BREWDAT GLOBAL GAI DEV"/>
    <x v="8"/>
    <s v="Azure"/>
    <s v="Usage"/>
    <x v="2"/>
    <x v="3"/>
    <n v="549.39690719999999"/>
    <n v="473.904"/>
    <s v="EUR"/>
  </r>
  <r>
    <s v="ABI BREWDAT GLOBAL GAI DEV"/>
    <x v="8"/>
    <s v="Azure"/>
    <s v="Usage"/>
    <x v="2"/>
    <x v="4"/>
    <n v="934.85951999999997"/>
    <n v="806.4"/>
    <s v="EUR"/>
  </r>
  <r>
    <s v="ABI BREWDAT GLOBAL GAI DEV"/>
    <x v="8"/>
    <s v="Azure"/>
    <s v="Usage"/>
    <x v="2"/>
    <x v="5"/>
    <n v="34.925433882739704"/>
    <n v="30.126312328767099"/>
    <s v="EUR"/>
  </r>
  <r>
    <s v="ABI BREWDAT GLOBAL GAI DEV"/>
    <x v="8"/>
    <s v="Azure"/>
    <s v="Usage"/>
    <x v="3"/>
    <x v="6"/>
    <n v="18.104039887780001"/>
    <n v="15.616354599999999"/>
    <s v="EUR"/>
  </r>
  <r>
    <s v="ABI BREWDAT GLOBAL GAI DEV"/>
    <x v="8"/>
    <s v="Azure"/>
    <s v="Usage"/>
    <x v="5"/>
    <x v="8"/>
    <n v="149.410584"/>
    <n v="128.88"/>
    <s v="EUR"/>
  </r>
  <r>
    <s v="ABI BREWDAT GLOBAL GAI DEV"/>
    <x v="8"/>
    <s v="Azure"/>
    <s v="Usage"/>
    <x v="6"/>
    <x v="9"/>
    <n v="0.70496784670460599"/>
    <n v="0.60809785793548399"/>
    <s v="EUR"/>
  </r>
  <r>
    <s v="ABI BREWDAT GLOBAL GAI DEV"/>
    <x v="8"/>
    <s v="Azure"/>
    <s v="Usage"/>
    <x v="7"/>
    <x v="10"/>
    <n v="6.7714713000000004E-4"/>
    <n v="5.8410000000000005E-4"/>
    <s v="EUR"/>
  </r>
  <r>
    <s v="ABI BREWDAT GLOBAL GAI DEV"/>
    <x v="8"/>
    <s v="Azure"/>
    <s v="Usage"/>
    <x v="8"/>
    <x v="11"/>
    <n v="17.508702965677401"/>
    <n v="15.1028232258065"/>
    <s v="EUR"/>
  </r>
  <r>
    <s v="ABI BREWDAT GLOBAL GAI DEV"/>
    <x v="8"/>
    <s v="Azure"/>
    <s v="Usage"/>
    <x v="8"/>
    <x v="12"/>
    <n v="313.01100000000002"/>
    <n v="270"/>
    <s v="EUR"/>
  </r>
  <r>
    <s v="ABI BREWDAT GLOBAL GAI DEV"/>
    <x v="8"/>
    <s v="Azure"/>
    <s v="Usage"/>
    <x v="8"/>
    <x v="13"/>
    <n v="199.99316160000001"/>
    <n v="172.512"/>
    <s v="EUR"/>
  </r>
  <r>
    <s v="ABI BREWDAT GLOBAL GAI DEV"/>
    <x v="8"/>
    <s v="Azure"/>
    <s v="Usage"/>
    <x v="9"/>
    <x v="14"/>
    <n v="1281.2008965631601"/>
    <n v="1105.15043264311"/>
    <s v="EUR"/>
  </r>
  <r>
    <s v="ABI BREWDAT GLOBAL GAI DEV"/>
    <x v="8"/>
    <s v="Azure"/>
    <s v="Usage"/>
    <x v="9"/>
    <x v="15"/>
    <n v="2012.8550633321199"/>
    <n v="1736.2676298905601"/>
    <s v="EUR"/>
  </r>
  <r>
    <s v="ABI BREWDAT GLOBAL GAI DEV"/>
    <x v="8"/>
    <s v="Azure"/>
    <s v="Usage"/>
    <x v="10"/>
    <x v="16"/>
    <n v="212.28933081745399"/>
    <n v="183.118546379241"/>
    <s v="EUR"/>
  </r>
  <r>
    <s v="ABI BREWDAT GLOBAL GAI DEV"/>
    <x v="8"/>
    <s v="Azure"/>
    <s v="Usage"/>
    <x v="11"/>
    <x v="17"/>
    <n v="134.606193696704"/>
    <n v="116.109888464335"/>
    <s v="EUR"/>
  </r>
  <r>
    <s v="ABI BREWDAT GLOBAL GAI DEV"/>
    <x v="8"/>
    <s v="Azure"/>
    <s v="Usage"/>
    <x v="12"/>
    <x v="18"/>
    <n v="0.74754561700653399"/>
    <n v="0.64482499526139403"/>
    <s v="EUR"/>
  </r>
  <r>
    <s v="ABI BREWDAT GLOBAL GAI DEV"/>
    <x v="8"/>
    <s v="Azure"/>
    <s v="Usage"/>
    <x v="12"/>
    <x v="19"/>
    <n v="1.61362426327418"/>
    <n v="1.3918953362151101"/>
    <s v="EUR"/>
  </r>
  <r>
    <s v="ABI BREWDAT GLOBAL GAI DEV"/>
    <x v="8"/>
    <s v="Azure"/>
    <s v="Usage"/>
    <x v="13"/>
    <x v="79"/>
    <n v="6.8019666864999995E-2"/>
    <n v="5.8673049999999997E-2"/>
    <s v="EUR"/>
  </r>
  <r>
    <s v="ABI BREWDAT GLOBAL GAI DEV"/>
    <x v="8"/>
    <s v="Azure"/>
    <s v="Usage"/>
    <x v="13"/>
    <x v="73"/>
    <n v="1.11237049263E-2"/>
    <n v="9.5951909999999994E-3"/>
    <s v="EUR"/>
  </r>
  <r>
    <s v="ABI BREWDAT GLOBAL GAI DEV"/>
    <x v="8"/>
    <s v="Azure"/>
    <s v="Usage"/>
    <x v="13"/>
    <x v="20"/>
    <n v="19046.177775101802"/>
    <n v="16429.032843182798"/>
    <s v="EUR"/>
  </r>
  <r>
    <s v="ABI BREWDAT GLOBAL GAI DEV"/>
    <x v="8"/>
    <s v="Azure"/>
    <s v="Usage"/>
    <x v="14"/>
    <x v="21"/>
    <n v="167.483060363992"/>
    <n v="144.469128235998"/>
    <s v="EUR"/>
  </r>
  <r>
    <s v="ABI BREWDAT GLOBAL GAI DEV"/>
    <x v="8"/>
    <s v="Azure"/>
    <s v="Usage"/>
    <x v="15"/>
    <x v="22"/>
    <n v="0.20390061743488599"/>
    <n v="0.175882530350113"/>
    <s v="EUR"/>
  </r>
  <r>
    <s v="ABI BREWDAT GLOBAL GAI DEV"/>
    <x v="8"/>
    <s v="Azure"/>
    <s v="Usage"/>
    <x v="16"/>
    <x v="23"/>
    <n v="5.3543070938685"/>
    <n v="4.6185690450000001"/>
    <s v="EUR"/>
  </r>
  <r>
    <s v="ABI BREWDAT GLOBAL GAI DEV"/>
    <x v="8"/>
    <s v="Azure"/>
    <s v="Usage"/>
    <x v="17"/>
    <x v="24"/>
    <n v="13.3047306335776"/>
    <n v="11.476520860500001"/>
    <s v="EUR"/>
  </r>
  <r>
    <s v="ABI BREWDAT GLOBAL GAI DEV"/>
    <x v="8"/>
    <s v="Azure"/>
    <s v="Usage"/>
    <x v="18"/>
    <x v="25"/>
    <n v="299.68674333506698"/>
    <n v="258.50663618999999"/>
    <s v="EUR"/>
  </r>
  <r>
    <s v="ABI BREWDAT GLOBAL GAI DEV"/>
    <x v="8"/>
    <s v="Azure"/>
    <s v="Usage"/>
    <x v="19"/>
    <x v="26"/>
    <n v="314.05299893785701"/>
    <n v="270.89881733620001"/>
    <s v="EUR"/>
  </r>
  <r>
    <s v="ABI BREWDAT GLOBAL GAI DEV"/>
    <x v="8"/>
    <s v="Azure"/>
    <s v="Usage"/>
    <x v="20"/>
    <x v="27"/>
    <n v="27.374529758924002"/>
    <n v="23.612981763930001"/>
    <s v="EUR"/>
  </r>
  <r>
    <s v="ABI BREWDAT GLOBAL GAI DEV"/>
    <x v="8"/>
    <s v="Azure"/>
    <s v="Usage"/>
    <x v="32"/>
    <x v="76"/>
    <n v="5.5256252328369202"/>
    <n v="4.7663462717475298"/>
    <s v="EUR"/>
  </r>
  <r>
    <s v="ABI BREWDAT GLOBAL GAI DEV"/>
    <x v="8"/>
    <s v="Azure"/>
    <s v="Usage"/>
    <x v="21"/>
    <x v="28"/>
    <n v="1190.5092579354"/>
    <n v="1026.9207779999999"/>
    <s v="EUR"/>
  </r>
  <r>
    <s v="ABI BREWDAT GLOBAL GAI DEV"/>
    <x v="8"/>
    <s v="Azure"/>
    <s v="Usage"/>
    <x v="21"/>
    <x v="29"/>
    <n v="114.2223511"/>
    <n v="98.527000000000001"/>
    <s v="EUR"/>
  </r>
  <r>
    <s v="ABI BREWDAT GLOBAL GAI DEV"/>
    <x v="8"/>
    <s v="Azure"/>
    <s v="Usage"/>
    <x v="21"/>
    <x v="30"/>
    <n v="2.0054893001999998"/>
    <n v="1.729914"/>
    <s v="EUR"/>
  </r>
  <r>
    <s v="ABI BREWDAT GLOBAL GAI DEV"/>
    <x v="8"/>
    <s v="Azure"/>
    <s v="Usage"/>
    <x v="21"/>
    <x v="31"/>
    <n v="29.786530645161299"/>
    <n v="25.693548387096801"/>
    <s v="EUR"/>
  </r>
  <r>
    <s v="ABI BREWDAT GLOBAL GAI DEV"/>
    <x v="8"/>
    <s v="Azure"/>
    <s v="Usage"/>
    <x v="21"/>
    <x v="32"/>
    <n v="3.3963780240000001"/>
    <n v="2.9296799999999998"/>
    <s v="EUR"/>
  </r>
  <r>
    <s v="ABI BREWDAT GLOBAL GAI DEV"/>
    <x v="8"/>
    <s v="Azure"/>
    <s v="Usage"/>
    <x v="21"/>
    <x v="33"/>
    <n v="26.8247061290323"/>
    <n v="23.138709677419399"/>
    <s v="EUR"/>
  </r>
  <r>
    <s v="ABI BREWDAT GLOBAL GAI DEV"/>
    <x v="8"/>
    <s v="Azure"/>
    <s v="Usage"/>
    <x v="21"/>
    <x v="34"/>
    <n v="149.67911631694801"/>
    <n v="129.111633155307"/>
    <s v="EUR"/>
  </r>
  <r>
    <s v="ABI BREWDAT GLOBAL GAI DEV"/>
    <x v="8"/>
    <s v="Azure"/>
    <s v="Usage"/>
    <x v="21"/>
    <x v="35"/>
    <n v="168.85518670299999"/>
    <n v="145.65271000000001"/>
    <s v="EUR"/>
  </r>
  <r>
    <s v="ABI BREWDAT GLOBAL GAI DEV"/>
    <x v="8"/>
    <s v="Azure"/>
    <s v="Usage"/>
    <x v="22"/>
    <x v="36"/>
    <n v="19.959118371868101"/>
    <n v="17.216525810288999"/>
    <s v="EUR"/>
  </r>
  <r>
    <s v="ABI BREWDAT GLOBAL GAI DEV"/>
    <x v="8"/>
    <s v="Azure"/>
    <s v="Usage"/>
    <x v="23"/>
    <x v="37"/>
    <n v="473.60651039999999"/>
    <n v="408.52800000000002"/>
    <s v="EUR"/>
  </r>
  <r>
    <s v="ABI BREWDAT GLOBAL GAI DEV"/>
    <x v="8"/>
    <s v="Azure"/>
    <s v="Usage"/>
    <x v="24"/>
    <x v="38"/>
    <n v="198.24029999999999"/>
    <n v="171"/>
    <s v="EUR"/>
  </r>
  <r>
    <s v="ABI BREWDAT GLOBAL GAI DEV"/>
    <x v="8"/>
    <s v="Azure"/>
    <s v="Usage"/>
    <x v="24"/>
    <x v="39"/>
    <n v="12801.106529999999"/>
    <n v="11042.1"/>
    <s v="EUR"/>
  </r>
  <r>
    <s v="ABI BREWDAT GLOBAL GAI DEV"/>
    <x v="8"/>
    <s v="Azure"/>
    <s v="Usage"/>
    <x v="24"/>
    <x v="40"/>
    <n v="102.59805"/>
    <n v="88.5"/>
    <s v="EUR"/>
  </r>
  <r>
    <s v="ABI BREWDAT GLOBAL GAI DEV"/>
    <x v="8"/>
    <s v="Azure"/>
    <s v="Usage"/>
    <x v="25"/>
    <x v="41"/>
    <n v="6.7879282358940003"/>
    <n v="5.8551955800000002"/>
    <s v="EUR"/>
  </r>
  <r>
    <s v="ABI BREWDAT GLOBAL GAI DEV"/>
    <x v="8"/>
    <s v="Azure"/>
    <s v="Usage"/>
    <x v="26"/>
    <x v="42"/>
    <n v="132.1602"/>
    <n v="114"/>
    <s v="EUR"/>
  </r>
  <r>
    <s v="ABI BREWDAT GLOBAL GAI DEV"/>
    <x v="8"/>
    <s v="Azure"/>
    <s v="Usage"/>
    <x v="27"/>
    <x v="43"/>
    <n v="180.23489078593599"/>
    <n v="155.46872318289999"/>
    <s v="EUR"/>
  </r>
  <r>
    <s v="ABI BREWDAT GLOBAL GAI DEV"/>
    <x v="8"/>
    <s v="Azure"/>
    <s v="Usage"/>
    <x v="27"/>
    <x v="44"/>
    <n v="21.2259835661383"/>
    <n v="18.309310416750002"/>
    <s v="EUR"/>
  </r>
  <r>
    <s v="ABI BREWDAT GLOBAL GAI DEV"/>
    <x v="8"/>
    <s v="Azure"/>
    <s v="Usage"/>
    <x v="27"/>
    <x v="45"/>
    <n v="65.693412417144401"/>
    <n v="56.666447353700001"/>
    <s v="EUR"/>
  </r>
  <r>
    <s v="ABI BREWDAT GLOBAL GAI DEV"/>
    <x v="8"/>
    <s v="Azure"/>
    <s v="Usage"/>
    <x v="27"/>
    <x v="46"/>
    <n v="1.2230730929999999E-4"/>
    <n v="1.0550100000000001E-4"/>
    <s v="EUR"/>
  </r>
  <r>
    <s v="ABI BREWDAT GLOBAL GAI DEV"/>
    <x v="8"/>
    <s v="Azure"/>
    <s v="Usage"/>
    <x v="27"/>
    <x v="47"/>
    <n v="7.4313742598480004E-2"/>
    <n v="6.4102253600000006E-2"/>
    <s v="EUR"/>
  </r>
  <r>
    <s v="ABI BREWDAT GLOBAL GAI DEV"/>
    <x v="8"/>
    <s v="Azure"/>
    <s v="Usage"/>
    <x v="27"/>
    <x v="48"/>
    <n v="8.1730389056988706"/>
    <n v="7.04997749133"/>
    <s v="EUR"/>
  </r>
  <r>
    <s v="ABI BREWDAT GLOBAL GAI DEV"/>
    <x v="8"/>
    <s v="Azure"/>
    <s v="Usage"/>
    <x v="27"/>
    <x v="49"/>
    <n v="1286.54233098446"/>
    <n v="1109.757897856"/>
    <s v="EUR"/>
  </r>
  <r>
    <s v="ABI BREWDAT GLOBAL GAI DEV"/>
    <x v="8"/>
    <s v="Azure"/>
    <s v="Usage"/>
    <x v="27"/>
    <x v="50"/>
    <n v="4.4238888000000001E-6"/>
    <n v="3.8160000000000004E-6"/>
    <s v="EUR"/>
  </r>
  <r>
    <s v="ABI BREWDAT GLOBAL GAI DEV"/>
    <x v="8"/>
    <s v="Azure"/>
    <s v="Usage"/>
    <x v="27"/>
    <x v="51"/>
    <n v="3.7512142493999998E-4"/>
    <n v="3.2357579999999999E-4"/>
    <s v="EUR"/>
  </r>
  <r>
    <s v="ABI BREWDAT GLOBAL GAI DEV"/>
    <x v="8"/>
    <s v="Azure"/>
    <s v="Usage"/>
    <x v="27"/>
    <x v="52"/>
    <n v="9.7206761272069802"/>
    <n v="8.3849530986000005"/>
    <s v="EUR"/>
  </r>
  <r>
    <s v="ABI BREWDAT GLOBAL GAI DEV"/>
    <x v="8"/>
    <s v="Azure"/>
    <s v="Usage"/>
    <x v="27"/>
    <x v="53"/>
    <n v="37.766140527955201"/>
    <n v="32.5766760355"/>
    <s v="EUR"/>
  </r>
  <r>
    <s v="ABI BREWDAT GLOBAL GAI DEV"/>
    <x v="8"/>
    <s v="Azure"/>
    <s v="Usage"/>
    <x v="27"/>
    <x v="54"/>
    <n v="2.4648360524063202"/>
    <n v="2.1261416824000001"/>
    <s v="EUR"/>
  </r>
  <r>
    <s v="ABI BREWDAT GLOBAL GAI DEV"/>
    <x v="8"/>
    <s v="Azure"/>
    <s v="Usage"/>
    <x v="27"/>
    <x v="55"/>
    <n v="6.8500683620999995E-4"/>
    <n v="5.9087970000000001E-4"/>
    <s v="EUR"/>
  </r>
  <r>
    <s v="ABI BREWDAT GLOBAL GAI DEV"/>
    <x v="8"/>
    <s v="Azure"/>
    <s v="Usage"/>
    <x v="28"/>
    <x v="70"/>
    <n v="70.767286920000004"/>
    <n v="61.0431181920124"/>
    <s v="EUR"/>
  </r>
  <r>
    <s v="ABI BREWDAT GLOBAL GAI DEV"/>
    <x v="8"/>
    <s v="Azure"/>
    <s v="Usage"/>
    <x v="28"/>
    <x v="56"/>
    <n v="5.62199704902556"/>
    <n v="4.8494755878767899"/>
    <s v="EUR"/>
  </r>
  <r>
    <s v="ABI BREWDAT GLOBAL GAI DEV"/>
    <x v="8"/>
    <s v="Azure"/>
    <s v="Usage"/>
    <x v="28"/>
    <x v="57"/>
    <n v="138.806873895915"/>
    <n v="119.7333510704"/>
    <s v="EUR"/>
  </r>
  <r>
    <s v="ABI BREWDAT GLOBAL GAI DEV"/>
    <x v="8"/>
    <s v="Azure"/>
    <s v="Usage"/>
    <x v="28"/>
    <x v="80"/>
    <n v="31.500277897322899"/>
    <n v="27.171808761600001"/>
    <s v="EUR"/>
  </r>
  <r>
    <s v="ABI BREWDAT GLOBAL GAI DEV"/>
    <x v="8"/>
    <s v="Azure"/>
    <s v="Usage"/>
    <x v="28"/>
    <x v="58"/>
    <n v="6566.0046713909496"/>
    <n v="5663.7666448641003"/>
    <s v="EUR"/>
  </r>
  <r>
    <s v="ABI BREWDAT GLOBAL GAI DEV"/>
    <x v="8"/>
    <s v="Azure"/>
    <s v="Usage"/>
    <x v="28"/>
    <x v="59"/>
    <n v="452.77805937520401"/>
    <n v="390.56159697679999"/>
    <s v="EUR"/>
  </r>
  <r>
    <s v="ABI BREWDAT GLOBAL GAI DEV"/>
    <x v="8"/>
    <s v="Azure"/>
    <s v="Usage"/>
    <x v="28"/>
    <x v="60"/>
    <n v="117.686859162022"/>
    <n v="101.515448255"/>
    <s v="EUR"/>
  </r>
  <r>
    <s v="ABI BREWDAT GLOBAL GAI DEV"/>
    <x v="8"/>
    <s v="Azure"/>
    <s v="Usage"/>
    <x v="28"/>
    <x v="61"/>
    <n v="406.05096024282301"/>
    <n v="350.25529219600003"/>
    <s v="EUR"/>
  </r>
  <r>
    <s v="ABI BREWDAT GLOBAL GAI DEV"/>
    <x v="8"/>
    <s v="Azure"/>
    <s v="Usage"/>
    <x v="28"/>
    <x v="63"/>
    <n v="222.96171008449701"/>
    <n v="192.32442860734699"/>
    <s v="EUR"/>
  </r>
  <r>
    <s v="ABI BREWDAT GLOBAL GAI DEV"/>
    <x v="8"/>
    <s v="Azure"/>
    <s v="Usage"/>
    <x v="28"/>
    <x v="64"/>
    <n v="560.76814699841395"/>
    <n v="483.71271197999999"/>
    <s v="EUR"/>
  </r>
  <r>
    <s v="ABI BREWDAT GLOBAL GAI DEV"/>
    <x v="8"/>
    <s v="Azure"/>
    <s v="Usage"/>
    <x v="29"/>
    <x v="66"/>
    <n v="34.282873346436098"/>
    <n v="29.572046361111099"/>
    <s v="EUR"/>
  </r>
  <r>
    <s v="ABI BREWDAT GLOBAL GAI DEV"/>
    <x v="8"/>
    <s v="Azure"/>
    <s v="Usage"/>
    <x v="29"/>
    <x v="67"/>
    <n v="479.93607173185097"/>
    <n v="413.987813104331"/>
    <s v="EUR"/>
  </r>
  <r>
    <s v="ABI BREWDAT GLOBAL GAI DEV"/>
    <x v="8"/>
    <s v="Azure"/>
    <s v="Usage"/>
    <x v="31"/>
    <x v="72"/>
    <n v="33.005271"/>
    <n v="28.47"/>
    <s v="EUR"/>
  </r>
  <r>
    <s v="ABI BREWDAT GLOBAL GAI DEV"/>
    <x v="8"/>
    <s v="Marketplace"/>
    <s v="Purchase"/>
    <x v="30"/>
    <x v="68"/>
    <n v="0"/>
    <n v="0"/>
    <s v="EUR"/>
  </r>
  <r>
    <s v="ABI BREWDAT GLOBAL GAI DEV"/>
    <x v="8"/>
    <s v="Marketplace"/>
    <s v="Usage"/>
    <x v="30"/>
    <x v="68"/>
    <n v="263.763936"/>
    <n v="227.52"/>
    <s v="EUR"/>
  </r>
  <r>
    <s v="ABI BREWDAT GLOBAL GAI DEV"/>
    <x v="9"/>
    <s v="Azure"/>
    <s v="Usage"/>
    <x v="0"/>
    <x v="0"/>
    <n v="17.3836656"/>
    <n v="14.868"/>
    <s v="EUR"/>
  </r>
  <r>
    <s v="ABI BREWDAT GLOBAL GAI DEV"/>
    <x v="9"/>
    <s v="Azure"/>
    <s v="Usage"/>
    <x v="1"/>
    <x v="1"/>
    <n v="40.176073784000003"/>
    <n v="34.362020000000001"/>
    <s v="EUR"/>
  </r>
  <r>
    <s v="ABI BREWDAT GLOBAL GAI DEV"/>
    <x v="9"/>
    <s v="Azure"/>
    <s v="Usage"/>
    <x v="2"/>
    <x v="2"/>
    <n v="0"/>
    <n v="0"/>
    <s v="EUR"/>
  </r>
  <r>
    <s v="ABI BREWDAT GLOBAL GAI DEV"/>
    <x v="9"/>
    <s v="Azure"/>
    <s v="Usage"/>
    <x v="2"/>
    <x v="3"/>
    <n v="116.97425088"/>
    <n v="100.04640000000001"/>
    <s v="EUR"/>
  </r>
  <r>
    <s v="ABI BREWDAT GLOBAL GAI DEV"/>
    <x v="9"/>
    <s v="Azure"/>
    <s v="Usage"/>
    <x v="2"/>
    <x v="4"/>
    <n v="199.04460800000001"/>
    <n v="170.24"/>
    <s v="EUR"/>
  </r>
  <r>
    <s v="ABI BREWDAT GLOBAL GAI DEV"/>
    <x v="9"/>
    <s v="Azure"/>
    <s v="Usage"/>
    <x v="2"/>
    <x v="5"/>
    <n v="7.7519305380821901"/>
    <n v="6.6301150684931498"/>
    <s v="EUR"/>
  </r>
  <r>
    <s v="ABI BREWDAT GLOBAL GAI DEV"/>
    <x v="9"/>
    <s v="Azure"/>
    <s v="Usage"/>
    <x v="3"/>
    <x v="6"/>
    <n v="2.4488894000000001"/>
    <n v="2.0945"/>
    <s v="EUR"/>
  </r>
  <r>
    <s v="ABI BREWDAT GLOBAL GAI DEV"/>
    <x v="9"/>
    <s v="Azure"/>
    <s v="Usage"/>
    <x v="5"/>
    <x v="8"/>
    <n v="31.811593599999998"/>
    <n v="27.207999999999998"/>
    <s v="EUR"/>
  </r>
  <r>
    <s v="ABI BREWDAT GLOBAL GAI DEV"/>
    <x v="9"/>
    <s v="Azure"/>
    <s v="Usage"/>
    <x v="6"/>
    <x v="9"/>
    <n v="0.15007033976973799"/>
    <n v="0.128353010408602"/>
    <s v="EUR"/>
  </r>
  <r>
    <s v="ABI BREWDAT GLOBAL GAI DEV"/>
    <x v="9"/>
    <s v="Azure"/>
    <s v="Usage"/>
    <x v="7"/>
    <x v="10"/>
    <n v="1.4486387999999999E-4"/>
    <n v="1.239E-4"/>
    <s v="EUR"/>
  </r>
  <r>
    <s v="ABI BREWDAT GLOBAL GAI DEV"/>
    <x v="9"/>
    <s v="Azure"/>
    <s v="Usage"/>
    <x v="8"/>
    <x v="11"/>
    <n v="3.68133557677419"/>
    <n v="3.1485935483871001"/>
    <s v="EUR"/>
  </r>
  <r>
    <s v="ABI BREWDAT GLOBAL GAI DEV"/>
    <x v="9"/>
    <s v="Azure"/>
    <s v="Usage"/>
    <x v="8"/>
    <x v="12"/>
    <n v="66.205950000000001"/>
    <n v="56.625"/>
    <s v="EUR"/>
  </r>
  <r>
    <s v="ABI BREWDAT GLOBAL GAI DEV"/>
    <x v="9"/>
    <s v="Azure"/>
    <s v="Usage"/>
    <x v="8"/>
    <x v="13"/>
    <n v="42.301188320000001"/>
    <n v="36.179600000000001"/>
    <s v="EUR"/>
  </r>
  <r>
    <s v="ABI BREWDAT GLOBAL GAI DEV"/>
    <x v="9"/>
    <s v="Azure"/>
    <s v="Usage"/>
    <x v="9"/>
    <x v="14"/>
    <n v="258.34577773854397"/>
    <n v="220.95944041955599"/>
    <s v="EUR"/>
  </r>
  <r>
    <s v="ABI BREWDAT GLOBAL GAI DEV"/>
    <x v="9"/>
    <s v="Azure"/>
    <s v="Usage"/>
    <x v="9"/>
    <x v="15"/>
    <n v="434.84395804102201"/>
    <n v="371.91580400361102"/>
    <s v="EUR"/>
  </r>
  <r>
    <s v="ABI BREWDAT GLOBAL GAI DEV"/>
    <x v="9"/>
    <s v="Azure"/>
    <s v="Usage"/>
    <x v="10"/>
    <x v="16"/>
    <n v="32.457292334609697"/>
    <n v="27.760256871886501"/>
    <s v="EUR"/>
  </r>
  <r>
    <s v="ABI BREWDAT GLOBAL GAI DEV"/>
    <x v="9"/>
    <s v="Azure"/>
    <s v="Usage"/>
    <x v="11"/>
    <x v="17"/>
    <n v="29.683095736074002"/>
    <n v="25.3875262881235"/>
    <s v="EUR"/>
  </r>
  <r>
    <s v="ABI BREWDAT GLOBAL GAI DEV"/>
    <x v="9"/>
    <s v="Azure"/>
    <s v="Usage"/>
    <x v="12"/>
    <x v="18"/>
    <n v="0.44631061620468199"/>
    <n v="0.38172307236117198"/>
    <s v="EUR"/>
  </r>
  <r>
    <s v="ABI BREWDAT GLOBAL GAI DEV"/>
    <x v="9"/>
    <s v="Azure"/>
    <s v="Usage"/>
    <x v="12"/>
    <x v="19"/>
    <n v="0.423569226335688"/>
    <n v="0.36227268759467002"/>
    <s v="EUR"/>
  </r>
  <r>
    <s v="ABI BREWDAT GLOBAL GAI DEV"/>
    <x v="9"/>
    <s v="Azure"/>
    <s v="Usage"/>
    <x v="13"/>
    <x v="79"/>
    <n v="72.425910225588296"/>
    <n v="61.944842820380003"/>
    <s v="EUR"/>
  </r>
  <r>
    <s v="ABI BREWDAT GLOBAL GAI DEV"/>
    <x v="9"/>
    <s v="Azure"/>
    <s v="Usage"/>
    <x v="13"/>
    <x v="20"/>
    <n v="504.64316121627098"/>
    <n v="431.614061936599"/>
    <s v="EUR"/>
  </r>
  <r>
    <s v="ABI BREWDAT GLOBAL GAI DEV"/>
    <x v="9"/>
    <s v="Azure"/>
    <s v="Usage"/>
    <x v="14"/>
    <x v="21"/>
    <n v="36.936105642597603"/>
    <n v="31.5909216922662"/>
    <s v="EUR"/>
  </r>
  <r>
    <s v="ABI BREWDAT GLOBAL GAI DEV"/>
    <x v="9"/>
    <s v="Azure"/>
    <s v="Usage"/>
    <x v="15"/>
    <x v="22"/>
    <n v="4.6379654694416503E-2"/>
    <n v="3.9667853826904298E-2"/>
    <s v="EUR"/>
  </r>
  <r>
    <s v="ABI BREWDAT GLOBAL GAI DEV"/>
    <x v="9"/>
    <s v="Azure"/>
    <s v="Usage"/>
    <x v="16"/>
    <x v="23"/>
    <n v="0.4443338668804"/>
    <n v="0.38003238700000003"/>
    <s v="EUR"/>
  </r>
  <r>
    <s v="ABI BREWDAT GLOBAL GAI DEV"/>
    <x v="9"/>
    <s v="Azure"/>
    <s v="Usage"/>
    <x v="17"/>
    <x v="24"/>
    <n v="2.8470203283791999"/>
    <n v="2.4350156759999999"/>
    <s v="EUR"/>
  </r>
  <r>
    <s v="ABI BREWDAT GLOBAL GAI DEV"/>
    <x v="9"/>
    <s v="Azure"/>
    <s v="Usage"/>
    <x v="18"/>
    <x v="25"/>
    <n v="63.995142130223996"/>
    <n v="54.734127719999996"/>
    <s v="EUR"/>
  </r>
  <r>
    <s v="ABI BREWDAT GLOBAL GAI DEV"/>
    <x v="9"/>
    <s v="Azure"/>
    <s v="Usage"/>
    <x v="19"/>
    <x v="26"/>
    <n v="60.058495587368803"/>
    <n v="51.367170362101298"/>
    <s v="EUR"/>
  </r>
  <r>
    <s v="ABI BREWDAT GLOBAL GAI DEV"/>
    <x v="9"/>
    <s v="Azure"/>
    <s v="Usage"/>
    <x v="20"/>
    <x v="27"/>
    <n v="3.7294501871050798"/>
    <n v="3.1897452848999999"/>
    <s v="EUR"/>
  </r>
  <r>
    <s v="ABI BREWDAT GLOBAL GAI DEV"/>
    <x v="9"/>
    <s v="Azure"/>
    <s v="Usage"/>
    <x v="32"/>
    <x v="76"/>
    <n v="1.3822046154574199"/>
    <n v="1.18217979426738"/>
    <s v="EUR"/>
  </r>
  <r>
    <s v="ABI BREWDAT GLOBAL GAI DEV"/>
    <x v="9"/>
    <s v="Azure"/>
    <s v="Usage"/>
    <x v="21"/>
    <x v="28"/>
    <n v="200.78162764160001"/>
    <n v="171.72564800000001"/>
    <s v="EUR"/>
  </r>
  <r>
    <s v="ABI BREWDAT GLOBAL GAI DEV"/>
    <x v="9"/>
    <s v="Azure"/>
    <s v="Usage"/>
    <x v="21"/>
    <x v="29"/>
    <n v="24.650711279999999"/>
    <n v="21.083400000000001"/>
    <s v="EUR"/>
  </r>
  <r>
    <s v="ABI BREWDAT GLOBAL GAI DEV"/>
    <x v="9"/>
    <s v="Azure"/>
    <s v="Usage"/>
    <x v="21"/>
    <x v="30"/>
    <n v="0.42759047039999998"/>
    <n v="0.36571199999999998"/>
    <s v="EUR"/>
  </r>
  <r>
    <s v="ABI BREWDAT GLOBAL GAI DEV"/>
    <x v="9"/>
    <s v="Azure"/>
    <s v="Usage"/>
    <x v="21"/>
    <x v="31"/>
    <n v="6.3836905645161304"/>
    <n v="5.4598790322580699"/>
    <s v="EUR"/>
  </r>
  <r>
    <s v="ABI BREWDAT GLOBAL GAI DEV"/>
    <x v="9"/>
    <s v="Azure"/>
    <s v="Usage"/>
    <x v="21"/>
    <x v="32"/>
    <n v="0.72789364440000004"/>
    <n v="0.62255700000000003"/>
    <s v="EUR"/>
  </r>
  <r>
    <s v="ABI BREWDAT GLOBAL GAI DEV"/>
    <x v="9"/>
    <s v="Azure"/>
    <s v="Usage"/>
    <x v="21"/>
    <x v="33"/>
    <n v="5.7113534193548396"/>
    <n v="4.8848387096774202"/>
    <s v="EUR"/>
  </r>
  <r>
    <s v="ABI BREWDAT GLOBAL GAI DEV"/>
    <x v="9"/>
    <s v="Azure"/>
    <s v="Usage"/>
    <x v="21"/>
    <x v="34"/>
    <n v="27.9796705469053"/>
    <n v="23.930611141725301"/>
    <s v="EUR"/>
  </r>
  <r>
    <s v="ABI BREWDAT GLOBAL GAI DEV"/>
    <x v="9"/>
    <s v="Azure"/>
    <s v="Usage"/>
    <x v="21"/>
    <x v="35"/>
    <n v="36.201483611999997"/>
    <n v="30.962610000000002"/>
    <s v="EUR"/>
  </r>
  <r>
    <s v="ABI BREWDAT GLOBAL GAI DEV"/>
    <x v="9"/>
    <s v="Azure"/>
    <s v="Usage"/>
    <x v="22"/>
    <x v="36"/>
    <n v="4.3051580879999998"/>
    <n v="3.68214"/>
    <s v="EUR"/>
  </r>
  <r>
    <s v="ABI BREWDAT GLOBAL GAI DEV"/>
    <x v="9"/>
    <s v="Azure"/>
    <s v="Usage"/>
    <x v="23"/>
    <x v="37"/>
    <n v="100.83742015999999"/>
    <n v="86.244799999999998"/>
    <s v="EUR"/>
  </r>
  <r>
    <s v="ABI BREWDAT GLOBAL GAI DEV"/>
    <x v="9"/>
    <s v="Azure"/>
    <s v="Usage"/>
    <x v="24"/>
    <x v="38"/>
    <n v="41.930434999999903"/>
    <n v="35.862499999999898"/>
    <s v="EUR"/>
  </r>
  <r>
    <s v="ABI BREWDAT GLOBAL GAI DEV"/>
    <x v="9"/>
    <s v="Azure"/>
    <s v="Usage"/>
    <x v="24"/>
    <x v="39"/>
    <n v="2707.6026685000002"/>
    <n v="2315.7737499999998"/>
    <s v="EUR"/>
  </r>
  <r>
    <s v="ABI BREWDAT GLOBAL GAI DEV"/>
    <x v="9"/>
    <s v="Azure"/>
    <s v="Usage"/>
    <x v="24"/>
    <x v="40"/>
    <n v="21.000812096774201"/>
    <n v="17.9616935483871"/>
    <s v="EUR"/>
  </r>
  <r>
    <s v="ABI BREWDAT GLOBAL GAI DEV"/>
    <x v="9"/>
    <s v="Azure"/>
    <s v="Usage"/>
    <x v="25"/>
    <x v="41"/>
    <n v="1.4522710565964001"/>
    <n v="1.2421066169999999"/>
    <s v="EUR"/>
  </r>
  <r>
    <s v="ABI BREWDAT GLOBAL GAI DEV"/>
    <x v="9"/>
    <s v="Azure"/>
    <s v="Usage"/>
    <x v="26"/>
    <x v="42"/>
    <n v="26.65776"/>
    <n v="22.8"/>
    <s v="EUR"/>
  </r>
  <r>
    <s v="ABI BREWDAT GLOBAL GAI DEV"/>
    <x v="9"/>
    <s v="Azure"/>
    <s v="Usage"/>
    <x v="27"/>
    <x v="43"/>
    <n v="32.4458350159818"/>
    <n v="27.750457591499998"/>
    <s v="EUR"/>
  </r>
  <r>
    <s v="ABI BREWDAT GLOBAL GAI DEV"/>
    <x v="9"/>
    <s v="Azure"/>
    <s v="Usage"/>
    <x v="27"/>
    <x v="44"/>
    <n v="4.4945870260401399"/>
    <n v="3.8441558553199999"/>
    <s v="EUR"/>
  </r>
  <r>
    <s v="ABI BREWDAT GLOBAL GAI DEV"/>
    <x v="9"/>
    <s v="Azure"/>
    <s v="Usage"/>
    <x v="27"/>
    <x v="45"/>
    <n v="9.9243204307752801"/>
    <n v="8.4881290033999992"/>
    <s v="EUR"/>
  </r>
  <r>
    <s v="ABI BREWDAT GLOBAL GAI DEV"/>
    <x v="9"/>
    <s v="Azure"/>
    <s v="Usage"/>
    <x v="27"/>
    <x v="46"/>
    <n v="1.7709872400000001E-5"/>
    <n v="1.5147000000000001E-5"/>
    <s v="EUR"/>
  </r>
  <r>
    <s v="ABI BREWDAT GLOBAL GAI DEV"/>
    <x v="9"/>
    <s v="Azure"/>
    <s v="Usage"/>
    <x v="27"/>
    <x v="47"/>
    <n v="1.019218438064E-2"/>
    <n v="8.7172291999999992E-3"/>
    <s v="EUR"/>
  </r>
  <r>
    <s v="ABI BREWDAT GLOBAL GAI DEV"/>
    <x v="9"/>
    <s v="Azure"/>
    <s v="Usage"/>
    <x v="27"/>
    <x v="48"/>
    <n v="0.88562007108455998"/>
    <n v="0.75745815179999998"/>
    <s v="EUR"/>
  </r>
  <r>
    <s v="ABI BREWDAT GLOBAL GAI DEV"/>
    <x v="9"/>
    <s v="Azure"/>
    <s v="Usage"/>
    <x v="27"/>
    <x v="49"/>
    <n v="263.27210839604902"/>
    <n v="225.17286041400001"/>
    <s v="EUR"/>
  </r>
  <r>
    <s v="ABI BREWDAT GLOBAL GAI DEV"/>
    <x v="9"/>
    <s v="Azure"/>
    <s v="Usage"/>
    <x v="27"/>
    <x v="50"/>
    <n v="8.9233343999999998E-7"/>
    <n v="7.6319999999999995E-7"/>
    <s v="EUR"/>
  </r>
  <r>
    <s v="ABI BREWDAT GLOBAL GAI DEV"/>
    <x v="9"/>
    <s v="Azure"/>
    <s v="Usage"/>
    <x v="27"/>
    <x v="51"/>
    <n v="7.5002776959999997E-5"/>
    <n v="6.4148799999999998E-5"/>
    <s v="EUR"/>
  </r>
  <r>
    <s v="ABI BREWDAT GLOBAL GAI DEV"/>
    <x v="9"/>
    <s v="Azure"/>
    <s v="Usage"/>
    <x v="27"/>
    <x v="52"/>
    <n v="2.1802632287788799"/>
    <n v="1.8647478864"/>
    <s v="EUR"/>
  </r>
  <r>
    <s v="ABI BREWDAT GLOBAL GAI DEV"/>
    <x v="9"/>
    <s v="Azure"/>
    <s v="Usage"/>
    <x v="27"/>
    <x v="53"/>
    <n v="7.6884423280150003"/>
    <n v="6.5758145125"/>
    <s v="EUR"/>
  </r>
  <r>
    <s v="ABI BREWDAT GLOBAL GAI DEV"/>
    <x v="9"/>
    <s v="Azure"/>
    <s v="Usage"/>
    <x v="27"/>
    <x v="54"/>
    <n v="0.46532073165072002"/>
    <n v="0.3979821516"/>
    <s v="EUR"/>
  </r>
  <r>
    <s v="ABI BREWDAT GLOBAL GAI DEV"/>
    <x v="9"/>
    <s v="Azure"/>
    <s v="Usage"/>
    <x v="27"/>
    <x v="55"/>
    <n v="1.4724706035999999E-4"/>
    <n v="1.2593829999999999E-4"/>
    <s v="EUR"/>
  </r>
  <r>
    <s v="ABI BREWDAT GLOBAL GAI DEV"/>
    <x v="9"/>
    <s v="Azure"/>
    <s v="Usage"/>
    <x v="28"/>
    <x v="70"/>
    <n v="16.1383717"/>
    <n v="13.8029179781047"/>
    <s v="EUR"/>
  </r>
  <r>
    <s v="ABI BREWDAT GLOBAL GAI DEV"/>
    <x v="9"/>
    <s v="Azure"/>
    <s v="Usage"/>
    <x v="28"/>
    <x v="56"/>
    <n v="0.37361172788351998"/>
    <n v="0.31954475528867599"/>
    <s v="EUR"/>
  </r>
  <r>
    <s v="ABI BREWDAT GLOBAL GAI DEV"/>
    <x v="9"/>
    <s v="Azure"/>
    <s v="Usage"/>
    <x v="28"/>
    <x v="80"/>
    <n v="43.721762483153299"/>
    <n v="37.394596718400003"/>
    <s v="EUR"/>
  </r>
  <r>
    <s v="ABI BREWDAT GLOBAL GAI DEV"/>
    <x v="9"/>
    <s v="Azure"/>
    <s v="Usage"/>
    <x v="28"/>
    <x v="58"/>
    <n v="1388.5179000253499"/>
    <n v="1187.57945606"/>
    <s v="EUR"/>
  </r>
  <r>
    <s v="ABI BREWDAT GLOBAL GAI DEV"/>
    <x v="9"/>
    <s v="Azure"/>
    <s v="Usage"/>
    <x v="28"/>
    <x v="59"/>
    <n v="95.777940999999998"/>
    <n v="81.917500000000004"/>
    <s v="EUR"/>
  </r>
  <r>
    <s v="ABI BREWDAT GLOBAL GAI DEV"/>
    <x v="9"/>
    <s v="Azure"/>
    <s v="Usage"/>
    <x v="28"/>
    <x v="60"/>
    <n v="25.485034152295601"/>
    <n v="21.796984392999999"/>
    <s v="EUR"/>
  </r>
  <r>
    <s v="ABI BREWDAT GLOBAL GAI DEV"/>
    <x v="9"/>
    <s v="Azure"/>
    <s v="Usage"/>
    <x v="28"/>
    <x v="61"/>
    <n v="94.147713650956405"/>
    <n v="80.523189916999996"/>
    <s v="EUR"/>
  </r>
  <r>
    <s v="ABI BREWDAT GLOBAL GAI DEV"/>
    <x v="9"/>
    <s v="Azure"/>
    <s v="Usage"/>
    <x v="28"/>
    <x v="63"/>
    <n v="44.165681035105401"/>
    <n v="37.774273892495202"/>
    <s v="EUR"/>
  </r>
  <r>
    <s v="ABI BREWDAT GLOBAL GAI DEV"/>
    <x v="9"/>
    <s v="Azure"/>
    <s v="Usage"/>
    <x v="28"/>
    <x v="64"/>
    <n v="60.026727999999999"/>
    <n v="51.34"/>
    <s v="EUR"/>
  </r>
  <r>
    <s v="ABI BREWDAT GLOBAL GAI DEV"/>
    <x v="9"/>
    <s v="Azure"/>
    <s v="Usage"/>
    <x v="29"/>
    <x v="66"/>
    <n v="6.6367299600000003"/>
    <n v="5.6763000000000003"/>
    <s v="EUR"/>
  </r>
  <r>
    <s v="ABI BREWDAT GLOBAL GAI DEV"/>
    <x v="9"/>
    <s v="Azure"/>
    <s v="Usage"/>
    <x v="29"/>
    <x v="67"/>
    <n v="104.09588524528699"/>
    <n v="89.031718478692198"/>
    <s v="EUR"/>
  </r>
  <r>
    <s v="ABI BREWDAT GLOBAL GAI DEV"/>
    <x v="9"/>
    <s v="Azure"/>
    <s v="Usage"/>
    <x v="31"/>
    <x v="72"/>
    <n v="6.6574248000000003"/>
    <n v="5.694"/>
    <s v="EUR"/>
  </r>
  <r>
    <s v="ABI BREWDAT GLOBAL GAI DEV"/>
    <x v="9"/>
    <s v="Marketplace"/>
    <s v="Purchase"/>
    <x v="30"/>
    <x v="68"/>
    <n v="0"/>
    <n v="0"/>
    <s v="EUR"/>
  </r>
  <r>
    <s v="ABI BREWDAT GLOBAL GAI DEV"/>
    <x v="9"/>
    <s v="Marketplace"/>
    <s v="Usage"/>
    <x v="30"/>
    <x v="68"/>
    <n v="56.159014399999997"/>
    <n v="48.031999999999996"/>
    <s v="EUR"/>
  </r>
  <r>
    <s v="ABI BREWDAT GLOBAL GAI QA"/>
    <x v="0"/>
    <s v="Azure"/>
    <s v="Usage"/>
    <x v="0"/>
    <x v="0"/>
    <n v="11.806608000000001"/>
    <n v="11.327999999999999"/>
    <s v="EUR"/>
  </r>
  <r>
    <s v="ABI BREWDAT GLOBAL GAI QA"/>
    <x v="0"/>
    <s v="Azure"/>
    <s v="Usage"/>
    <x v="1"/>
    <x v="1"/>
    <n v="92.908039561898605"/>
    <n v="89.1417985722222"/>
    <s v="EUR"/>
  </r>
  <r>
    <s v="ABI BREWDAT GLOBAL GAI QA"/>
    <x v="0"/>
    <s v="Azure"/>
    <s v="Usage"/>
    <x v="2"/>
    <x v="2"/>
    <n v="0"/>
    <n v="0"/>
    <s v="EUR"/>
  </r>
  <r>
    <s v="ABI BREWDAT GLOBAL GAI QA"/>
    <x v="0"/>
    <s v="Azure"/>
    <s v="Usage"/>
    <x v="2"/>
    <x v="4"/>
    <n v="93.351647914140003"/>
    <n v="89.567424239999994"/>
    <s v="EUR"/>
  </r>
  <r>
    <s v="ABI BREWDAT GLOBAL GAI QA"/>
    <x v="0"/>
    <s v="Azure"/>
    <s v="Usage"/>
    <x v="2"/>
    <x v="5"/>
    <n v="2.8413805222602702"/>
    <n v="2.7261986301369898"/>
    <s v="EUR"/>
  </r>
  <r>
    <s v="ABI BREWDAT GLOBAL GAI QA"/>
    <x v="0"/>
    <s v="Azure"/>
    <s v="Usage"/>
    <x v="4"/>
    <x v="7"/>
    <n v="56.847284158644797"/>
    <n v="54.542848796972699"/>
    <s v="EUR"/>
  </r>
  <r>
    <s v="ABI BREWDAT GLOBAL GAI QA"/>
    <x v="0"/>
    <s v="Azure"/>
    <s v="Usage"/>
    <x v="6"/>
    <x v="9"/>
    <n v="0.174366546464539"/>
    <n v="0.16729819761529299"/>
    <s v="EUR"/>
  </r>
  <r>
    <s v="ABI BREWDAT GLOBAL GAI QA"/>
    <x v="0"/>
    <s v="Azure"/>
    <s v="Usage"/>
    <x v="7"/>
    <x v="10"/>
    <n v="3.5050867499999999E-4"/>
    <n v="3.3629999999999999E-4"/>
    <s v="EUR"/>
  </r>
  <r>
    <s v="ABI BREWDAT GLOBAL GAI QA"/>
    <x v="0"/>
    <s v="Azure"/>
    <s v="Usage"/>
    <x v="8"/>
    <x v="11"/>
    <n v="1.86538094623656"/>
    <n v="1.7897634408602201"/>
    <s v="EUR"/>
  </r>
  <r>
    <s v="ABI BREWDAT GLOBAL GAI QA"/>
    <x v="0"/>
    <s v="Azure"/>
    <s v="Usage"/>
    <x v="8"/>
    <x v="13"/>
    <n v="128.60739649999999"/>
    <n v="123.39400000000001"/>
    <s v="EUR"/>
  </r>
  <r>
    <s v="ABI BREWDAT GLOBAL GAI QA"/>
    <x v="0"/>
    <s v="Azure"/>
    <s v="Usage"/>
    <x v="10"/>
    <x v="16"/>
    <n v="72.358412814848407"/>
    <n v="69.425198191267398"/>
    <s v="EUR"/>
  </r>
  <r>
    <s v="ABI BREWDAT GLOBAL GAI QA"/>
    <x v="0"/>
    <s v="Azure"/>
    <s v="Usage"/>
    <x v="12"/>
    <x v="18"/>
    <n v="6.1939231479464299E-2"/>
    <n v="5.9428382326182999E-2"/>
    <s v="EUR"/>
  </r>
  <r>
    <s v="ABI BREWDAT GLOBAL GAI QA"/>
    <x v="0"/>
    <s v="Azure"/>
    <s v="Usage"/>
    <x v="12"/>
    <x v="19"/>
    <n v="1.3771137211025001E-2"/>
    <n v="1.32128925027825E-2"/>
    <s v="EUR"/>
  </r>
  <r>
    <s v="ABI BREWDAT GLOBAL GAI QA"/>
    <x v="0"/>
    <s v="Azure"/>
    <s v="Usage"/>
    <x v="14"/>
    <x v="21"/>
    <n v="19.8193348855363"/>
    <n v="19.015912579070601"/>
    <s v="EUR"/>
  </r>
  <r>
    <s v="ABI BREWDAT GLOBAL GAI QA"/>
    <x v="0"/>
    <s v="Azure"/>
    <s v="Usage"/>
    <x v="16"/>
    <x v="23"/>
    <n v="7.5275255550000004E-4"/>
    <n v="7.2223800000000005E-4"/>
    <s v="EUR"/>
  </r>
  <r>
    <s v="ABI BREWDAT GLOBAL GAI QA"/>
    <x v="0"/>
    <s v="Azure"/>
    <s v="Usage"/>
    <x v="17"/>
    <x v="24"/>
    <n v="8.5344641249999995"/>
    <n v="8.1884999999999994"/>
    <s v="EUR"/>
  </r>
  <r>
    <s v="ABI BREWDAT GLOBAL GAI QA"/>
    <x v="0"/>
    <s v="Azure"/>
    <s v="Usage"/>
    <x v="18"/>
    <x v="25"/>
    <n v="2.3781091207500001E-2"/>
    <n v="2.2817069999999998E-2"/>
    <s v="EUR"/>
  </r>
  <r>
    <s v="ABI BREWDAT GLOBAL GAI QA"/>
    <x v="0"/>
    <s v="Azure"/>
    <s v="Usage"/>
    <x v="19"/>
    <x v="26"/>
    <n v="5.7899136331578704"/>
    <n v="5.5552061723750201"/>
    <s v="EUR"/>
  </r>
  <r>
    <s v="ABI BREWDAT GLOBAL GAI QA"/>
    <x v="0"/>
    <s v="Azure"/>
    <s v="Usage"/>
    <x v="21"/>
    <x v="28"/>
    <n v="33.418272508500003"/>
    <n v="32.063586000000001"/>
    <s v="EUR"/>
  </r>
  <r>
    <s v="ABI BREWDAT GLOBAL GAI QA"/>
    <x v="0"/>
    <s v="Azure"/>
    <s v="Usage"/>
    <x v="21"/>
    <x v="29"/>
    <n v="8.8272321500000004"/>
    <n v="8.4694000000000003"/>
    <s v="EUR"/>
  </r>
  <r>
    <s v="ABI BREWDAT GLOBAL GAI QA"/>
    <x v="0"/>
    <s v="Azure"/>
    <s v="Usage"/>
    <x v="21"/>
    <x v="30"/>
    <n v="0.220882479125"/>
    <n v="0.21192849999999999"/>
    <s v="EUR"/>
  </r>
  <r>
    <s v="ABI BREWDAT GLOBAL GAI QA"/>
    <x v="0"/>
    <s v="Azure"/>
    <s v="Usage"/>
    <x v="21"/>
    <x v="31"/>
    <n v="0"/>
    <n v="0"/>
    <s v="EUR"/>
  </r>
  <r>
    <s v="ABI BREWDAT GLOBAL GAI QA"/>
    <x v="0"/>
    <s v="Azure"/>
    <s v="Usage"/>
    <x v="21"/>
    <x v="32"/>
    <n v="3.1552409460000002"/>
    <n v="3.027336"/>
    <s v="EUR"/>
  </r>
  <r>
    <s v="ABI BREWDAT GLOBAL GAI QA"/>
    <x v="0"/>
    <s v="Azure"/>
    <s v="Usage"/>
    <x v="21"/>
    <x v="33"/>
    <n v="0"/>
    <n v="0"/>
    <s v="EUR"/>
  </r>
  <r>
    <s v="ABI BREWDAT GLOBAL GAI QA"/>
    <x v="0"/>
    <s v="Azure"/>
    <s v="Usage"/>
    <x v="21"/>
    <x v="34"/>
    <n v="10.047790279999999"/>
    <n v="9.6404800000000002"/>
    <s v="EUR"/>
  </r>
  <r>
    <s v="ABI BREWDAT GLOBAL GAI QA"/>
    <x v="0"/>
    <s v="Azure"/>
    <s v="Usage"/>
    <x v="21"/>
    <x v="35"/>
    <n v="18.543753689999999"/>
    <n v="17.79204"/>
    <s v="EUR"/>
  </r>
  <r>
    <s v="ABI BREWDAT GLOBAL GAI QA"/>
    <x v="0"/>
    <s v="Azure"/>
    <s v="Usage"/>
    <x v="24"/>
    <x v="38"/>
    <n v="13.614390625"/>
    <n v="13.0625"/>
    <s v="EUR"/>
  </r>
  <r>
    <s v="ABI BREWDAT GLOBAL GAI QA"/>
    <x v="0"/>
    <s v="Azure"/>
    <s v="Usage"/>
    <x v="24"/>
    <x v="40"/>
    <n v="6.81875252016129"/>
    <n v="6.5423387096774199"/>
    <s v="EUR"/>
  </r>
  <r>
    <s v="ABI BREWDAT GLOBAL GAI QA"/>
    <x v="0"/>
    <s v="Azure"/>
    <s v="Usage"/>
    <x v="25"/>
    <x v="41"/>
    <n v="1.3499743124999999E-4"/>
    <n v="1.2952499999999999E-4"/>
    <s v="EUR"/>
  </r>
  <r>
    <s v="ABI BREWDAT GLOBAL GAI QA"/>
    <x v="0"/>
    <s v="Azure"/>
    <s v="Usage"/>
    <x v="27"/>
    <x v="43"/>
    <n v="3.564027550875E-2"/>
    <n v="3.4195515000000003E-2"/>
    <s v="EUR"/>
  </r>
  <r>
    <s v="ABI BREWDAT GLOBAL GAI QA"/>
    <x v="0"/>
    <s v="Azure"/>
    <s v="Usage"/>
    <x v="27"/>
    <x v="44"/>
    <n v="0.1877119519429"/>
    <n v="0.1801026164"/>
    <s v="EUR"/>
  </r>
  <r>
    <s v="ABI BREWDAT GLOBAL GAI QA"/>
    <x v="0"/>
    <s v="Azure"/>
    <s v="Usage"/>
    <x v="27"/>
    <x v="45"/>
    <n v="7.1269159225000002E-4"/>
    <n v="6.8380100000000005E-4"/>
    <s v="EUR"/>
  </r>
  <r>
    <s v="ABI BREWDAT GLOBAL GAI QA"/>
    <x v="0"/>
    <s v="Azure"/>
    <s v="Usage"/>
    <x v="27"/>
    <x v="48"/>
    <n v="1.799386780125E-3"/>
    <n v="1.7264444999999999E-3"/>
    <s v="EUR"/>
  </r>
  <r>
    <s v="ABI BREWDAT GLOBAL GAI QA"/>
    <x v="0"/>
    <s v="Azure"/>
    <s v="Usage"/>
    <x v="27"/>
    <x v="49"/>
    <n v="36.540053268949997"/>
    <n v="35.058818199999997"/>
    <s v="EUR"/>
  </r>
  <r>
    <s v="ABI BREWDAT GLOBAL GAI QA"/>
    <x v="0"/>
    <s v="Azure"/>
    <s v="Usage"/>
    <x v="27"/>
    <x v="51"/>
    <n v="3.158930511E-3"/>
    <n v="3.0308760000000001E-3"/>
    <s v="EUR"/>
  </r>
  <r>
    <s v="ABI BREWDAT GLOBAL GAI QA"/>
    <x v="0"/>
    <s v="Azure"/>
    <s v="Usage"/>
    <x v="27"/>
    <x v="53"/>
    <n v="2.4284876909177502"/>
    <n v="2.3300433589999998"/>
    <s v="EUR"/>
  </r>
  <r>
    <s v="ABI BREWDAT GLOBAL GAI QA"/>
    <x v="0"/>
    <s v="Azure"/>
    <s v="Usage"/>
    <x v="27"/>
    <x v="54"/>
    <n v="8.8382799999999994E-8"/>
    <n v="8.4800000000000005E-8"/>
    <s v="EUR"/>
  </r>
  <r>
    <s v="ABI BREWDAT GLOBAL GAI QA"/>
    <x v="0"/>
    <s v="Azure"/>
    <s v="Usage"/>
    <x v="27"/>
    <x v="55"/>
    <n v="1.744984978E-3"/>
    <n v="1.6742479999999999E-3"/>
    <s v="EUR"/>
  </r>
  <r>
    <s v="ABI BREWDAT GLOBAL GAI QA"/>
    <x v="0"/>
    <s v="Azure"/>
    <s v="Usage"/>
    <x v="28"/>
    <x v="58"/>
    <n v="250.42446774121299"/>
    <n v="240.27293618729999"/>
    <s v="EUR"/>
  </r>
  <r>
    <s v="ABI BREWDAT GLOBAL GAI QA"/>
    <x v="0"/>
    <s v="Azure"/>
    <s v="Usage"/>
    <x v="28"/>
    <x v="59"/>
    <n v="52.522606320168599"/>
    <n v="50.393481717599997"/>
    <s v="EUR"/>
  </r>
  <r>
    <s v="ABI BREWDAT GLOBAL GAI QA"/>
    <x v="0"/>
    <s v="Azure"/>
    <s v="Usage"/>
    <x v="28"/>
    <x v="61"/>
    <n v="77.385559392063996"/>
    <n v="74.248557824000002"/>
    <s v="EUR"/>
  </r>
  <r>
    <s v="ABI BREWDAT GLOBAL GAI QA"/>
    <x v="0"/>
    <s v="Azure"/>
    <s v="Usage"/>
    <x v="29"/>
    <x v="66"/>
    <n v="6.91980089999306"/>
    <n v="6.6392908611111103"/>
    <s v="EUR"/>
  </r>
  <r>
    <s v="ABI BREWDAT GLOBAL GAI QA"/>
    <x v="0"/>
    <s v="Azure"/>
    <s v="Usage"/>
    <x v="29"/>
    <x v="67"/>
    <n v="62.271460693966802"/>
    <n v="59.747143865643402"/>
    <s v="EUR"/>
  </r>
  <r>
    <s v="ABI BREWDAT GLOBAL GAI QA"/>
    <x v="0"/>
    <s v="Azure"/>
    <s v="Usage"/>
    <x v="31"/>
    <x v="72"/>
    <n v="15.3015944809364"/>
    <n v="14.681309168564599"/>
    <s v="EUR"/>
  </r>
  <r>
    <s v="ABI BREWDAT GLOBAL GAI QA"/>
    <x v="1"/>
    <s v="Azure"/>
    <s v="Usage"/>
    <x v="0"/>
    <x v="0"/>
    <n v="20.656607999999999"/>
    <n v="19.824000000000002"/>
    <s v="EUR"/>
  </r>
  <r>
    <s v="ABI BREWDAT GLOBAL GAI QA"/>
    <x v="1"/>
    <s v="Azure"/>
    <s v="Usage"/>
    <x v="1"/>
    <x v="1"/>
    <n v="156.24098111999999"/>
    <n v="149.94336000000001"/>
    <s v="EUR"/>
  </r>
  <r>
    <s v="ABI BREWDAT GLOBAL GAI QA"/>
    <x v="1"/>
    <s v="Azure"/>
    <s v="Usage"/>
    <x v="2"/>
    <x v="69"/>
    <n v="0"/>
    <n v="0"/>
    <s v="EUR"/>
  </r>
  <r>
    <s v="ABI BREWDAT GLOBAL GAI QA"/>
    <x v="1"/>
    <s v="Azure"/>
    <s v="Usage"/>
    <x v="2"/>
    <x v="2"/>
    <n v="0"/>
    <n v="0"/>
    <s v="EUR"/>
  </r>
  <r>
    <s v="ABI BREWDAT GLOBAL GAI QA"/>
    <x v="1"/>
    <s v="Azure"/>
    <s v="Usage"/>
    <x v="2"/>
    <x v="3"/>
    <n v="112.425407964578"/>
    <n v="107.893865609"/>
    <s v="EUR"/>
  </r>
  <r>
    <s v="ABI BREWDAT GLOBAL GAI QA"/>
    <x v="1"/>
    <s v="Azure"/>
    <s v="Usage"/>
    <x v="2"/>
    <x v="4"/>
    <n v="113.28255848896001"/>
    <n v="108.71646688"/>
    <s v="EUR"/>
  </r>
  <r>
    <s v="ABI BREWDAT GLOBAL GAI QA"/>
    <x v="1"/>
    <s v="Azure"/>
    <s v="Usage"/>
    <x v="2"/>
    <x v="5"/>
    <n v="5.0905325589041102"/>
    <n v="4.8853479452054804"/>
    <s v="EUR"/>
  </r>
  <r>
    <s v="ABI BREWDAT GLOBAL GAI QA"/>
    <x v="1"/>
    <s v="Azure"/>
    <s v="Usage"/>
    <x v="4"/>
    <x v="7"/>
    <n v="54.032174361916297"/>
    <n v="51.8542940133553"/>
    <s v="EUR"/>
  </r>
  <r>
    <s v="ABI BREWDAT GLOBAL GAI QA"/>
    <x v="1"/>
    <s v="Azure"/>
    <s v="Usage"/>
    <x v="6"/>
    <x v="9"/>
    <n v="0.28395489577316102"/>
    <n v="0.27250949690322601"/>
    <s v="EUR"/>
  </r>
  <r>
    <s v="ABI BREWDAT GLOBAL GAI QA"/>
    <x v="1"/>
    <s v="Azure"/>
    <s v="Usage"/>
    <x v="7"/>
    <x v="10"/>
    <n v="1.475472E-4"/>
    <n v="1.416E-4"/>
    <s v="EUR"/>
  </r>
  <r>
    <s v="ABI BREWDAT GLOBAL GAI QA"/>
    <x v="1"/>
    <s v="Azure"/>
    <s v="Usage"/>
    <x v="8"/>
    <x v="11"/>
    <n v="2.4334666322580598"/>
    <n v="2.33538064516129"/>
    <s v="EUR"/>
  </r>
  <r>
    <s v="ABI BREWDAT GLOBAL GAI QA"/>
    <x v="1"/>
    <s v="Azure"/>
    <s v="Usage"/>
    <x v="8"/>
    <x v="13"/>
    <n v="167.77367039999999"/>
    <n v="161.0112"/>
    <s v="EUR"/>
  </r>
  <r>
    <s v="ABI BREWDAT GLOBAL GAI QA"/>
    <x v="1"/>
    <s v="Azure"/>
    <s v="Usage"/>
    <x v="10"/>
    <x v="16"/>
    <n v="65.244480870897405"/>
    <n v="62.6146649432796"/>
    <s v="EUR"/>
  </r>
  <r>
    <s v="ABI BREWDAT GLOBAL GAI QA"/>
    <x v="1"/>
    <s v="Azure"/>
    <s v="Usage"/>
    <x v="12"/>
    <x v="18"/>
    <n v="8.0237481067575903E-2"/>
    <n v="7.7003340755830998E-2"/>
    <s v="EUR"/>
  </r>
  <r>
    <s v="ABI BREWDAT GLOBAL GAI QA"/>
    <x v="1"/>
    <s v="Azure"/>
    <s v="Usage"/>
    <x v="12"/>
    <x v="19"/>
    <n v="0.17044526871985"/>
    <n v="0.16357511393459701"/>
    <s v="EUR"/>
  </r>
  <r>
    <s v="ABI BREWDAT GLOBAL GAI QA"/>
    <x v="1"/>
    <s v="Azure"/>
    <s v="Usage"/>
    <x v="14"/>
    <x v="21"/>
    <n v="25.830691879961901"/>
    <n v="24.789531554665899"/>
    <s v="EUR"/>
  </r>
  <r>
    <s v="ABI BREWDAT GLOBAL GAI QA"/>
    <x v="1"/>
    <s v="Azure"/>
    <s v="Usage"/>
    <x v="16"/>
    <x v="23"/>
    <n v="9.90923244E-4"/>
    <n v="9.5098199999999996E-4"/>
    <s v="EUR"/>
  </r>
  <r>
    <s v="ABI BREWDAT GLOBAL GAI QA"/>
    <x v="1"/>
    <s v="Azure"/>
    <s v="Usage"/>
    <x v="17"/>
    <x v="24"/>
    <n v="11.1335616"/>
    <n v="10.684799999999999"/>
    <s v="EUR"/>
  </r>
  <r>
    <s v="ABI BREWDAT GLOBAL GAI QA"/>
    <x v="1"/>
    <s v="Azure"/>
    <s v="Usage"/>
    <x v="18"/>
    <x v="25"/>
    <n v="2.6757684720000001E-2"/>
    <n v="2.5679159999999999E-2"/>
    <s v="EUR"/>
  </r>
  <r>
    <s v="ABI BREWDAT GLOBAL GAI QA"/>
    <x v="1"/>
    <s v="Azure"/>
    <s v="Usage"/>
    <x v="19"/>
    <x v="26"/>
    <n v="9.4036087535558792"/>
    <n v="9.02457653892119"/>
    <s v="EUR"/>
  </r>
  <r>
    <s v="ABI BREWDAT GLOBAL GAI QA"/>
    <x v="1"/>
    <s v="Azure"/>
    <s v="Usage"/>
    <x v="20"/>
    <x v="27"/>
    <n v="2.1864740616243199"/>
    <n v="2.09834362919801"/>
    <s v="EUR"/>
  </r>
  <r>
    <s v="ABI BREWDAT GLOBAL GAI QA"/>
    <x v="1"/>
    <s v="Azure"/>
    <s v="Usage"/>
    <x v="21"/>
    <x v="28"/>
    <n v="62.997138051999997"/>
    <n v="60.457906000000001"/>
    <s v="EUR"/>
  </r>
  <r>
    <s v="ABI BREWDAT GLOBAL GAI QA"/>
    <x v="1"/>
    <s v="Azure"/>
    <s v="Usage"/>
    <x v="21"/>
    <x v="29"/>
    <n v="25.569638000000001"/>
    <n v="24.539000000000001"/>
    <s v="EUR"/>
  </r>
  <r>
    <s v="ABI BREWDAT GLOBAL GAI QA"/>
    <x v="1"/>
    <s v="Azure"/>
    <s v="Usage"/>
    <x v="21"/>
    <x v="30"/>
    <n v="0.28078982400000002"/>
    <n v="0.26947199999999999"/>
    <s v="EUR"/>
  </r>
  <r>
    <s v="ABI BREWDAT GLOBAL GAI QA"/>
    <x v="1"/>
    <s v="Azure"/>
    <s v="Usage"/>
    <x v="21"/>
    <x v="31"/>
    <n v="5.77595725806452"/>
    <n v="5.5431451612903198"/>
    <s v="EUR"/>
  </r>
  <r>
    <s v="ABI BREWDAT GLOBAL GAI QA"/>
    <x v="1"/>
    <s v="Azure"/>
    <s v="Usage"/>
    <x v="21"/>
    <x v="32"/>
    <n v="2.8492114559999999"/>
    <n v="2.7343679999999999"/>
    <s v="EUR"/>
  </r>
  <r>
    <s v="ABI BREWDAT GLOBAL GAI QA"/>
    <x v="1"/>
    <s v="Azure"/>
    <s v="Usage"/>
    <x v="21"/>
    <x v="34"/>
    <n v="17.553448834870299"/>
    <n v="16.845920187015601"/>
    <s v="EUR"/>
  </r>
  <r>
    <s v="ABI BREWDAT GLOBAL GAI QA"/>
    <x v="1"/>
    <s v="Azure"/>
    <s v="Usage"/>
    <x v="21"/>
    <x v="35"/>
    <n v="27.559357840000001"/>
    <n v="26.448519999999998"/>
    <s v="EUR"/>
  </r>
  <r>
    <s v="ABI BREWDAT GLOBAL GAI QA"/>
    <x v="1"/>
    <s v="Azure"/>
    <s v="Usage"/>
    <x v="25"/>
    <x v="41"/>
    <n v="2.5422507599999998E-4"/>
    <n v="2.43978E-4"/>
    <s v="EUR"/>
  </r>
  <r>
    <s v="ABI BREWDAT GLOBAL GAI QA"/>
    <x v="1"/>
    <s v="Azure"/>
    <s v="Usage"/>
    <x v="27"/>
    <x v="43"/>
    <n v="3.5212190338E-2"/>
    <n v="3.3792889E-2"/>
    <s v="EUR"/>
  </r>
  <r>
    <s v="ABI BREWDAT GLOBAL GAI QA"/>
    <x v="1"/>
    <s v="Azure"/>
    <s v="Usage"/>
    <x v="27"/>
    <x v="44"/>
    <n v="0.57784985550919998"/>
    <n v="0.5545584026"/>
    <s v="EUR"/>
  </r>
  <r>
    <s v="ABI BREWDAT GLOBAL GAI QA"/>
    <x v="1"/>
    <s v="Azure"/>
    <s v="Usage"/>
    <x v="27"/>
    <x v="45"/>
    <n v="8.8124128200000001E-4"/>
    <n v="8.4572100000000002E-4"/>
    <s v="EUR"/>
  </r>
  <r>
    <s v="ABI BREWDAT GLOBAL GAI QA"/>
    <x v="1"/>
    <s v="Azure"/>
    <s v="Usage"/>
    <x v="27"/>
    <x v="48"/>
    <n v="2.2896544342000001E-3"/>
    <n v="2.1973651000000002E-3"/>
    <s v="EUR"/>
  </r>
  <r>
    <s v="ABI BREWDAT GLOBAL GAI QA"/>
    <x v="1"/>
    <s v="Azure"/>
    <s v="Usage"/>
    <x v="27"/>
    <x v="49"/>
    <n v="69.013735882820001"/>
    <n v="66.231992210000001"/>
    <s v="EUR"/>
  </r>
  <r>
    <s v="ABI BREWDAT GLOBAL GAI QA"/>
    <x v="1"/>
    <s v="Azure"/>
    <s v="Usage"/>
    <x v="27"/>
    <x v="51"/>
    <n v="5.024618822E-3"/>
    <n v="4.8220909999999997E-3"/>
    <s v="EUR"/>
  </r>
  <r>
    <s v="ABI BREWDAT GLOBAL GAI QA"/>
    <x v="1"/>
    <s v="Azure"/>
    <s v="Usage"/>
    <x v="27"/>
    <x v="53"/>
    <n v="4.6064778529229997"/>
    <n v="4.4208040815"/>
    <s v="EUR"/>
  </r>
  <r>
    <s v="ABI BREWDAT GLOBAL GAI QA"/>
    <x v="1"/>
    <s v="Azure"/>
    <s v="Usage"/>
    <x v="27"/>
    <x v="54"/>
    <n v="0"/>
    <n v="0"/>
    <s v="EUR"/>
  </r>
  <r>
    <s v="ABI BREWDAT GLOBAL GAI QA"/>
    <x v="1"/>
    <s v="Azure"/>
    <s v="Usage"/>
    <x v="27"/>
    <x v="55"/>
    <n v="3.8737953637999999E-3"/>
    <n v="3.7176538999999999E-3"/>
    <s v="EUR"/>
  </r>
  <r>
    <s v="ABI BREWDAT GLOBAL GAI QA"/>
    <x v="1"/>
    <s v="Azure"/>
    <s v="Usage"/>
    <x v="28"/>
    <x v="58"/>
    <n v="474.85723998488601"/>
    <n v="455.71712090680001"/>
    <s v="EUR"/>
  </r>
  <r>
    <s v="ABI BREWDAT GLOBAL GAI QA"/>
    <x v="1"/>
    <s v="Azure"/>
    <s v="Usage"/>
    <x v="28"/>
    <x v="59"/>
    <n v="94.9103878584"/>
    <n v="91.084825199999997"/>
    <s v="EUR"/>
  </r>
  <r>
    <s v="ABI BREWDAT GLOBAL GAI QA"/>
    <x v="1"/>
    <s v="Azure"/>
    <s v="Usage"/>
    <x v="28"/>
    <x v="61"/>
    <n v="89.639796225279994"/>
    <n v="86.026675839999996"/>
    <s v="EUR"/>
  </r>
  <r>
    <s v="ABI BREWDAT GLOBAL GAI QA"/>
    <x v="1"/>
    <s v="Azure"/>
    <s v="Usage"/>
    <x v="29"/>
    <x v="66"/>
    <n v="11.1335616"/>
    <n v="10.684799999999999"/>
    <s v="EUR"/>
  </r>
  <r>
    <s v="ABI BREWDAT GLOBAL GAI QA"/>
    <x v="1"/>
    <s v="Azure"/>
    <s v="Usage"/>
    <x v="29"/>
    <x v="67"/>
    <n v="85.513480254468405"/>
    <n v="82.066679706783503"/>
    <s v="EUR"/>
  </r>
  <r>
    <s v="ABI BREWDAT GLOBAL GAI QA"/>
    <x v="1"/>
    <s v="Azure"/>
    <s v="Usage"/>
    <x v="31"/>
    <x v="72"/>
    <n v="27.688023999999999"/>
    <n v="26.571999999999999"/>
    <s v="EUR"/>
  </r>
  <r>
    <s v="ABI BREWDAT GLOBAL GAI QA"/>
    <x v="2"/>
    <s v="Azure"/>
    <s v="Usage"/>
    <x v="0"/>
    <x v="0"/>
    <n v="23.059666199999999"/>
    <n v="21.948"/>
    <s v="EUR"/>
  </r>
  <r>
    <s v="ABI BREWDAT GLOBAL GAI QA"/>
    <x v="2"/>
    <s v="Azure"/>
    <s v="Usage"/>
    <x v="1"/>
    <x v="1"/>
    <n v="174.417061668"/>
    <n v="166.00872000000001"/>
    <s v="EUR"/>
  </r>
  <r>
    <s v="ABI BREWDAT GLOBAL GAI QA"/>
    <x v="2"/>
    <s v="Azure"/>
    <s v="Usage"/>
    <x v="2"/>
    <x v="2"/>
    <n v="0"/>
    <n v="0"/>
    <s v="EUR"/>
  </r>
  <r>
    <s v="ABI BREWDAT GLOBAL GAI QA"/>
    <x v="2"/>
    <s v="Azure"/>
    <s v="Usage"/>
    <x v="2"/>
    <x v="3"/>
    <n v="626.91024719999996"/>
    <n v="596.68799999999999"/>
    <s v="EUR"/>
  </r>
  <r>
    <s v="ABI BREWDAT GLOBAL GAI QA"/>
    <x v="2"/>
    <s v="Azure"/>
    <s v="Usage"/>
    <x v="2"/>
    <x v="4"/>
    <n v="87.548563200000004"/>
    <n v="83.328000000000003"/>
    <s v="EUR"/>
  </r>
  <r>
    <s v="ABI BREWDAT GLOBAL GAI QA"/>
    <x v="2"/>
    <s v="Azure"/>
    <s v="Usage"/>
    <x v="2"/>
    <x v="5"/>
    <n v="5.6827326920547998"/>
    <n v="5.4087780821917804"/>
    <s v="EUR"/>
  </r>
  <r>
    <s v="ABI BREWDAT GLOBAL GAI QA"/>
    <x v="2"/>
    <s v="Azure"/>
    <s v="Usage"/>
    <x v="6"/>
    <x v="9"/>
    <n v="0.31702949793899998"/>
    <n v="0.30174605999999998"/>
    <s v="EUR"/>
  </r>
  <r>
    <s v="ABI BREWDAT GLOBAL GAI QA"/>
    <x v="2"/>
    <s v="Azure"/>
    <s v="Usage"/>
    <x v="7"/>
    <x v="10"/>
    <n v="1.42573205E-4"/>
    <n v="1.3569999999999999E-4"/>
    <s v="EUR"/>
  </r>
  <r>
    <s v="ABI BREWDAT GLOBAL GAI QA"/>
    <x v="2"/>
    <s v="Azure"/>
    <s v="Usage"/>
    <x v="8"/>
    <x v="11"/>
    <n v="2.71656064"/>
    <n v="2.5855999999999999"/>
    <s v="EUR"/>
  </r>
  <r>
    <s v="ABI BREWDAT GLOBAL GAI QA"/>
    <x v="2"/>
    <s v="Azure"/>
    <s v="Usage"/>
    <x v="8"/>
    <x v="13"/>
    <n v="187.29139056"/>
    <n v="178.26240000000001"/>
    <s v="EUR"/>
  </r>
  <r>
    <s v="ABI BREWDAT GLOBAL GAI QA"/>
    <x v="2"/>
    <s v="Azure"/>
    <s v="Usage"/>
    <x v="10"/>
    <x v="16"/>
    <n v="67.385269492943294"/>
    <n v="64.136743437817799"/>
    <s v="EUR"/>
  </r>
  <r>
    <s v="ABI BREWDAT GLOBAL GAI QA"/>
    <x v="2"/>
    <s v="Azure"/>
    <s v="Usage"/>
    <x v="12"/>
    <x v="18"/>
    <n v="9.0897462195066198E-2"/>
    <n v="8.6515454428274102E-2"/>
    <s v="EUR"/>
  </r>
  <r>
    <s v="ABI BREWDAT GLOBAL GAI QA"/>
    <x v="2"/>
    <s v="Azure"/>
    <s v="Usage"/>
    <x v="12"/>
    <x v="19"/>
    <n v="0.18862574619897801"/>
    <n v="0.179532428686031"/>
    <s v="EUR"/>
  </r>
  <r>
    <s v="ABI BREWDAT GLOBAL GAI QA"/>
    <x v="2"/>
    <s v="Azure"/>
    <s v="Usage"/>
    <x v="14"/>
    <x v="21"/>
    <n v="28.835670041614399"/>
    <n v="27.445552792665801"/>
    <s v="EUR"/>
  </r>
  <r>
    <s v="ABI BREWDAT GLOBAL GAI QA"/>
    <x v="2"/>
    <s v="Azure"/>
    <s v="Usage"/>
    <x v="16"/>
    <x v="23"/>
    <n v="1.1022537253999999E-3"/>
    <n v="1.0491159999999999E-3"/>
    <s v="EUR"/>
  </r>
  <r>
    <s v="ABI BREWDAT GLOBAL GAI QA"/>
    <x v="2"/>
    <s v="Azure"/>
    <s v="Usage"/>
    <x v="17"/>
    <x v="24"/>
    <n v="12.428769239999999"/>
    <n v="11.829599999999999"/>
    <s v="EUR"/>
  </r>
  <r>
    <s v="ABI BREWDAT GLOBAL GAI QA"/>
    <x v="2"/>
    <s v="Azure"/>
    <s v="Usage"/>
    <x v="18"/>
    <x v="25"/>
    <n v="2.2198648018500002E-2"/>
    <n v="2.112849E-2"/>
    <s v="EUR"/>
  </r>
  <r>
    <s v="ABI BREWDAT GLOBAL GAI QA"/>
    <x v="2"/>
    <s v="Azure"/>
    <s v="Usage"/>
    <x v="19"/>
    <x v="26"/>
    <n v="10.4965226749247"/>
    <n v="9.9905036643265799"/>
    <s v="EUR"/>
  </r>
  <r>
    <s v="ABI BREWDAT GLOBAL GAI QA"/>
    <x v="2"/>
    <s v="Azure"/>
    <s v="Usage"/>
    <x v="20"/>
    <x v="27"/>
    <n v="11.4454779167613"/>
    <n v="10.8937114326953"/>
    <s v="EUR"/>
  </r>
  <r>
    <s v="ABI BREWDAT GLOBAL GAI QA"/>
    <x v="2"/>
    <s v="Azure"/>
    <s v="Usage"/>
    <x v="21"/>
    <x v="28"/>
    <n v="70.326949296500004"/>
    <n v="66.936610000000002"/>
    <s v="EUR"/>
  </r>
  <r>
    <s v="ABI BREWDAT GLOBAL GAI QA"/>
    <x v="2"/>
    <s v="Azure"/>
    <s v="Usage"/>
    <x v="21"/>
    <x v="29"/>
    <n v="91.144307760000004"/>
    <n v="86.750399999999999"/>
    <s v="EUR"/>
  </r>
  <r>
    <s v="ABI BREWDAT GLOBAL GAI QA"/>
    <x v="2"/>
    <s v="Azure"/>
    <s v="Usage"/>
    <x v="21"/>
    <x v="30"/>
    <n v="0.3134551236"/>
    <n v="0.298344"/>
    <s v="EUR"/>
  </r>
  <r>
    <s v="ABI BREWDAT GLOBAL GAI QA"/>
    <x v="2"/>
    <s v="Azure"/>
    <s v="Usage"/>
    <x v="21"/>
    <x v="31"/>
    <n v="9.2982525000000003"/>
    <n v="8.85"/>
    <s v="EUR"/>
  </r>
  <r>
    <s v="ABI BREWDAT GLOBAL GAI QA"/>
    <x v="2"/>
    <s v="Azure"/>
    <s v="Usage"/>
    <x v="21"/>
    <x v="32"/>
    <n v="3.1806705684000001"/>
    <n v="3.027336"/>
    <s v="EUR"/>
  </r>
  <r>
    <s v="ABI BREWDAT GLOBAL GAI QA"/>
    <x v="2"/>
    <s v="Azure"/>
    <s v="Usage"/>
    <x v="21"/>
    <x v="34"/>
    <n v="22.262348928000002"/>
    <n v="21.189119999999999"/>
    <s v="EUR"/>
  </r>
  <r>
    <s v="ABI BREWDAT GLOBAL GAI QA"/>
    <x v="2"/>
    <s v="Azure"/>
    <s v="Usage"/>
    <x v="21"/>
    <x v="35"/>
    <n v="32.28353268"/>
    <n v="30.7272"/>
    <s v="EUR"/>
  </r>
  <r>
    <s v="ABI BREWDAT GLOBAL GAI QA"/>
    <x v="2"/>
    <s v="Azure"/>
    <s v="Usage"/>
    <x v="25"/>
    <x v="41"/>
    <n v="2.8652171084999999E-4"/>
    <n v="2.7270899999999999E-4"/>
    <s v="EUR"/>
  </r>
  <r>
    <s v="ABI BREWDAT GLOBAL GAI QA"/>
    <x v="2"/>
    <s v="Azure"/>
    <s v="Usage"/>
    <x v="27"/>
    <x v="43"/>
    <n v="3.0508334477650001E-2"/>
    <n v="2.9037581E-2"/>
    <s v="EUR"/>
  </r>
  <r>
    <s v="ABI BREWDAT GLOBAL GAI QA"/>
    <x v="2"/>
    <s v="Azure"/>
    <s v="Usage"/>
    <x v="27"/>
    <x v="44"/>
    <n v="1.7200387239113399"/>
    <n v="1.6371186635999999"/>
    <s v="EUR"/>
  </r>
  <r>
    <s v="ABI BREWDAT GLOBAL GAI QA"/>
    <x v="2"/>
    <s v="Azure"/>
    <s v="Usage"/>
    <x v="27"/>
    <x v="45"/>
    <n v="5.7144958564999998E-4"/>
    <n v="5.4390099999999995E-4"/>
    <s v="EUR"/>
  </r>
  <r>
    <s v="ABI BREWDAT GLOBAL GAI QA"/>
    <x v="2"/>
    <s v="Azure"/>
    <s v="Usage"/>
    <x v="27"/>
    <x v="48"/>
    <n v="2.0156635147349999E-3"/>
    <n v="1.9184918999999999E-3"/>
    <s v="EUR"/>
  </r>
  <r>
    <s v="ABI BREWDAT GLOBAL GAI QA"/>
    <x v="2"/>
    <s v="Azure"/>
    <s v="Usage"/>
    <x v="27"/>
    <x v="49"/>
    <n v="68.830824631578494"/>
    <n v="65.512610890000005"/>
    <s v="EUR"/>
  </r>
  <r>
    <s v="ABI BREWDAT GLOBAL GAI QA"/>
    <x v="2"/>
    <s v="Azure"/>
    <s v="Usage"/>
    <x v="27"/>
    <x v="51"/>
    <n v="4.7921365254000002E-3"/>
    <n v="4.5611159999999996E-3"/>
    <s v="EUR"/>
  </r>
  <r>
    <s v="ABI BREWDAT GLOBAL GAI QA"/>
    <x v="2"/>
    <s v="Azure"/>
    <s v="Usage"/>
    <x v="27"/>
    <x v="53"/>
    <n v="4.6905315212520797"/>
    <n v="4.4644091955"/>
    <s v="EUR"/>
  </r>
  <r>
    <s v="ABI BREWDAT GLOBAL GAI QA"/>
    <x v="2"/>
    <s v="Azure"/>
    <s v="Usage"/>
    <x v="27"/>
    <x v="54"/>
    <n v="0"/>
    <n v="0"/>
    <s v="EUR"/>
  </r>
  <r>
    <s v="ABI BREWDAT GLOBAL GAI QA"/>
    <x v="2"/>
    <s v="Azure"/>
    <s v="Usage"/>
    <x v="27"/>
    <x v="55"/>
    <n v="8.842487359225E-3"/>
    <n v="8.4162065000000005E-3"/>
    <s v="EUR"/>
  </r>
  <r>
    <s v="ABI BREWDAT GLOBAL GAI QA"/>
    <x v="2"/>
    <s v="Azure"/>
    <s v="Usage"/>
    <x v="28"/>
    <x v="58"/>
    <n v="530.05016074247703"/>
    <n v="504.49736900250002"/>
    <s v="EUR"/>
  </r>
  <r>
    <s v="ABI BREWDAT GLOBAL GAI QA"/>
    <x v="2"/>
    <s v="Azure"/>
    <s v="Usage"/>
    <x v="28"/>
    <x v="59"/>
    <n v="105.99155282574699"/>
    <n v="100.8818853336"/>
    <s v="EUR"/>
  </r>
  <r>
    <s v="ABI BREWDAT GLOBAL GAI QA"/>
    <x v="2"/>
    <s v="Azure"/>
    <s v="Usage"/>
    <x v="28"/>
    <x v="61"/>
    <n v="100.056628239907"/>
    <n v="95.233073087999998"/>
    <s v="EUR"/>
  </r>
  <r>
    <s v="ABI BREWDAT GLOBAL GAI QA"/>
    <x v="2"/>
    <s v="Azure"/>
    <s v="Usage"/>
    <x v="29"/>
    <x v="66"/>
    <n v="12.428769239999999"/>
    <n v="11.829599999999999"/>
    <s v="EUR"/>
  </r>
  <r>
    <s v="ABI BREWDAT GLOBAL GAI QA"/>
    <x v="2"/>
    <s v="Azure"/>
    <s v="Usage"/>
    <x v="29"/>
    <x v="67"/>
    <n v="95.466743598381797"/>
    <n v="90.864458762082407"/>
    <s v="EUR"/>
  </r>
  <r>
    <s v="ABI BREWDAT GLOBAL GAI QA"/>
    <x v="2"/>
    <s v="Azure"/>
    <s v="Usage"/>
    <x v="31"/>
    <x v="72"/>
    <n v="30.909072349999999"/>
    <n v="29.419"/>
    <s v="EUR"/>
  </r>
  <r>
    <s v="ABI BREWDAT GLOBAL GAI QA"/>
    <x v="3"/>
    <s v="Azure"/>
    <s v="Usage"/>
    <x v="0"/>
    <x v="0"/>
    <n v="22.934951999999999"/>
    <n v="21.24"/>
    <s v="EUR"/>
  </r>
  <r>
    <s v="ABI BREWDAT GLOBAL GAI QA"/>
    <x v="3"/>
    <s v="Azure"/>
    <s v="Usage"/>
    <x v="1"/>
    <x v="1"/>
    <n v="173.47375728"/>
    <n v="160.65360000000001"/>
    <s v="EUR"/>
  </r>
  <r>
    <s v="ABI BREWDAT GLOBAL GAI QA"/>
    <x v="3"/>
    <s v="Azure"/>
    <s v="Usage"/>
    <x v="2"/>
    <x v="2"/>
    <n v="0"/>
    <n v="0"/>
    <s v="EUR"/>
  </r>
  <r>
    <s v="ABI BREWDAT GLOBAL GAI QA"/>
    <x v="3"/>
    <s v="Azure"/>
    <s v="Usage"/>
    <x v="2"/>
    <x v="3"/>
    <n v="623.51971200000003"/>
    <n v="577.44000000000005"/>
    <s v="EUR"/>
  </r>
  <r>
    <s v="ABI BREWDAT GLOBAL GAI QA"/>
    <x v="3"/>
    <s v="Azure"/>
    <s v="Usage"/>
    <x v="2"/>
    <x v="4"/>
    <n v="87.075072000000006"/>
    <n v="80.64"/>
    <s v="EUR"/>
  </r>
  <r>
    <s v="ABI BREWDAT GLOBAL GAI QA"/>
    <x v="3"/>
    <s v="Azure"/>
    <s v="Usage"/>
    <x v="2"/>
    <x v="5"/>
    <n v="5.6362986230137002"/>
    <n v="5.2197616438356196"/>
    <s v="EUR"/>
  </r>
  <r>
    <s v="ABI BREWDAT GLOBAL GAI QA"/>
    <x v="3"/>
    <s v="Azure"/>
    <s v="Usage"/>
    <x v="6"/>
    <x v="9"/>
    <n v="0.31532690075896802"/>
    <n v="0.29202343096774203"/>
    <s v="EUR"/>
  </r>
  <r>
    <s v="ABI BREWDAT GLOBAL GAI QA"/>
    <x v="3"/>
    <s v="Azure"/>
    <s v="Usage"/>
    <x v="7"/>
    <x v="10"/>
    <n v="1.5289968000000001E-4"/>
    <n v="1.416E-4"/>
    <s v="EUR"/>
  </r>
  <r>
    <s v="ABI BREWDAT GLOBAL GAI QA"/>
    <x v="3"/>
    <s v="Azure"/>
    <s v="Usage"/>
    <x v="8"/>
    <x v="11"/>
    <n v="2.6981159982795702"/>
    <n v="2.4987182795698901"/>
    <s v="EUR"/>
  </r>
  <r>
    <s v="ABI BREWDAT GLOBAL GAI QA"/>
    <x v="3"/>
    <s v="Azure"/>
    <s v="Usage"/>
    <x v="8"/>
    <x v="13"/>
    <n v="186.01973752000001"/>
    <n v="172.2724"/>
    <s v="EUR"/>
  </r>
  <r>
    <s v="ABI BREWDAT GLOBAL GAI QA"/>
    <x v="3"/>
    <s v="Azure"/>
    <s v="Usage"/>
    <x v="10"/>
    <x v="16"/>
    <n v="39.691548945771501"/>
    <n v="36.758241290768197"/>
    <s v="EUR"/>
  </r>
  <r>
    <s v="ABI BREWDAT GLOBAL GAI QA"/>
    <x v="3"/>
    <s v="Azure"/>
    <s v="Usage"/>
    <x v="12"/>
    <x v="18"/>
    <n v="9.0561451045145902E-2"/>
    <n v="8.3868726657849599E-2"/>
    <s v="EUR"/>
  </r>
  <r>
    <s v="ABI BREWDAT GLOBAL GAI QA"/>
    <x v="3"/>
    <s v="Azure"/>
    <s v="Usage"/>
    <x v="12"/>
    <x v="19"/>
    <n v="0.23296830357208601"/>
    <n v="0.215751346149367"/>
    <s v="EUR"/>
  </r>
  <r>
    <s v="ABI BREWDAT GLOBAL GAI QA"/>
    <x v="3"/>
    <s v="Azure"/>
    <s v="Usage"/>
    <x v="14"/>
    <x v="21"/>
    <n v="28.6797173279231"/>
    <n v="26.5602123799992"/>
    <s v="EUR"/>
  </r>
  <r>
    <s v="ABI BREWDAT GLOBAL GAI QA"/>
    <x v="3"/>
    <s v="Azure"/>
    <s v="Usage"/>
    <x v="16"/>
    <x v="23"/>
    <n v="1.0924315003999999E-3"/>
    <n v="1.0116979999999999E-3"/>
    <s v="EUR"/>
  </r>
  <r>
    <s v="ABI BREWDAT GLOBAL GAI QA"/>
    <x v="3"/>
    <s v="Azure"/>
    <s v="Usage"/>
    <x v="17"/>
    <x v="24"/>
    <n v="12.3615504"/>
    <n v="11.448"/>
    <s v="EUR"/>
  </r>
  <r>
    <s v="ABI BREWDAT GLOBAL GAI QA"/>
    <x v="3"/>
    <s v="Azure"/>
    <s v="Usage"/>
    <x v="18"/>
    <x v="25"/>
    <n v="0.110483397522"/>
    <n v="0.10231839"/>
    <s v="EUR"/>
  </r>
  <r>
    <s v="ABI BREWDAT GLOBAL GAI QA"/>
    <x v="3"/>
    <s v="Azure"/>
    <s v="Usage"/>
    <x v="19"/>
    <x v="26"/>
    <n v="10.4419077564872"/>
    <n v="9.67022389006042"/>
    <s v="EUR"/>
  </r>
  <r>
    <s v="ABI BREWDAT GLOBAL GAI QA"/>
    <x v="3"/>
    <s v="Azure"/>
    <s v="Usage"/>
    <x v="20"/>
    <x v="27"/>
    <n v="11.0746732559364"/>
    <n v="10.2562263900133"/>
    <s v="EUR"/>
  </r>
  <r>
    <s v="ABI BREWDAT GLOBAL GAI QA"/>
    <x v="3"/>
    <s v="Azure"/>
    <s v="Usage"/>
    <x v="21"/>
    <x v="28"/>
    <n v="69.957045792000002"/>
    <n v="64.787040000000005"/>
    <s v="EUR"/>
  </r>
  <r>
    <s v="ABI BREWDAT GLOBAL GAI QA"/>
    <x v="3"/>
    <s v="Azure"/>
    <s v="Usage"/>
    <x v="21"/>
    <x v="29"/>
    <n v="90.651369599999995"/>
    <n v="83.951999999999998"/>
    <s v="EUR"/>
  </r>
  <r>
    <s v="ABI BREWDAT GLOBAL GAI QA"/>
    <x v="3"/>
    <s v="Azure"/>
    <s v="Usage"/>
    <x v="21"/>
    <x v="30"/>
    <n v="0.3113268562"/>
    <n v="0.28831899999999999"/>
    <s v="EUR"/>
  </r>
  <r>
    <s v="ABI BREWDAT GLOBAL GAI QA"/>
    <x v="3"/>
    <s v="Azure"/>
    <s v="Usage"/>
    <x v="21"/>
    <x v="31"/>
    <n v="9.2351201209677392"/>
    <n v="8.5526209677419391"/>
    <s v="EUR"/>
  </r>
  <r>
    <s v="ABI BREWDAT GLOBAL GAI QA"/>
    <x v="3"/>
    <s v="Azure"/>
    <s v="Usage"/>
    <x v="21"/>
    <x v="32"/>
    <n v="3.1634684640000001"/>
    <n v="2.9296799999999998"/>
    <s v="EUR"/>
  </r>
  <r>
    <s v="ABI BREWDAT GLOBAL GAI QA"/>
    <x v="3"/>
    <s v="Azure"/>
    <s v="Usage"/>
    <x v="21"/>
    <x v="34"/>
    <n v="22.111194176000001"/>
    <n v="20.477119999999999"/>
    <s v="EUR"/>
  </r>
  <r>
    <s v="ABI BREWDAT GLOBAL GAI QA"/>
    <x v="3"/>
    <s v="Azure"/>
    <s v="Usage"/>
    <x v="21"/>
    <x v="35"/>
    <n v="32.113392374"/>
    <n v="29.740130000000001"/>
    <s v="EUR"/>
  </r>
  <r>
    <s v="ABI BREWDAT GLOBAL GAI QA"/>
    <x v="3"/>
    <s v="Azure"/>
    <s v="Usage"/>
    <x v="25"/>
    <x v="41"/>
    <n v="2.7768784680000001E-4"/>
    <n v="2.5716600000000002E-4"/>
    <s v="EUR"/>
  </r>
  <r>
    <s v="ABI BREWDAT GLOBAL GAI QA"/>
    <x v="3"/>
    <s v="Azure"/>
    <s v="Usage"/>
    <x v="27"/>
    <x v="43"/>
    <n v="3.5153925608000002E-3"/>
    <n v="3.2555959999999999E-3"/>
    <s v="EUR"/>
  </r>
  <r>
    <s v="ABI BREWDAT GLOBAL GAI QA"/>
    <x v="3"/>
    <s v="Azure"/>
    <s v="Usage"/>
    <x v="27"/>
    <x v="44"/>
    <n v="1.67271483391576"/>
    <n v="1.5490969012"/>
    <s v="EUR"/>
  </r>
  <r>
    <s v="ABI BREWDAT GLOBAL GAI QA"/>
    <x v="3"/>
    <s v="Azure"/>
    <s v="Usage"/>
    <x v="27"/>
    <x v="45"/>
    <n v="5.1969046320000001E-4"/>
    <n v="4.8128400000000001E-4"/>
    <s v="EUR"/>
  </r>
  <r>
    <s v="ABI BREWDAT GLOBAL GAI QA"/>
    <x v="3"/>
    <s v="Azure"/>
    <s v="Usage"/>
    <x v="27"/>
    <x v="48"/>
    <n v="3.1794149504000001E-4"/>
    <n v="2.9444479999999999E-4"/>
    <s v="EUR"/>
  </r>
  <r>
    <s v="ABI BREWDAT GLOBAL GAI QA"/>
    <x v="3"/>
    <s v="Azure"/>
    <s v="Usage"/>
    <x v="27"/>
    <x v="49"/>
    <n v="65.043162970446005"/>
    <n v="60.236305770000001"/>
    <s v="EUR"/>
  </r>
  <r>
    <s v="ABI BREWDAT GLOBAL GAI QA"/>
    <x v="3"/>
    <s v="Azure"/>
    <s v="Usage"/>
    <x v="27"/>
    <x v="51"/>
    <n v="2.3339661039999999E-4"/>
    <n v="2.1614799999999999E-4"/>
    <s v="EUR"/>
  </r>
  <r>
    <s v="ABI BREWDAT GLOBAL GAI QA"/>
    <x v="3"/>
    <s v="Azure"/>
    <s v="Usage"/>
    <x v="27"/>
    <x v="53"/>
    <n v="4.901826563008"/>
    <n v="4.5395689600000004"/>
    <s v="EUR"/>
  </r>
  <r>
    <s v="ABI BREWDAT GLOBAL GAI QA"/>
    <x v="3"/>
    <s v="Azure"/>
    <s v="Usage"/>
    <x v="27"/>
    <x v="54"/>
    <n v="0"/>
    <n v="0"/>
    <s v="EUR"/>
  </r>
  <r>
    <s v="ABI BREWDAT GLOBAL GAI QA"/>
    <x v="3"/>
    <s v="Azure"/>
    <s v="Usage"/>
    <x v="27"/>
    <x v="55"/>
    <n v="7.9589881123200007E-3"/>
    <n v="7.3707983999999997E-3"/>
    <s v="EUR"/>
  </r>
  <r>
    <s v="ABI BREWDAT GLOBAL GAI QA"/>
    <x v="3"/>
    <s v="Azure"/>
    <s v="Usage"/>
    <x v="28"/>
    <x v="58"/>
    <n v="527.23686731370401"/>
    <n v="488.2727054211"/>
    <s v="EUR"/>
  </r>
  <r>
    <s v="ABI BREWDAT GLOBAL GAI QA"/>
    <x v="3"/>
    <s v="Azure"/>
    <s v="Usage"/>
    <x v="28"/>
    <x v="59"/>
    <n v="105.42059613161101"/>
    <n v="97.629742666799999"/>
    <s v="EUR"/>
  </r>
  <r>
    <s v="ABI BREWDAT GLOBAL GAI QA"/>
    <x v="3"/>
    <s v="Azure"/>
    <s v="Usage"/>
    <x v="28"/>
    <x v="61"/>
    <n v="99.522437578636797"/>
    <n v="92.167473216000005"/>
    <s v="EUR"/>
  </r>
  <r>
    <s v="ABI BREWDAT GLOBAL GAI QA"/>
    <x v="3"/>
    <s v="Azure"/>
    <s v="Usage"/>
    <x v="29"/>
    <x v="66"/>
    <n v="12.3615504"/>
    <n v="11.448"/>
    <s v="EUR"/>
  </r>
  <r>
    <s v="ABI BREWDAT GLOBAL GAI QA"/>
    <x v="3"/>
    <s v="Azure"/>
    <s v="Usage"/>
    <x v="29"/>
    <x v="67"/>
    <n v="94.966103149833302"/>
    <n v="87.947863631999695"/>
    <s v="EUR"/>
  </r>
  <r>
    <s v="ABI BREWDAT GLOBAL GAI QA"/>
    <x v="3"/>
    <s v="Azure"/>
    <s v="Usage"/>
    <x v="31"/>
    <x v="72"/>
    <n v="30.741906"/>
    <n v="28.47"/>
    <s v="EUR"/>
  </r>
  <r>
    <s v="ABI BREWDAT GLOBAL GAI QA"/>
    <x v="4"/>
    <s v="Azure"/>
    <s v="Usage"/>
    <x v="0"/>
    <x v="0"/>
    <n v="24.974629199999999"/>
    <n v="21.948"/>
    <s v="EUR"/>
  </r>
  <r>
    <s v="ABI BREWDAT GLOBAL GAI QA"/>
    <x v="4"/>
    <s v="Azure"/>
    <s v="Usage"/>
    <x v="1"/>
    <x v="1"/>
    <n v="188.90132248800001"/>
    <n v="166.00872000000001"/>
    <s v="EUR"/>
  </r>
  <r>
    <s v="ABI BREWDAT GLOBAL GAI QA"/>
    <x v="4"/>
    <s v="Azure"/>
    <s v="Usage"/>
    <x v="2"/>
    <x v="2"/>
    <n v="0"/>
    <n v="0"/>
    <s v="EUR"/>
  </r>
  <r>
    <s v="ABI BREWDAT GLOBAL GAI QA"/>
    <x v="4"/>
    <s v="Azure"/>
    <s v="Usage"/>
    <x v="2"/>
    <x v="3"/>
    <n v="678.97127520000004"/>
    <n v="596.68799999999999"/>
    <s v="EUR"/>
  </r>
  <r>
    <s v="ABI BREWDAT GLOBAL GAI QA"/>
    <x v="4"/>
    <s v="Azure"/>
    <s v="Usage"/>
    <x v="2"/>
    <x v="4"/>
    <n v="94.818931199999994"/>
    <n v="83.328000000000003"/>
    <s v="EUR"/>
  </r>
  <r>
    <s v="ABI BREWDAT GLOBAL GAI QA"/>
    <x v="4"/>
    <s v="Azure"/>
    <s v="Usage"/>
    <x v="2"/>
    <x v="5"/>
    <n v="6.1546485797260297"/>
    <n v="5.4087780821917804"/>
    <s v="EUR"/>
  </r>
  <r>
    <s v="ABI BREWDAT GLOBAL GAI QA"/>
    <x v="4"/>
    <s v="Azure"/>
    <s v="Usage"/>
    <x v="6"/>
    <x v="9"/>
    <n v="0.34680656303640001"/>
    <n v="0.30477771599999998"/>
    <s v="EUR"/>
  </r>
  <r>
    <s v="ABI BREWDAT GLOBAL GAI QA"/>
    <x v="4"/>
    <s v="Azure"/>
    <s v="Usage"/>
    <x v="7"/>
    <x v="10"/>
    <n v="1.6784025E-4"/>
    <n v="1.4750000000000001E-4"/>
    <s v="EUR"/>
  </r>
  <r>
    <s v="ABI BREWDAT GLOBAL GAI QA"/>
    <x v="4"/>
    <s v="Azure"/>
    <s v="Usage"/>
    <x v="8"/>
    <x v="11"/>
    <n v="2.9421542399999998"/>
    <n v="2.5855999999999999"/>
    <s v="EUR"/>
  </r>
  <r>
    <s v="ABI BREWDAT GLOBAL GAI QA"/>
    <x v="4"/>
    <s v="Azure"/>
    <s v="Usage"/>
    <x v="8"/>
    <x v="13"/>
    <n v="202.84478496"/>
    <n v="178.26240000000001"/>
    <s v="EUR"/>
  </r>
  <r>
    <s v="ABI BREWDAT GLOBAL GAI QA"/>
    <x v="4"/>
    <s v="Azure"/>
    <s v="Usage"/>
    <x v="10"/>
    <x v="16"/>
    <n v="45.573409317317498"/>
    <n v="40.050451988151401"/>
    <s v="EUR"/>
  </r>
  <r>
    <s v="ABI BREWDAT GLOBAL GAI QA"/>
    <x v="4"/>
    <s v="Azure"/>
    <s v="Usage"/>
    <x v="12"/>
    <x v="18"/>
    <n v="0.110344095323029"/>
    <n v="9.6971698148369201E-2"/>
    <s v="EUR"/>
  </r>
  <r>
    <s v="ABI BREWDAT GLOBAL GAI QA"/>
    <x v="4"/>
    <s v="Azure"/>
    <s v="Usage"/>
    <x v="12"/>
    <x v="19"/>
    <n v="0.39897808739313501"/>
    <n v="0.35062666964859401"/>
    <s v="EUR"/>
  </r>
  <r>
    <s v="ABI BREWDAT GLOBAL GAI QA"/>
    <x v="4"/>
    <s v="Azure"/>
    <s v="Usage"/>
    <x v="14"/>
    <x v="21"/>
    <n v="31.2302945227745"/>
    <n v="27.445552792665801"/>
    <s v="EUR"/>
  </r>
  <r>
    <s v="ABI BREWDAT GLOBAL GAI QA"/>
    <x v="4"/>
    <s v="Azure"/>
    <s v="Usage"/>
    <x v="16"/>
    <x v="23"/>
    <n v="1.1897723093999999E-3"/>
    <n v="1.045586E-3"/>
    <s v="EUR"/>
  </r>
  <r>
    <s v="ABI BREWDAT GLOBAL GAI QA"/>
    <x v="4"/>
    <s v="Azure"/>
    <s v="Usage"/>
    <x v="17"/>
    <x v="24"/>
    <n v="13.46090184"/>
    <n v="11.829599999999999"/>
    <s v="EUR"/>
  </r>
  <r>
    <s v="ABI BREWDAT GLOBAL GAI QA"/>
    <x v="4"/>
    <s v="Azure"/>
    <s v="Usage"/>
    <x v="18"/>
    <x v="25"/>
    <n v="59.093990782784999"/>
    <n v="51.932499149999998"/>
    <s v="EUR"/>
  </r>
  <r>
    <s v="ABI BREWDAT GLOBAL GAI QA"/>
    <x v="4"/>
    <s v="Azure"/>
    <s v="Usage"/>
    <x v="19"/>
    <x v="26"/>
    <n v="11.369304688961099"/>
    <n v="9.99147964580464"/>
    <s v="EUR"/>
  </r>
  <r>
    <s v="ABI BREWDAT GLOBAL GAI QA"/>
    <x v="4"/>
    <s v="Azure"/>
    <s v="Usage"/>
    <x v="20"/>
    <x v="27"/>
    <n v="11.352231195680799"/>
    <n v="9.9764752576507192"/>
    <s v="EUR"/>
  </r>
  <r>
    <s v="ABI BREWDAT GLOBAL GAI QA"/>
    <x v="4"/>
    <s v="Azure"/>
    <s v="Usage"/>
    <x v="21"/>
    <x v="28"/>
    <n v="75.803113344600007"/>
    <n v="66.616674000000003"/>
    <s v="EUR"/>
  </r>
  <r>
    <s v="ABI BREWDAT GLOBAL GAI QA"/>
    <x v="4"/>
    <s v="Azure"/>
    <s v="Usage"/>
    <x v="21"/>
    <x v="29"/>
    <n v="98.580601020000003"/>
    <n v="86.633799999999994"/>
    <s v="EUR"/>
  </r>
  <r>
    <s v="ABI BREWDAT GLOBAL GAI QA"/>
    <x v="4"/>
    <s v="Azure"/>
    <s v="Usage"/>
    <x v="21"/>
    <x v="30"/>
    <n v="0.3394856376"/>
    <n v="0.298344"/>
    <s v="EUR"/>
  </r>
  <r>
    <s v="ABI BREWDAT GLOBAL GAI QA"/>
    <x v="4"/>
    <s v="Azure"/>
    <s v="Usage"/>
    <x v="21"/>
    <x v="31"/>
    <n v="10.043343991935499"/>
    <n v="8.8262096774193601"/>
    <s v="EUR"/>
  </r>
  <r>
    <s v="ABI BREWDAT GLOBAL GAI QA"/>
    <x v="4"/>
    <s v="Azure"/>
    <s v="Usage"/>
    <x v="21"/>
    <x v="32"/>
    <n v="3.4401755192999999"/>
    <n v="3.0232670000000001"/>
    <s v="EUR"/>
  </r>
  <r>
    <s v="ABI BREWDAT GLOBAL GAI QA"/>
    <x v="4"/>
    <s v="Azure"/>
    <s v="Usage"/>
    <x v="21"/>
    <x v="34"/>
    <n v="24.111099648"/>
    <n v="21.189119999999999"/>
    <s v="EUR"/>
  </r>
  <r>
    <s v="ABI BREWDAT GLOBAL GAI QA"/>
    <x v="4"/>
    <s v="Azure"/>
    <s v="Usage"/>
    <x v="21"/>
    <x v="35"/>
    <n v="34.884588921000002"/>
    <n v="30.65699"/>
    <s v="EUR"/>
  </r>
  <r>
    <s v="ABI BREWDAT GLOBAL GAI QA"/>
    <x v="4"/>
    <s v="Azure"/>
    <s v="Usage"/>
    <x v="25"/>
    <x v="41"/>
    <n v="2.9798870039999999E-4"/>
    <n v="2.6187600000000002E-4"/>
    <s v="EUR"/>
  </r>
  <r>
    <s v="ABI BREWDAT GLOBAL GAI QA"/>
    <x v="4"/>
    <s v="Azure"/>
    <s v="Usage"/>
    <x v="27"/>
    <x v="43"/>
    <n v="3.8651652387000001E-3"/>
    <n v="3.3967530000000002E-3"/>
    <s v="EUR"/>
  </r>
  <r>
    <s v="ABI BREWDAT GLOBAL GAI QA"/>
    <x v="4"/>
    <s v="Azure"/>
    <s v="Usage"/>
    <x v="27"/>
    <x v="44"/>
    <n v="9.1926160263352799"/>
    <n v="8.0785798631999999"/>
    <s v="EUR"/>
  </r>
  <r>
    <s v="ABI BREWDAT GLOBAL GAI QA"/>
    <x v="4"/>
    <s v="Azure"/>
    <s v="Usage"/>
    <x v="27"/>
    <x v="45"/>
    <n v="4.0117574819999998E-4"/>
    <n v="3.5255799999999999E-4"/>
    <s v="EUR"/>
  </r>
  <r>
    <s v="ABI BREWDAT GLOBAL GAI QA"/>
    <x v="4"/>
    <s v="Azure"/>
    <s v="Usage"/>
    <x v="27"/>
    <x v="48"/>
    <n v="3.7692983016000001E-4"/>
    <n v="3.3125039999999998E-4"/>
    <s v="EUR"/>
  </r>
  <r>
    <s v="ABI BREWDAT GLOBAL GAI QA"/>
    <x v="4"/>
    <s v="Azure"/>
    <s v="Usage"/>
    <x v="27"/>
    <x v="49"/>
    <n v="68.576843801088003"/>
    <n v="60.266142719999998"/>
    <s v="EUR"/>
  </r>
  <r>
    <s v="ABI BREWDAT GLOBAL GAI QA"/>
    <x v="4"/>
    <s v="Azure"/>
    <s v="Usage"/>
    <x v="27"/>
    <x v="51"/>
    <n v="2.7280469759999998E-4"/>
    <n v="2.3974399999999999E-4"/>
    <s v="EUR"/>
  </r>
  <r>
    <s v="ABI BREWDAT GLOBAL GAI QA"/>
    <x v="4"/>
    <s v="Azure"/>
    <s v="Usage"/>
    <x v="27"/>
    <x v="53"/>
    <n v="5.5030484846110497"/>
    <n v="4.8361441994999996"/>
    <s v="EUR"/>
  </r>
  <r>
    <s v="ABI BREWDAT GLOBAL GAI QA"/>
    <x v="4"/>
    <s v="Azure"/>
    <s v="Usage"/>
    <x v="27"/>
    <x v="54"/>
    <n v="0"/>
    <n v="0"/>
    <s v="EUR"/>
  </r>
  <r>
    <s v="ABI BREWDAT GLOBAL GAI QA"/>
    <x v="4"/>
    <s v="Azure"/>
    <s v="Usage"/>
    <x v="27"/>
    <x v="55"/>
    <n v="7.8545637822299997E-3"/>
    <n v="6.9026837000000004E-3"/>
    <s v="EUR"/>
  </r>
  <r>
    <s v="ABI BREWDAT GLOBAL GAI QA"/>
    <x v="4"/>
    <s v="Azure"/>
    <s v="Usage"/>
    <x v="28"/>
    <x v="58"/>
    <n v="573.80521333850697"/>
    <n v="504.2668189986"/>
    <s v="EUR"/>
  </r>
  <r>
    <s v="ABI BREWDAT GLOBAL GAI QA"/>
    <x v="4"/>
    <s v="Azure"/>
    <s v="Usage"/>
    <x v="28"/>
    <x v="59"/>
    <n v="114.79863456"/>
    <n v="100.88639999999999"/>
    <s v="EUR"/>
  </r>
  <r>
    <s v="ABI BREWDAT GLOBAL GAI QA"/>
    <x v="4"/>
    <s v="Azure"/>
    <s v="Usage"/>
    <x v="28"/>
    <x v="61"/>
    <n v="108.348732539078"/>
    <n v="95.218149695999998"/>
    <s v="EUR"/>
  </r>
  <r>
    <s v="ABI BREWDAT GLOBAL GAI QA"/>
    <x v="4"/>
    <s v="Azure"/>
    <s v="Usage"/>
    <x v="29"/>
    <x v="66"/>
    <n v="13.46090184"/>
    <n v="11.829599999999999"/>
    <s v="EUR"/>
  </r>
  <r>
    <s v="ABI BREWDAT GLOBAL GAI QA"/>
    <x v="4"/>
    <s v="Azure"/>
    <s v="Usage"/>
    <x v="29"/>
    <x v="67"/>
    <n v="104.16231254875299"/>
    <n v="91.539074214564295"/>
    <s v="EUR"/>
  </r>
  <r>
    <s v="ABI BREWDAT GLOBAL GAI QA"/>
    <x v="4"/>
    <s v="Azure"/>
    <s v="Usage"/>
    <x v="31"/>
    <x v="72"/>
    <n v="33.475880099999998"/>
    <n v="29.419"/>
    <s v="EUR"/>
  </r>
  <r>
    <s v="ABI BREWDAT GLOBAL GAI QA"/>
    <x v="5"/>
    <s v="Azure"/>
    <s v="Usage"/>
    <x v="0"/>
    <x v="0"/>
    <n v="24.005448000000001"/>
    <n v="21.24"/>
    <s v="EUR"/>
  </r>
  <r>
    <s v="ABI BREWDAT GLOBAL GAI QA"/>
    <x v="5"/>
    <s v="Azure"/>
    <s v="Usage"/>
    <x v="1"/>
    <x v="1"/>
    <n v="181.532858996111"/>
    <n v="160.62011944444399"/>
    <s v="EUR"/>
  </r>
  <r>
    <s v="ABI BREWDAT GLOBAL GAI QA"/>
    <x v="5"/>
    <s v="Azure"/>
    <s v="Usage"/>
    <x v="2"/>
    <x v="2"/>
    <n v="0"/>
    <n v="0"/>
    <s v="EUR"/>
  </r>
  <r>
    <s v="ABI BREWDAT GLOBAL GAI QA"/>
    <x v="5"/>
    <s v="Azure"/>
    <s v="Usage"/>
    <x v="2"/>
    <x v="3"/>
    <n v="652.62268800000004"/>
    <n v="577.44000000000005"/>
    <s v="EUR"/>
  </r>
  <r>
    <s v="ABI BREWDAT GLOBAL GAI QA"/>
    <x v="5"/>
    <s v="Azure"/>
    <s v="Usage"/>
    <x v="2"/>
    <x v="4"/>
    <n v="91.139328000000006"/>
    <n v="80.64"/>
    <s v="EUR"/>
  </r>
  <r>
    <s v="ABI BREWDAT GLOBAL GAI QA"/>
    <x v="5"/>
    <s v="Azure"/>
    <s v="Usage"/>
    <x v="2"/>
    <x v="5"/>
    <n v="5.9075910090411003"/>
    <n v="5.2270315068493201"/>
    <s v="EUR"/>
  </r>
  <r>
    <s v="ABI BREWDAT GLOBAL GAI QA"/>
    <x v="5"/>
    <s v="Azure"/>
    <s v="Usage"/>
    <x v="6"/>
    <x v="9"/>
    <n v="0.33664798024294201"/>
    <n v="0.29786584696774199"/>
    <s v="EUR"/>
  </r>
  <r>
    <s v="ABI BREWDAT GLOBAL GAI QA"/>
    <x v="5"/>
    <s v="Azure"/>
    <s v="Usage"/>
    <x v="7"/>
    <x v="10"/>
    <n v="1.8004086E-4"/>
    <n v="1.593E-4"/>
    <s v="EUR"/>
  </r>
  <r>
    <s v="ABI BREWDAT GLOBAL GAI QA"/>
    <x v="5"/>
    <s v="Azure"/>
    <s v="Usage"/>
    <x v="8"/>
    <x v="11"/>
    <n v="2.8279791483871"/>
    <n v="2.5021935483870998"/>
    <s v="EUR"/>
  </r>
  <r>
    <s v="ABI BREWDAT GLOBAL GAI QA"/>
    <x v="5"/>
    <s v="Azure"/>
    <s v="Usage"/>
    <x v="8"/>
    <x v="13"/>
    <n v="194.9730624"/>
    <n v="172.512"/>
    <s v="EUR"/>
  </r>
  <r>
    <s v="ABI BREWDAT GLOBAL GAI QA"/>
    <x v="5"/>
    <s v="Azure"/>
    <s v="Usage"/>
    <x v="10"/>
    <x v="16"/>
    <n v="43.792298105990803"/>
    <n v="38.747388166687998"/>
    <s v="EUR"/>
  </r>
  <r>
    <s v="ABI BREWDAT GLOBAL GAI QA"/>
    <x v="5"/>
    <s v="Azure"/>
    <s v="Usage"/>
    <x v="12"/>
    <x v="18"/>
    <n v="0.11268623810921199"/>
    <n v="9.9704687762530594E-2"/>
    <s v="EUR"/>
  </r>
  <r>
    <s v="ABI BREWDAT GLOBAL GAI QA"/>
    <x v="5"/>
    <s v="Azure"/>
    <s v="Usage"/>
    <x v="12"/>
    <x v="19"/>
    <n v="0.38601037790713599"/>
    <n v="0.34154165449224499"/>
    <s v="EUR"/>
  </r>
  <r>
    <s v="ABI BREWDAT GLOBAL GAI QA"/>
    <x v="5"/>
    <s v="Azure"/>
    <s v="Usage"/>
    <x v="14"/>
    <x v="21"/>
    <n v="30.0183520318751"/>
    <n v="26.5602123799992"/>
    <s v="EUR"/>
  </r>
  <r>
    <s v="ABI BREWDAT GLOBAL GAI QA"/>
    <x v="5"/>
    <s v="Azure"/>
    <s v="Usage"/>
    <x v="16"/>
    <x v="23"/>
    <n v="1.1474106855999999E-3"/>
    <n v="1.015228E-3"/>
    <s v="EUR"/>
  </r>
  <r>
    <s v="ABI BREWDAT GLOBAL GAI QA"/>
    <x v="5"/>
    <s v="Azure"/>
    <s v="Usage"/>
    <x v="17"/>
    <x v="24"/>
    <n v="12.938529600000001"/>
    <n v="11.448"/>
    <s v="EUR"/>
  </r>
  <r>
    <s v="ABI BREWDAT GLOBAL GAI QA"/>
    <x v="5"/>
    <s v="Azure"/>
    <s v="Usage"/>
    <x v="18"/>
    <x v="25"/>
    <n v="137.65381232384399"/>
    <n v="121.79597622"/>
    <s v="EUR"/>
  </r>
  <r>
    <s v="ABI BREWDAT GLOBAL GAI QA"/>
    <x v="5"/>
    <s v="Azure"/>
    <s v="Usage"/>
    <x v="19"/>
    <x v="26"/>
    <n v="13.3337048716295"/>
    <n v="11.797650744673099"/>
    <s v="EUR"/>
  </r>
  <r>
    <s v="ABI BREWDAT GLOBAL GAI QA"/>
    <x v="5"/>
    <s v="Azure"/>
    <s v="Usage"/>
    <x v="20"/>
    <x v="27"/>
    <n v="10.8998273839983"/>
    <n v="9.6441580109699991"/>
    <s v="EUR"/>
  </r>
  <r>
    <s v="ABI BREWDAT GLOBAL GAI QA"/>
    <x v="5"/>
    <s v="Azure"/>
    <s v="Usage"/>
    <x v="21"/>
    <x v="28"/>
    <n v="78.725285793200001"/>
    <n v="69.656065999999996"/>
    <s v="EUR"/>
  </r>
  <r>
    <s v="ABI BREWDAT GLOBAL GAI QA"/>
    <x v="5"/>
    <s v="Azure"/>
    <s v="Usage"/>
    <x v="21"/>
    <x v="29"/>
    <n v="94.8825504"/>
    <n v="83.951999999999998"/>
    <s v="EUR"/>
  </r>
  <r>
    <s v="ABI BREWDAT GLOBAL GAI QA"/>
    <x v="5"/>
    <s v="Azure"/>
    <s v="Usage"/>
    <x v="21"/>
    <x v="30"/>
    <n v="0.326311344"/>
    <n v="0.28871999999999998"/>
    <s v="EUR"/>
  </r>
  <r>
    <s v="ABI BREWDAT GLOBAL GAI QA"/>
    <x v="5"/>
    <s v="Azure"/>
    <s v="Usage"/>
    <x v="21"/>
    <x v="31"/>
    <n v="9.6796161290322598"/>
    <n v="8.5645161290322598"/>
    <s v="EUR"/>
  </r>
  <r>
    <s v="ABI BREWDAT GLOBAL GAI QA"/>
    <x v="5"/>
    <s v="Azure"/>
    <s v="Usage"/>
    <x v="21"/>
    <x v="32"/>
    <n v="3.3111243359999998"/>
    <n v="2.9296799999999998"/>
    <s v="EUR"/>
  </r>
  <r>
    <s v="ABI BREWDAT GLOBAL GAI QA"/>
    <x v="5"/>
    <s v="Azure"/>
    <s v="Usage"/>
    <x v="21"/>
    <x v="34"/>
    <n v="23.17542912"/>
    <n v="20.505600000000001"/>
    <s v="EUR"/>
  </r>
  <r>
    <s v="ABI BREWDAT GLOBAL GAI QA"/>
    <x v="5"/>
    <s v="Azure"/>
    <s v="Usage"/>
    <x v="21"/>
    <x v="35"/>
    <n v="37.173769864"/>
    <n v="32.89132"/>
    <s v="EUR"/>
  </r>
  <r>
    <s v="ABI BREWDAT GLOBAL GAI QA"/>
    <x v="5"/>
    <s v="Azure"/>
    <s v="Usage"/>
    <x v="25"/>
    <x v="41"/>
    <n v="2.9969852459999999E-4"/>
    <n v="2.65173E-4"/>
    <s v="EUR"/>
  </r>
  <r>
    <s v="ABI BREWDAT GLOBAL GAI QA"/>
    <x v="5"/>
    <s v="Azure"/>
    <s v="Usage"/>
    <x v="27"/>
    <x v="43"/>
    <n v="3.8780982076000001E-3"/>
    <n v="3.4313379999999999E-3"/>
    <s v="EUR"/>
  </r>
  <r>
    <s v="ABI BREWDAT GLOBAL GAI QA"/>
    <x v="5"/>
    <s v="Azure"/>
    <s v="Usage"/>
    <x v="27"/>
    <x v="44"/>
    <n v="17.960474584715399"/>
    <n v="15.8914126568"/>
    <s v="EUR"/>
  </r>
  <r>
    <s v="ABI BREWDAT GLOBAL GAI QA"/>
    <x v="5"/>
    <s v="Azure"/>
    <s v="Usage"/>
    <x v="27"/>
    <x v="45"/>
    <n v="4.28283639E-4"/>
    <n v="3.78945E-4"/>
    <s v="EUR"/>
  </r>
  <r>
    <s v="ABI BREWDAT GLOBAL GAI QA"/>
    <x v="5"/>
    <s v="Azure"/>
    <s v="Usage"/>
    <x v="27"/>
    <x v="48"/>
    <n v="6.4236431468000003E-4"/>
    <n v="5.6836340000000003E-4"/>
    <s v="EUR"/>
  </r>
  <r>
    <s v="ABI BREWDAT GLOBAL GAI QA"/>
    <x v="5"/>
    <s v="Azure"/>
    <s v="Usage"/>
    <x v="27"/>
    <x v="49"/>
    <n v="72.353197860902"/>
    <n v="64.018048010000001"/>
    <s v="EUR"/>
  </r>
  <r>
    <s v="ABI BREWDAT GLOBAL GAI QA"/>
    <x v="5"/>
    <s v="Azure"/>
    <s v="Usage"/>
    <x v="27"/>
    <x v="51"/>
    <n v="1.8534036779999999E-4"/>
    <n v="1.6398899999999999E-4"/>
    <s v="EUR"/>
  </r>
  <r>
    <s v="ABI BREWDAT GLOBAL GAI QA"/>
    <x v="5"/>
    <s v="Azure"/>
    <s v="Usage"/>
    <x v="27"/>
    <x v="53"/>
    <n v="5.4318907265901997"/>
    <n v="4.8061323009999999"/>
    <s v="EUR"/>
  </r>
  <r>
    <s v="ABI BREWDAT GLOBAL GAI QA"/>
    <x v="5"/>
    <s v="Azure"/>
    <s v="Usage"/>
    <x v="27"/>
    <x v="55"/>
    <n v="6.2276257795999997E-3"/>
    <n v="5.510198E-3"/>
    <s v="EUR"/>
  </r>
  <r>
    <s v="ABI BREWDAT GLOBAL GAI QA"/>
    <x v="5"/>
    <s v="Azure"/>
    <s v="Usage"/>
    <x v="28"/>
    <x v="58"/>
    <n v="591.60500285255398"/>
    <n v="523.45160401040005"/>
    <s v="EUR"/>
  </r>
  <r>
    <s v="ABI BREWDAT GLOBAL GAI QA"/>
    <x v="5"/>
    <s v="Azure"/>
    <s v="Usage"/>
    <x v="28"/>
    <x v="59"/>
    <n v="110.182777566052"/>
    <n v="97.489628000400003"/>
    <s v="EUR"/>
  </r>
  <r>
    <s v="ABI BREWDAT GLOBAL GAI QA"/>
    <x v="5"/>
    <s v="Azure"/>
    <s v="Usage"/>
    <x v="28"/>
    <x v="61"/>
    <n v="104.13876044327699"/>
    <n v="92.141886783999993"/>
    <s v="EUR"/>
  </r>
  <r>
    <s v="ABI BREWDAT GLOBAL GAI QA"/>
    <x v="5"/>
    <s v="Azure"/>
    <s v="Usage"/>
    <x v="29"/>
    <x v="66"/>
    <n v="10.468753818202799"/>
    <n v="9.2627444861111101"/>
    <s v="EUR"/>
  </r>
  <r>
    <s v="ABI BREWDAT GLOBAL GAI QA"/>
    <x v="5"/>
    <s v="Azure"/>
    <s v="Usage"/>
    <x v="29"/>
    <x v="67"/>
    <n v="99.722295323635294"/>
    <n v="88.2342021975184"/>
    <s v="EUR"/>
  </r>
  <r>
    <s v="ABI BREWDAT GLOBAL GAI QA"/>
    <x v="5"/>
    <s v="Azure"/>
    <s v="Usage"/>
    <x v="31"/>
    <x v="72"/>
    <n v="32.176794000000001"/>
    <n v="28.47"/>
    <s v="EUR"/>
  </r>
  <r>
    <s v="ABI BREWDAT GLOBAL GAI QA"/>
    <x v="6"/>
    <s v="Azure"/>
    <s v="Usage"/>
    <x v="0"/>
    <x v="0"/>
    <n v="25.696718400000002"/>
    <n v="21.948"/>
    <s v="EUR"/>
  </r>
  <r>
    <s v="ABI BREWDAT GLOBAL GAI QA"/>
    <x v="6"/>
    <s v="Azure"/>
    <s v="Usage"/>
    <x v="1"/>
    <x v="1"/>
    <n v="194.36300937600001"/>
    <n v="166.00872000000001"/>
    <s v="EUR"/>
  </r>
  <r>
    <s v="ABI BREWDAT GLOBAL GAI QA"/>
    <x v="6"/>
    <s v="Azure"/>
    <s v="Usage"/>
    <x v="2"/>
    <x v="2"/>
    <n v="0"/>
    <n v="0"/>
    <s v="EUR"/>
  </r>
  <r>
    <s v="ABI BREWDAT GLOBAL GAI QA"/>
    <x v="6"/>
    <s v="Azure"/>
    <s v="Usage"/>
    <x v="2"/>
    <x v="3"/>
    <n v="698.60231039999996"/>
    <n v="596.68799999999999"/>
    <s v="EUR"/>
  </r>
  <r>
    <s v="ABI BREWDAT GLOBAL GAI QA"/>
    <x v="6"/>
    <s v="Azure"/>
    <s v="Usage"/>
    <x v="2"/>
    <x v="4"/>
    <n v="97.560422399999993"/>
    <n v="83.328000000000003"/>
    <s v="EUR"/>
  </r>
  <r>
    <s v="ABI BREWDAT GLOBAL GAI QA"/>
    <x v="6"/>
    <s v="Azure"/>
    <s v="Usage"/>
    <x v="2"/>
    <x v="5"/>
    <n v="6.3240858230137"/>
    <n v="5.4015082191780799"/>
    <s v="EUR"/>
  </r>
  <r>
    <s v="ABI BREWDAT GLOBAL GAI QA"/>
    <x v="6"/>
    <s v="Azure"/>
    <s v="Usage"/>
    <x v="6"/>
    <x v="9"/>
    <n v="0.37236064660000001"/>
    <n v="0.31803949999999997"/>
    <s v="EUR"/>
  </r>
  <r>
    <s v="ABI BREWDAT GLOBAL GAI QA"/>
    <x v="6"/>
    <s v="Azure"/>
    <s v="Usage"/>
    <x v="7"/>
    <x v="10"/>
    <n v="1.6578527999999999E-4"/>
    <n v="1.416E-4"/>
    <s v="EUR"/>
  </r>
  <r>
    <s v="ABI BREWDAT GLOBAL GAI QA"/>
    <x v="6"/>
    <s v="Azure"/>
    <s v="Usage"/>
    <x v="8"/>
    <x v="11"/>
    <n v="3.02722048"/>
    <n v="2.5855999999999999"/>
    <s v="EUR"/>
  </r>
  <r>
    <s v="ABI BREWDAT GLOBAL GAI QA"/>
    <x v="6"/>
    <s v="Azure"/>
    <s v="Usage"/>
    <x v="8"/>
    <x v="13"/>
    <n v="208.70961792"/>
    <n v="178.26240000000001"/>
    <s v="EUR"/>
  </r>
  <r>
    <s v="ABI BREWDAT GLOBAL GAI QA"/>
    <x v="6"/>
    <s v="Azure"/>
    <s v="Usage"/>
    <x v="10"/>
    <x v="16"/>
    <n v="46.903475144153099"/>
    <n v="40.061048124490199"/>
    <s v="EUR"/>
  </r>
  <r>
    <s v="ABI BREWDAT GLOBAL GAI QA"/>
    <x v="6"/>
    <s v="Azure"/>
    <s v="Usage"/>
    <x v="12"/>
    <x v="18"/>
    <n v="0.15048191065312"/>
    <n v="0.12852913448336201"/>
    <s v="EUR"/>
  </r>
  <r>
    <s v="ABI BREWDAT GLOBAL GAI QA"/>
    <x v="6"/>
    <s v="Azure"/>
    <s v="Usage"/>
    <x v="12"/>
    <x v="19"/>
    <n v="6.4141752408399402"/>
    <n v="5.4784551083361297"/>
    <s v="EUR"/>
  </r>
  <r>
    <s v="ABI BREWDAT GLOBAL GAI QA"/>
    <x v="6"/>
    <s v="Azure"/>
    <s v="Usage"/>
    <x v="14"/>
    <x v="21"/>
    <n v="32.090063353188597"/>
    <n v="27.408663608804702"/>
    <s v="EUR"/>
  </r>
  <r>
    <s v="ABI BREWDAT GLOBAL GAI QA"/>
    <x v="6"/>
    <s v="Azure"/>
    <s v="Usage"/>
    <x v="16"/>
    <x v="23"/>
    <n v="1.2258252584E-3"/>
    <n v="1.0469979999999999E-3"/>
    <s v="EUR"/>
  </r>
  <r>
    <s v="ABI BREWDAT GLOBAL GAI QA"/>
    <x v="6"/>
    <s v="Azure"/>
    <s v="Usage"/>
    <x v="17"/>
    <x v="24"/>
    <n v="13.850095680000001"/>
    <n v="11.829599999999999"/>
    <s v="EUR"/>
  </r>
  <r>
    <s v="ABI BREWDAT GLOBAL GAI QA"/>
    <x v="6"/>
    <s v="Azure"/>
    <s v="Usage"/>
    <x v="18"/>
    <x v="25"/>
    <n v="275.14397742573601"/>
    <n v="235.00510542000001"/>
    <s v="EUR"/>
  </r>
  <r>
    <s v="ABI BREWDAT GLOBAL GAI QA"/>
    <x v="6"/>
    <s v="Azure"/>
    <s v="Usage"/>
    <x v="19"/>
    <x v="26"/>
    <n v="36.587284713626403"/>
    <n v="31.249816120282201"/>
    <s v="EUR"/>
  </r>
  <r>
    <s v="ABI BREWDAT GLOBAL GAI QA"/>
    <x v="6"/>
    <s v="Azure"/>
    <s v="Usage"/>
    <x v="20"/>
    <x v="27"/>
    <n v="11.683839127802401"/>
    <n v="9.97936379211"/>
    <s v="EUR"/>
  </r>
  <r>
    <s v="ABI BREWDAT GLOBAL GAI QA"/>
    <x v="6"/>
    <s v="Azure"/>
    <s v="Usage"/>
    <x v="21"/>
    <x v="28"/>
    <n v="322.20187928159999"/>
    <n v="275.19805200000002"/>
    <s v="EUR"/>
  </r>
  <r>
    <s v="ABI BREWDAT GLOBAL GAI QA"/>
    <x v="6"/>
    <s v="Azure"/>
    <s v="Usage"/>
    <x v="21"/>
    <x v="29"/>
    <n v="101.56736832"/>
    <n v="86.750399999999999"/>
    <s v="EUR"/>
  </r>
  <r>
    <s v="ABI BREWDAT GLOBAL GAI QA"/>
    <x v="6"/>
    <s v="Azure"/>
    <s v="Usage"/>
    <x v="21"/>
    <x v="30"/>
    <n v="0.34930115519999999"/>
    <n v="0.298344"/>
    <s v="EUR"/>
  </r>
  <r>
    <s v="ABI BREWDAT GLOBAL GAI QA"/>
    <x v="6"/>
    <s v="Azure"/>
    <s v="Usage"/>
    <x v="21"/>
    <x v="31"/>
    <n v="10.36158"/>
    <n v="8.85"/>
    <s v="EUR"/>
  </r>
  <r>
    <s v="ABI BREWDAT GLOBAL GAI QA"/>
    <x v="6"/>
    <s v="Azure"/>
    <s v="Usage"/>
    <x v="21"/>
    <x v="32"/>
    <n v="3.5444049888000002"/>
    <n v="3.027336"/>
    <s v="EUR"/>
  </r>
  <r>
    <s v="ABI BREWDAT GLOBAL GAI QA"/>
    <x v="6"/>
    <s v="Azure"/>
    <s v="Usage"/>
    <x v="21"/>
    <x v="34"/>
    <n v="24.808221696"/>
    <n v="21.189119999999999"/>
    <s v="EUR"/>
  </r>
  <r>
    <s v="ABI BREWDAT GLOBAL GAI QA"/>
    <x v="6"/>
    <s v="Azure"/>
    <s v="Usage"/>
    <x v="21"/>
    <x v="35"/>
    <n v="51.811353859999997"/>
    <n v="44.252949999999998"/>
    <s v="EUR"/>
  </r>
  <r>
    <s v="ABI BREWDAT GLOBAL GAI QA"/>
    <x v="6"/>
    <s v="Azure"/>
    <s v="Usage"/>
    <x v="25"/>
    <x v="41"/>
    <n v="3.1928769720000001E-4"/>
    <n v="2.7270899999999999E-4"/>
    <s v="EUR"/>
  </r>
  <r>
    <s v="ABI BREWDAT GLOBAL GAI QA"/>
    <x v="6"/>
    <s v="Azure"/>
    <s v="Usage"/>
    <x v="27"/>
    <x v="43"/>
    <n v="4.4111728156000004E-3"/>
    <n v="3.7676570000000002E-3"/>
    <s v="EUR"/>
  </r>
  <r>
    <s v="ABI BREWDAT GLOBAL GAI QA"/>
    <x v="6"/>
    <s v="Azure"/>
    <s v="Usage"/>
    <x v="27"/>
    <x v="44"/>
    <n v="30.5125811527653"/>
    <n v="26.061309491599999"/>
    <s v="EUR"/>
  </r>
  <r>
    <s v="ABI BREWDAT GLOBAL GAI QA"/>
    <x v="6"/>
    <s v="Azure"/>
    <s v="Usage"/>
    <x v="27"/>
    <x v="45"/>
    <n v="3.4871809680000001E-4"/>
    <n v="2.9784599999999999E-4"/>
    <s v="EUR"/>
  </r>
  <r>
    <s v="ABI BREWDAT GLOBAL GAI QA"/>
    <x v="6"/>
    <s v="Azure"/>
    <s v="Usage"/>
    <x v="27"/>
    <x v="48"/>
    <n v="8.4443739255999999E-4"/>
    <n v="7.2124820000000003E-4"/>
    <s v="EUR"/>
  </r>
  <r>
    <s v="ABI BREWDAT GLOBAL GAI QA"/>
    <x v="6"/>
    <s v="Azure"/>
    <s v="Usage"/>
    <x v="27"/>
    <x v="49"/>
    <n v="247.341306655924"/>
    <n v="211.25837602999999"/>
    <s v="EUR"/>
  </r>
  <r>
    <s v="ABI BREWDAT GLOBAL GAI QA"/>
    <x v="6"/>
    <s v="Azure"/>
    <s v="Usage"/>
    <x v="27"/>
    <x v="51"/>
    <n v="1.455784428E-4"/>
    <n v="1.2434100000000001E-4"/>
    <s v="EUR"/>
  </r>
  <r>
    <s v="ABI BREWDAT GLOBAL GAI QA"/>
    <x v="6"/>
    <s v="Azure"/>
    <s v="Usage"/>
    <x v="27"/>
    <x v="53"/>
    <n v="5.6634977434311997"/>
    <n v="4.8372888139999999"/>
    <s v="EUR"/>
  </r>
  <r>
    <s v="ABI BREWDAT GLOBAL GAI QA"/>
    <x v="6"/>
    <s v="Azure"/>
    <s v="Usage"/>
    <x v="27"/>
    <x v="55"/>
    <n v="6.6603323015999999E-3"/>
    <n v="5.6887020000000003E-3"/>
    <s v="EUR"/>
  </r>
  <r>
    <s v="ABI BREWDAT GLOBAL GAI QA"/>
    <x v="6"/>
    <s v="Azure"/>
    <s v="Usage"/>
    <x v="28"/>
    <x v="58"/>
    <n v="2258.5405316946699"/>
    <n v="1929.0575091344999"/>
    <s v="EUR"/>
  </r>
  <r>
    <s v="ABI BREWDAT GLOBAL GAI QA"/>
    <x v="6"/>
    <s v="Azure"/>
    <s v="Usage"/>
    <x v="28"/>
    <x v="59"/>
    <n v="118.11779712000001"/>
    <n v="100.88639999999999"/>
    <s v="EUR"/>
  </r>
  <r>
    <s v="ABI BREWDAT GLOBAL GAI QA"/>
    <x v="6"/>
    <s v="Azure"/>
    <s v="Usage"/>
    <x v="28"/>
    <x v="61"/>
    <n v="111.52761066844199"/>
    <n v="95.257610752000005"/>
    <s v="EUR"/>
  </r>
  <r>
    <s v="ABI BREWDAT GLOBAL GAI QA"/>
    <x v="6"/>
    <s v="Azure"/>
    <s v="Usage"/>
    <x v="29"/>
    <x v="66"/>
    <n v="9.19616568"/>
    <n v="7.8545999999999996"/>
    <s v="EUR"/>
  </r>
  <r>
    <s v="ABI BREWDAT GLOBAL GAI QA"/>
    <x v="6"/>
    <s v="Azure"/>
    <s v="Usage"/>
    <x v="29"/>
    <x v="67"/>
    <n v="109.704780387651"/>
    <n v="93.700700706910794"/>
    <s v="EUR"/>
  </r>
  <r>
    <s v="ABI BREWDAT GLOBAL GAI QA"/>
    <x v="6"/>
    <s v="Azure"/>
    <s v="Usage"/>
    <x v="31"/>
    <x v="72"/>
    <n v="34.443765200000001"/>
    <n v="29.419"/>
    <s v="EUR"/>
  </r>
  <r>
    <s v="ABI BREWDAT GLOBAL GAI QA"/>
    <x v="7"/>
    <s v="Azure"/>
    <s v="Usage"/>
    <x v="0"/>
    <x v="0"/>
    <n v="25.289583"/>
    <n v="21.948"/>
    <s v="EUR"/>
  </r>
  <r>
    <s v="ABI BREWDAT GLOBAL GAI QA"/>
    <x v="7"/>
    <s v="Azure"/>
    <s v="Usage"/>
    <x v="1"/>
    <x v="1"/>
    <n v="191.28354762000001"/>
    <n v="166.00872000000001"/>
    <s v="EUR"/>
  </r>
  <r>
    <s v="ABI BREWDAT GLOBAL GAI QA"/>
    <x v="7"/>
    <s v="Azure"/>
    <s v="Usage"/>
    <x v="2"/>
    <x v="2"/>
    <n v="0"/>
    <n v="0"/>
    <s v="EUR"/>
  </r>
  <r>
    <s v="ABI BREWDAT GLOBAL GAI QA"/>
    <x v="7"/>
    <s v="Azure"/>
    <s v="Usage"/>
    <x v="2"/>
    <x v="3"/>
    <n v="687.53374799999995"/>
    <n v="596.68799999999999"/>
    <s v="EUR"/>
  </r>
  <r>
    <s v="ABI BREWDAT GLOBAL GAI QA"/>
    <x v="7"/>
    <s v="Azure"/>
    <s v="Usage"/>
    <x v="2"/>
    <x v="4"/>
    <n v="96.014688000000007"/>
    <n v="83.328000000000003"/>
    <s v="EUR"/>
  </r>
  <r>
    <s v="ABI BREWDAT GLOBAL GAI QA"/>
    <x v="7"/>
    <s v="Azure"/>
    <s v="Usage"/>
    <x v="2"/>
    <x v="5"/>
    <n v="6.2322645452054797"/>
    <n v="5.4087780821917804"/>
    <s v="EUR"/>
  </r>
  <r>
    <s v="ABI BREWDAT GLOBAL GAI QA"/>
    <x v="7"/>
    <s v="Azure"/>
    <s v="Usage"/>
    <x v="6"/>
    <x v="9"/>
    <n v="0.364627111211"/>
    <n v="0.316447916"/>
    <s v="EUR"/>
  </r>
  <r>
    <s v="ABI BREWDAT GLOBAL GAI QA"/>
    <x v="7"/>
    <s v="Azure"/>
    <s v="Usage"/>
    <x v="7"/>
    <x v="10"/>
    <n v="1.69956875E-4"/>
    <n v="1.4750000000000001E-4"/>
    <s v="EUR"/>
  </r>
  <r>
    <s v="ABI BREWDAT GLOBAL GAI QA"/>
    <x v="7"/>
    <s v="Azure"/>
    <s v="Usage"/>
    <x v="8"/>
    <x v="11"/>
    <n v="2.9792576"/>
    <n v="2.5855999999999999"/>
    <s v="EUR"/>
  </r>
  <r>
    <s v="ABI BREWDAT GLOBAL GAI QA"/>
    <x v="7"/>
    <s v="Azure"/>
    <s v="Usage"/>
    <x v="8"/>
    <x v="13"/>
    <n v="205.40285040000001"/>
    <n v="178.26240000000001"/>
    <s v="EUR"/>
  </r>
  <r>
    <s v="ABI BREWDAT GLOBAL GAI QA"/>
    <x v="7"/>
    <s v="Azure"/>
    <s v="Usage"/>
    <x v="9"/>
    <x v="14"/>
    <n v="0.67094758235417096"/>
    <n v="0.5822934105916"/>
    <s v="EUR"/>
  </r>
  <r>
    <s v="ABI BREWDAT GLOBAL GAI QA"/>
    <x v="7"/>
    <s v="Azure"/>
    <s v="Usage"/>
    <x v="9"/>
    <x v="15"/>
    <n v="3.4125222488461802"/>
    <n v="2.96161618472222"/>
    <s v="EUR"/>
  </r>
  <r>
    <s v="ABI BREWDAT GLOBAL GAI QA"/>
    <x v="7"/>
    <s v="Azure"/>
    <s v="Usage"/>
    <x v="10"/>
    <x v="16"/>
    <n v="46.871884141043097"/>
    <n v="40.678571612968597"/>
    <s v="EUR"/>
  </r>
  <r>
    <s v="ABI BREWDAT GLOBAL GAI QA"/>
    <x v="7"/>
    <s v="Azure"/>
    <s v="Usage"/>
    <x v="12"/>
    <x v="18"/>
    <n v="0.18146177328195501"/>
    <n v="0.15748472404595801"/>
    <s v="EUR"/>
  </r>
  <r>
    <s v="ABI BREWDAT GLOBAL GAI QA"/>
    <x v="7"/>
    <s v="Azure"/>
    <s v="Usage"/>
    <x v="12"/>
    <x v="19"/>
    <n v="2.2339595414853499"/>
    <n v="1.93878024863124"/>
    <s v="EUR"/>
  </r>
  <r>
    <s v="ABI BREWDAT GLOBAL GAI QA"/>
    <x v="7"/>
    <s v="Azure"/>
    <s v="Usage"/>
    <x v="14"/>
    <x v="21"/>
    <n v="31.624138205349201"/>
    <n v="27.445552792665801"/>
    <s v="EUR"/>
  </r>
  <r>
    <s v="ABI BREWDAT GLOBAL GAI QA"/>
    <x v="7"/>
    <s v="Azure"/>
    <s v="Usage"/>
    <x v="16"/>
    <x v="23"/>
    <n v="1.22389344825E-3"/>
    <n v="1.0621770000000001E-3"/>
    <s v="EUR"/>
  </r>
  <r>
    <s v="ABI BREWDAT GLOBAL GAI QA"/>
    <x v="7"/>
    <s v="Azure"/>
    <s v="Usage"/>
    <x v="17"/>
    <x v="24"/>
    <n v="13.6306566"/>
    <n v="11.829599999999999"/>
    <s v="EUR"/>
  </r>
  <r>
    <s v="ABI BREWDAT GLOBAL GAI QA"/>
    <x v="7"/>
    <s v="Azure"/>
    <s v="Usage"/>
    <x v="18"/>
    <x v="25"/>
    <n v="249.49482365420201"/>
    <n v="216.52837808999999"/>
    <s v="EUR"/>
  </r>
  <r>
    <s v="ABI BREWDAT GLOBAL GAI QA"/>
    <x v="7"/>
    <s v="Azure"/>
    <s v="Usage"/>
    <x v="19"/>
    <x v="26"/>
    <n v="40.440875331386003"/>
    <n v="35.097309899228499"/>
    <s v="EUR"/>
  </r>
  <r>
    <s v="ABI BREWDAT GLOBAL GAI QA"/>
    <x v="7"/>
    <s v="Azure"/>
    <s v="Usage"/>
    <x v="20"/>
    <x v="27"/>
    <n v="11.499920998533399"/>
    <n v="9.9804044248500006"/>
    <s v="EU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A99A6B-5B1C-4F40-895B-69F8E10C47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ources" colHeaderCaption="">
  <location ref="A1:W118" firstHeaderRow="1" firstDataRow="3" firstDataCol="1"/>
  <pivotFields count="9">
    <pivotField showAll="0"/>
    <pivotField axis="axisCol" showAll="0">
      <items count="11">
        <item x="0"/>
        <item x="1"/>
        <item x="2"/>
        <item x="3"/>
        <item x="4"/>
        <item x="5"/>
        <item x="6"/>
        <item x="7"/>
        <item x="8"/>
        <item x="9"/>
        <item t="default"/>
      </items>
    </pivotField>
    <pivotField showAll="0"/>
    <pivotField showAll="0"/>
    <pivotField axis="axisRow" showAll="0" sortType="descending">
      <items count="34">
        <item x="0"/>
        <item x="1"/>
        <item x="2"/>
        <item x="3"/>
        <item x="4"/>
        <item x="5"/>
        <item x="7"/>
        <item x="8"/>
        <item x="9"/>
        <item x="6"/>
        <item x="10"/>
        <item x="11"/>
        <item x="12"/>
        <item x="13"/>
        <item x="14"/>
        <item x="15"/>
        <item x="16"/>
        <item x="17"/>
        <item x="18"/>
        <item x="19"/>
        <item x="20"/>
        <item x="32"/>
        <item x="21"/>
        <item x="22"/>
        <item x="23"/>
        <item x="25"/>
        <item x="26"/>
        <item x="24"/>
        <item x="27"/>
        <item x="30"/>
        <item x="28"/>
        <item x="29"/>
        <item x="31"/>
        <item t="default"/>
      </items>
      <autoSortScope>
        <pivotArea dataOnly="0" outline="0" fieldPosition="0">
          <references count="1">
            <reference field="4294967294" count="1" selected="0">
              <x v="0"/>
            </reference>
          </references>
        </pivotArea>
      </autoSortScope>
    </pivotField>
    <pivotField axis="axisRow" showAll="0" sortType="descending">
      <items count="82">
        <item x="0"/>
        <item x="1"/>
        <item x="11"/>
        <item x="12"/>
        <item x="13"/>
        <item x="14"/>
        <item x="6"/>
        <item x="37"/>
        <item x="8"/>
        <item x="69"/>
        <item x="2"/>
        <item x="3"/>
        <item x="4"/>
        <item x="7"/>
        <item x="10"/>
        <item x="43"/>
        <item x="15"/>
        <item x="9"/>
        <item x="16"/>
        <item x="79"/>
        <item x="73"/>
        <item x="17"/>
        <item x="18"/>
        <item x="44"/>
        <item x="21"/>
        <item x="77"/>
        <item x="74"/>
        <item x="56"/>
        <item x="57"/>
        <item x="80"/>
        <item x="28"/>
        <item x="70"/>
        <item x="71"/>
        <item x="58"/>
        <item x="59"/>
        <item x="60"/>
        <item x="61"/>
        <item x="62"/>
        <item x="63"/>
        <item x="22"/>
        <item x="64"/>
        <item x="23"/>
        <item x="24"/>
        <item x="78"/>
        <item x="45"/>
        <item x="46"/>
        <item x="47"/>
        <item x="48"/>
        <item x="66"/>
        <item x="25"/>
        <item x="26"/>
        <item x="27"/>
        <item x="76"/>
        <item x="29"/>
        <item x="30"/>
        <item x="31"/>
        <item x="32"/>
        <item x="33"/>
        <item x="34"/>
        <item x="35"/>
        <item x="36"/>
        <item x="65"/>
        <item x="20"/>
        <item x="49"/>
        <item x="50"/>
        <item x="51"/>
        <item x="19"/>
        <item x="41"/>
        <item x="42"/>
        <item x="38"/>
        <item x="39"/>
        <item x="40"/>
        <item x="52"/>
        <item x="5"/>
        <item x="53"/>
        <item x="54"/>
        <item x="55"/>
        <item x="68"/>
        <item x="75"/>
        <item x="67"/>
        <item x="7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2">
    <field x="4"/>
    <field x="5"/>
  </rowFields>
  <rowItems count="115">
    <i>
      <x v="13"/>
    </i>
    <i r="1">
      <x v="62"/>
    </i>
    <i r="1">
      <x v="19"/>
    </i>
    <i r="1">
      <x v="20"/>
    </i>
    <i>
      <x v="27"/>
    </i>
    <i r="1">
      <x v="70"/>
    </i>
    <i r="1">
      <x v="69"/>
    </i>
    <i r="1">
      <x v="71"/>
    </i>
    <i>
      <x v="30"/>
    </i>
    <i r="1">
      <x v="33"/>
    </i>
    <i r="1">
      <x v="36"/>
    </i>
    <i r="1">
      <x v="34"/>
    </i>
    <i r="1">
      <x v="40"/>
    </i>
    <i r="1">
      <x v="38"/>
    </i>
    <i r="1">
      <x v="35"/>
    </i>
    <i r="1">
      <x v="28"/>
    </i>
    <i r="1">
      <x v="31"/>
    </i>
    <i r="1">
      <x v="37"/>
    </i>
    <i r="1">
      <x v="26"/>
    </i>
    <i r="1">
      <x v="27"/>
    </i>
    <i r="1">
      <x v="61"/>
    </i>
    <i r="1">
      <x v="29"/>
    </i>
    <i r="1">
      <x v="32"/>
    </i>
    <i r="1">
      <x v="43"/>
    </i>
    <i r="1">
      <x v="25"/>
    </i>
    <i>
      <x v="8"/>
    </i>
    <i r="1">
      <x v="5"/>
    </i>
    <i r="1">
      <x v="16"/>
    </i>
    <i>
      <x v="2"/>
    </i>
    <i r="1">
      <x v="12"/>
    </i>
    <i r="1">
      <x v="11"/>
    </i>
    <i r="1">
      <x v="73"/>
    </i>
    <i r="1">
      <x v="9"/>
    </i>
    <i r="1">
      <x v="10"/>
    </i>
    <i>
      <x v="28"/>
    </i>
    <i r="1">
      <x v="63"/>
    </i>
    <i r="1">
      <x v="15"/>
    </i>
    <i r="1">
      <x v="44"/>
    </i>
    <i r="1">
      <x v="74"/>
    </i>
    <i r="1">
      <x v="23"/>
    </i>
    <i r="1">
      <x v="47"/>
    </i>
    <i r="1">
      <x v="72"/>
    </i>
    <i r="1">
      <x v="75"/>
    </i>
    <i r="1">
      <x v="46"/>
    </i>
    <i r="1">
      <x v="76"/>
    </i>
    <i r="1">
      <x v="65"/>
    </i>
    <i r="1">
      <x v="45"/>
    </i>
    <i r="1">
      <x v="64"/>
    </i>
    <i>
      <x v="22"/>
    </i>
    <i r="1">
      <x v="30"/>
    </i>
    <i r="1">
      <x v="58"/>
    </i>
    <i r="1">
      <x v="53"/>
    </i>
    <i r="1">
      <x v="59"/>
    </i>
    <i r="1">
      <x v="55"/>
    </i>
    <i r="1">
      <x v="57"/>
    </i>
    <i r="1">
      <x v="56"/>
    </i>
    <i r="1">
      <x v="54"/>
    </i>
    <i>
      <x v="7"/>
    </i>
    <i r="1">
      <x v="4"/>
    </i>
    <i r="1">
      <x v="3"/>
    </i>
    <i r="1">
      <x v="2"/>
    </i>
    <i>
      <x v="31"/>
    </i>
    <i r="1">
      <x v="79"/>
    </i>
    <i r="1">
      <x v="48"/>
    </i>
    <i r="1">
      <x v="78"/>
    </i>
    <i>
      <x v="24"/>
    </i>
    <i r="1">
      <x v="7"/>
    </i>
    <i>
      <x v="1"/>
    </i>
    <i r="1">
      <x v="1"/>
    </i>
    <i>
      <x v="10"/>
    </i>
    <i r="1">
      <x v="18"/>
    </i>
    <i>
      <x v="19"/>
    </i>
    <i r="1">
      <x v="50"/>
    </i>
    <i>
      <x v="29"/>
    </i>
    <i r="1">
      <x v="77"/>
    </i>
    <i>
      <x v="18"/>
    </i>
    <i r="1">
      <x v="49"/>
    </i>
    <i>
      <x v="14"/>
    </i>
    <i r="1">
      <x v="24"/>
    </i>
    <i>
      <x v="5"/>
    </i>
    <i r="1">
      <x v="8"/>
    </i>
    <i>
      <x v="26"/>
    </i>
    <i r="1">
      <x v="68"/>
    </i>
    <i>
      <x v="11"/>
    </i>
    <i r="1">
      <x v="21"/>
    </i>
    <i>
      <x/>
    </i>
    <i r="1">
      <x/>
    </i>
    <i>
      <x v="32"/>
    </i>
    <i r="1">
      <x v="80"/>
    </i>
    <i>
      <x v="12"/>
    </i>
    <i r="1">
      <x v="66"/>
    </i>
    <i r="1">
      <x v="22"/>
    </i>
    <i>
      <x v="20"/>
    </i>
    <i r="1">
      <x v="51"/>
    </i>
    <i>
      <x v="23"/>
    </i>
    <i r="1">
      <x v="60"/>
    </i>
    <i>
      <x v="4"/>
    </i>
    <i r="1">
      <x v="13"/>
    </i>
    <i>
      <x v="17"/>
    </i>
    <i r="1">
      <x v="42"/>
    </i>
    <i>
      <x v="16"/>
    </i>
    <i r="1">
      <x v="41"/>
    </i>
    <i>
      <x v="25"/>
    </i>
    <i r="1">
      <x v="67"/>
    </i>
    <i>
      <x v="3"/>
    </i>
    <i r="1">
      <x v="6"/>
    </i>
    <i>
      <x v="21"/>
    </i>
    <i r="1">
      <x v="52"/>
    </i>
    <i>
      <x v="6"/>
    </i>
    <i r="1">
      <x v="14"/>
    </i>
    <i>
      <x v="9"/>
    </i>
    <i r="1">
      <x v="17"/>
    </i>
    <i>
      <x v="15"/>
    </i>
    <i r="1">
      <x v="39"/>
    </i>
    <i t="grand">
      <x/>
    </i>
  </rowItems>
  <colFields count="2">
    <field x="1"/>
    <field x="-2"/>
  </colFields>
  <colItems count="22">
    <i>
      <x/>
      <x/>
    </i>
    <i r="1" i="1">
      <x v="1"/>
    </i>
    <i>
      <x v="1"/>
      <x/>
    </i>
    <i r="1" i="1">
      <x v="1"/>
    </i>
    <i>
      <x v="2"/>
      <x/>
    </i>
    <i r="1" i="1">
      <x v="1"/>
    </i>
    <i>
      <x v="3"/>
      <x/>
    </i>
    <i r="1" i="1">
      <x v="1"/>
    </i>
    <i>
      <x v="4"/>
      <x/>
    </i>
    <i r="1" i="1">
      <x v="1"/>
    </i>
    <i>
      <x v="5"/>
      <x/>
    </i>
    <i r="1" i="1">
      <x v="1"/>
    </i>
    <i>
      <x v="6"/>
      <x/>
    </i>
    <i r="1" i="1">
      <x v="1"/>
    </i>
    <i>
      <x v="7"/>
      <x/>
    </i>
    <i r="1" i="1">
      <x v="1"/>
    </i>
    <i>
      <x v="8"/>
      <x/>
    </i>
    <i r="1" i="1">
      <x v="1"/>
    </i>
    <i>
      <x v="9"/>
      <x/>
    </i>
    <i r="1" i="1">
      <x v="1"/>
    </i>
    <i t="grand">
      <x/>
    </i>
    <i t="grand" i="1">
      <x/>
    </i>
  </colItems>
  <dataFields count="2">
    <dataField name="Cost USD" fld="6" baseField="4" baseItem="13" numFmtId="8"/>
    <dataField name="% Split" fld="6" showDataAs="percentOfCol" baseField="0" baseItem="0" numFmtId="10"/>
  </dataFields>
  <formats count="42">
    <format dxfId="41">
      <pivotArea type="origin" dataOnly="0" labelOnly="1" outline="0" fieldPosition="0"/>
    </format>
    <format dxfId="40">
      <pivotArea field="1" type="button" dataOnly="0" labelOnly="1" outline="0" axis="axisCol" fieldPosition="0"/>
    </format>
    <format dxfId="39">
      <pivotArea field="-2" type="button" dataOnly="0" labelOnly="1" outline="0" axis="axisCol" fieldPosition="1"/>
    </format>
    <format dxfId="38">
      <pivotArea type="topRight" dataOnly="0" labelOnly="1" outline="0" fieldPosition="0"/>
    </format>
    <format dxfId="37">
      <pivotArea field="4" type="button" dataOnly="0" labelOnly="1" outline="0" axis="axisRow" fieldPosition="0"/>
    </format>
    <format dxfId="36">
      <pivotArea dataOnly="0" labelOnly="1" fieldPosition="0">
        <references count="1">
          <reference field="1" count="0"/>
        </references>
      </pivotArea>
    </format>
    <format dxfId="35">
      <pivotArea field="1" dataOnly="0" labelOnly="1" grandCol="1" outline="0" axis="axisCol" fieldPosition="0">
        <references count="1">
          <reference field="4294967294" count="1" selected="0">
            <x v="0"/>
          </reference>
        </references>
      </pivotArea>
    </format>
    <format dxfId="34">
      <pivotArea field="1" dataOnly="0" labelOnly="1" grandCol="1" outline="0" axis="axisCol" fieldPosition="0">
        <references count="1">
          <reference field="4294967294" count="1" selected="0">
            <x v="1"/>
          </reference>
        </references>
      </pivotArea>
    </format>
    <format dxfId="33">
      <pivotArea dataOnly="0" labelOnly="1" outline="0" fieldPosition="0">
        <references count="2">
          <reference field="4294967294" count="2">
            <x v="0"/>
            <x v="1"/>
          </reference>
          <reference field="1" count="1" selected="0">
            <x v="0"/>
          </reference>
        </references>
      </pivotArea>
    </format>
    <format dxfId="32">
      <pivotArea dataOnly="0" labelOnly="1" outline="0" fieldPosition="0">
        <references count="2">
          <reference field="4294967294" count="2">
            <x v="0"/>
            <x v="1"/>
          </reference>
          <reference field="1" count="1" selected="0">
            <x v="1"/>
          </reference>
        </references>
      </pivotArea>
    </format>
    <format dxfId="31">
      <pivotArea dataOnly="0" labelOnly="1" outline="0" fieldPosition="0">
        <references count="2">
          <reference field="4294967294" count="2">
            <x v="0"/>
            <x v="1"/>
          </reference>
          <reference field="1" count="1" selected="0">
            <x v="2"/>
          </reference>
        </references>
      </pivotArea>
    </format>
    <format dxfId="30">
      <pivotArea dataOnly="0" labelOnly="1" outline="0" fieldPosition="0">
        <references count="2">
          <reference field="4294967294" count="2">
            <x v="0"/>
            <x v="1"/>
          </reference>
          <reference field="1" count="1" selected="0">
            <x v="3"/>
          </reference>
        </references>
      </pivotArea>
    </format>
    <format dxfId="29">
      <pivotArea dataOnly="0" labelOnly="1" outline="0" fieldPosition="0">
        <references count="2">
          <reference field="4294967294" count="2">
            <x v="0"/>
            <x v="1"/>
          </reference>
          <reference field="1" count="1" selected="0">
            <x v="4"/>
          </reference>
        </references>
      </pivotArea>
    </format>
    <format dxfId="28">
      <pivotArea dataOnly="0" labelOnly="1" outline="0" fieldPosition="0">
        <references count="2">
          <reference field="4294967294" count="2">
            <x v="0"/>
            <x v="1"/>
          </reference>
          <reference field="1" count="1" selected="0">
            <x v="5"/>
          </reference>
        </references>
      </pivotArea>
    </format>
    <format dxfId="27">
      <pivotArea dataOnly="0" labelOnly="1" outline="0" fieldPosition="0">
        <references count="2">
          <reference field="4294967294" count="2">
            <x v="0"/>
            <x v="1"/>
          </reference>
          <reference field="1" count="1" selected="0">
            <x v="6"/>
          </reference>
        </references>
      </pivotArea>
    </format>
    <format dxfId="26">
      <pivotArea dataOnly="0" labelOnly="1" outline="0" fieldPosition="0">
        <references count="2">
          <reference field="4294967294" count="2">
            <x v="0"/>
            <x v="1"/>
          </reference>
          <reference field="1" count="1" selected="0">
            <x v="7"/>
          </reference>
        </references>
      </pivotArea>
    </format>
    <format dxfId="25">
      <pivotArea dataOnly="0" labelOnly="1" outline="0" fieldPosition="0">
        <references count="2">
          <reference field="4294967294" count="2">
            <x v="0"/>
            <x v="1"/>
          </reference>
          <reference field="1" count="1" selected="0">
            <x v="8"/>
          </reference>
        </references>
      </pivotArea>
    </format>
    <format dxfId="24">
      <pivotArea dataOnly="0" labelOnly="1" outline="0" fieldPosition="0">
        <references count="2">
          <reference field="4294967294" count="2">
            <x v="0"/>
            <x v="1"/>
          </reference>
          <reference field="1" count="1" selected="0">
            <x v="9"/>
          </reference>
        </references>
      </pivotArea>
    </format>
    <format dxfId="23">
      <pivotArea type="origin" dataOnly="0" labelOnly="1" outline="0" fieldPosition="0"/>
    </format>
    <format dxfId="22">
      <pivotArea field="1" type="button" dataOnly="0" labelOnly="1" outline="0" axis="axisCol" fieldPosition="0"/>
    </format>
    <format dxfId="21">
      <pivotArea field="-2" type="button" dataOnly="0" labelOnly="1" outline="0" axis="axisCol" fieldPosition="1"/>
    </format>
    <format dxfId="20">
      <pivotArea type="topRight" dataOnly="0" labelOnly="1" outline="0" fieldPosition="0"/>
    </format>
    <format dxfId="19">
      <pivotArea field="4" type="button" dataOnly="0" labelOnly="1" outline="0" axis="axisRow" fieldPosition="0"/>
    </format>
    <format dxfId="18">
      <pivotArea dataOnly="0" labelOnly="1" fieldPosition="0">
        <references count="1">
          <reference field="1" count="0"/>
        </references>
      </pivotArea>
    </format>
    <format dxfId="17">
      <pivotArea field="1" dataOnly="0" labelOnly="1" grandCol="1" outline="0" axis="axisCol" fieldPosition="0">
        <references count="1">
          <reference field="4294967294" count="1" selected="0">
            <x v="0"/>
          </reference>
        </references>
      </pivotArea>
    </format>
    <format dxfId="16">
      <pivotArea field="1" dataOnly="0" labelOnly="1" grandCol="1" outline="0" axis="axisCol" fieldPosition="0">
        <references count="1">
          <reference field="4294967294" count="1" selected="0">
            <x v="1"/>
          </reference>
        </references>
      </pivotArea>
    </format>
    <format dxfId="15">
      <pivotArea dataOnly="0" labelOnly="1" outline="0" fieldPosition="0">
        <references count="2">
          <reference field="4294967294" count="2">
            <x v="0"/>
            <x v="1"/>
          </reference>
          <reference field="1" count="1" selected="0">
            <x v="0"/>
          </reference>
        </references>
      </pivotArea>
    </format>
    <format dxfId="14">
      <pivotArea dataOnly="0" labelOnly="1" outline="0" fieldPosition="0">
        <references count="2">
          <reference field="4294967294" count="2">
            <x v="0"/>
            <x v="1"/>
          </reference>
          <reference field="1" count="1" selected="0">
            <x v="1"/>
          </reference>
        </references>
      </pivotArea>
    </format>
    <format dxfId="13">
      <pivotArea dataOnly="0" labelOnly="1" outline="0" fieldPosition="0">
        <references count="2">
          <reference field="4294967294" count="2">
            <x v="0"/>
            <x v="1"/>
          </reference>
          <reference field="1" count="1" selected="0">
            <x v="2"/>
          </reference>
        </references>
      </pivotArea>
    </format>
    <format dxfId="12">
      <pivotArea dataOnly="0" labelOnly="1" outline="0" fieldPosition="0">
        <references count="2">
          <reference field="4294967294" count="2">
            <x v="0"/>
            <x v="1"/>
          </reference>
          <reference field="1" count="1" selected="0">
            <x v="3"/>
          </reference>
        </references>
      </pivotArea>
    </format>
    <format dxfId="11">
      <pivotArea dataOnly="0" labelOnly="1" outline="0" fieldPosition="0">
        <references count="2">
          <reference field="4294967294" count="2">
            <x v="0"/>
            <x v="1"/>
          </reference>
          <reference field="1" count="1" selected="0">
            <x v="4"/>
          </reference>
        </references>
      </pivotArea>
    </format>
    <format dxfId="10">
      <pivotArea dataOnly="0" labelOnly="1" outline="0" fieldPosition="0">
        <references count="2">
          <reference field="4294967294" count="2">
            <x v="0"/>
            <x v="1"/>
          </reference>
          <reference field="1" count="1" selected="0">
            <x v="5"/>
          </reference>
        </references>
      </pivotArea>
    </format>
    <format dxfId="9">
      <pivotArea dataOnly="0" labelOnly="1" outline="0" fieldPosition="0">
        <references count="2">
          <reference field="4294967294" count="2">
            <x v="0"/>
            <x v="1"/>
          </reference>
          <reference field="1" count="1" selected="0">
            <x v="6"/>
          </reference>
        </references>
      </pivotArea>
    </format>
    <format dxfId="8">
      <pivotArea dataOnly="0" labelOnly="1" outline="0" fieldPosition="0">
        <references count="2">
          <reference field="4294967294" count="2">
            <x v="0"/>
            <x v="1"/>
          </reference>
          <reference field="1" count="1" selected="0">
            <x v="7"/>
          </reference>
        </references>
      </pivotArea>
    </format>
    <format dxfId="7">
      <pivotArea dataOnly="0" labelOnly="1" outline="0" fieldPosition="0">
        <references count="2">
          <reference field="4294967294" count="2">
            <x v="0"/>
            <x v="1"/>
          </reference>
          <reference field="1" count="1" selected="0">
            <x v="8"/>
          </reference>
        </references>
      </pivotArea>
    </format>
    <format dxfId="6">
      <pivotArea dataOnly="0" labelOnly="1" outline="0" fieldPosition="0">
        <references count="2">
          <reference field="4294967294" count="2">
            <x v="0"/>
            <x v="1"/>
          </reference>
          <reference field="1" count="1" selected="0">
            <x v="9"/>
          </reference>
        </references>
      </pivotArea>
    </format>
    <format dxfId="5">
      <pivotArea dataOnly="0" labelOnly="1" fieldPosition="0">
        <references count="1">
          <reference field="4" count="1">
            <x v="26"/>
          </reference>
        </references>
      </pivotArea>
    </format>
    <format dxfId="4">
      <pivotArea dataOnly="0" labelOnly="1" fieldPosition="0">
        <references count="1">
          <reference field="4" count="1">
            <x v="25"/>
          </reference>
        </references>
      </pivotArea>
    </format>
    <format dxfId="3">
      <pivotArea dataOnly="0" labelOnly="1" fieldPosition="0">
        <references count="1">
          <reference field="4" count="1">
            <x v="9"/>
          </reference>
        </references>
      </pivotArea>
    </format>
    <format dxfId="2">
      <pivotArea dataOnly="0" labelOnly="1" fieldPosition="0">
        <references count="1">
          <reference field="4" count="1">
            <x v="15"/>
          </reference>
        </references>
      </pivotArea>
    </format>
    <format dxfId="1">
      <pivotArea dataOnly="0" labelOnly="1" fieldPosition="0">
        <references count="1">
          <reference field="4" count="1">
            <x v="21"/>
          </reference>
        </references>
      </pivotArea>
    </format>
    <format dxfId="0">
      <pivotArea dataOnly="0" labelOnly="1" fieldPosition="0">
        <references count="1">
          <reference field="4" count="1">
            <x v="29"/>
          </reference>
        </references>
      </pivotArea>
    </format>
  </formats>
  <conditionalFormats count="2">
    <conditionalFormat priority="2">
      <pivotAreas count="33">
        <pivotArea type="data" grandCol="1" collapsedLevelsAreSubtotals="1" fieldPosition="0">
          <references count="2">
            <reference field="4294967294" count="1" selected="0">
              <x v="0"/>
            </reference>
            <reference field="4" count="1">
              <x v="13"/>
            </reference>
          </references>
        </pivotArea>
        <pivotArea type="data" grandCol="1" collapsedLevelsAreSubtotals="1" fieldPosition="0">
          <references count="2">
            <reference field="4294967294" count="1" selected="0">
              <x v="0"/>
            </reference>
            <reference field="4" count="1">
              <x v="27"/>
            </reference>
          </references>
        </pivotArea>
        <pivotArea type="data" grandCol="1" collapsedLevelsAreSubtotals="1" fieldPosition="0">
          <references count="2">
            <reference field="4294967294" count="1" selected="0">
              <x v="0"/>
            </reference>
            <reference field="4" count="1">
              <x v="30"/>
            </reference>
          </references>
        </pivotArea>
        <pivotArea type="data" grandCol="1" collapsedLevelsAreSubtotals="1" fieldPosition="0">
          <references count="2">
            <reference field="4294967294" count="1" selected="0">
              <x v="0"/>
            </reference>
            <reference field="4" count="1">
              <x v="8"/>
            </reference>
          </references>
        </pivotArea>
        <pivotArea type="data" grandCol="1" collapsedLevelsAreSubtotals="1" fieldPosition="0">
          <references count="2">
            <reference field="4294967294" count="1" selected="0">
              <x v="0"/>
            </reference>
            <reference field="4" count="1">
              <x v="2"/>
            </reference>
          </references>
        </pivotArea>
        <pivotArea type="data" grandCol="1" collapsedLevelsAreSubtotals="1" fieldPosition="0">
          <references count="2">
            <reference field="4294967294" count="1" selected="0">
              <x v="0"/>
            </reference>
            <reference field="4" count="1">
              <x v="28"/>
            </reference>
          </references>
        </pivotArea>
        <pivotArea type="data" grandCol="1" collapsedLevelsAreSubtotals="1" fieldPosition="0">
          <references count="2">
            <reference field="4294967294" count="1" selected="0">
              <x v="0"/>
            </reference>
            <reference field="4" count="1">
              <x v="22"/>
            </reference>
          </references>
        </pivotArea>
        <pivotArea type="data" grandCol="1" collapsedLevelsAreSubtotals="1" fieldPosition="0">
          <references count="2">
            <reference field="4294967294" count="1" selected="0">
              <x v="0"/>
            </reference>
            <reference field="4" count="1">
              <x v="7"/>
            </reference>
          </references>
        </pivotArea>
        <pivotArea type="data" grandCol="1" collapsedLevelsAreSubtotals="1" fieldPosition="0">
          <references count="2">
            <reference field="4294967294" count="1" selected="0">
              <x v="0"/>
            </reference>
            <reference field="4" count="1">
              <x v="31"/>
            </reference>
          </references>
        </pivotArea>
        <pivotArea type="data" grandCol="1" collapsedLevelsAreSubtotals="1" fieldPosition="0">
          <references count="2">
            <reference field="4294967294" count="1" selected="0">
              <x v="0"/>
            </reference>
            <reference field="4" count="1">
              <x v="24"/>
            </reference>
          </references>
        </pivotArea>
        <pivotArea type="data" grandCol="1" collapsedLevelsAreSubtotals="1" fieldPosition="0">
          <references count="2">
            <reference field="4294967294" count="1" selected="0">
              <x v="0"/>
            </reference>
            <reference field="4" count="1">
              <x v="1"/>
            </reference>
          </references>
        </pivotArea>
        <pivotArea type="data" grandCol="1" collapsedLevelsAreSubtotals="1" fieldPosition="0">
          <references count="2">
            <reference field="4294967294" count="1" selected="0">
              <x v="0"/>
            </reference>
            <reference field="4" count="1">
              <x v="10"/>
            </reference>
          </references>
        </pivotArea>
        <pivotArea type="data" grandCol="1" collapsedLevelsAreSubtotals="1" fieldPosition="0">
          <references count="2">
            <reference field="4294967294" count="1" selected="0">
              <x v="0"/>
            </reference>
            <reference field="4" count="1">
              <x v="19"/>
            </reference>
          </references>
        </pivotArea>
        <pivotArea type="data" grandCol="1" collapsedLevelsAreSubtotals="1" fieldPosition="0">
          <references count="2">
            <reference field="4294967294" count="1" selected="0">
              <x v="0"/>
            </reference>
            <reference field="4" count="1">
              <x v="29"/>
            </reference>
          </references>
        </pivotArea>
        <pivotArea type="data" grandCol="1" collapsedLevelsAreSubtotals="1" fieldPosition="0">
          <references count="2">
            <reference field="4294967294" count="1" selected="0">
              <x v="0"/>
            </reference>
            <reference field="4" count="1">
              <x v="18"/>
            </reference>
          </references>
        </pivotArea>
        <pivotArea type="data" grandCol="1" collapsedLevelsAreSubtotals="1" fieldPosition="0">
          <references count="2">
            <reference field="4294967294" count="1" selected="0">
              <x v="0"/>
            </reference>
            <reference field="4" count="1">
              <x v="14"/>
            </reference>
          </references>
        </pivotArea>
        <pivotArea type="data" grandCol="1" collapsedLevelsAreSubtotals="1" fieldPosition="0">
          <references count="2">
            <reference field="4294967294" count="1" selected="0">
              <x v="0"/>
            </reference>
            <reference field="4" count="1">
              <x v="5"/>
            </reference>
          </references>
        </pivotArea>
        <pivotArea type="data" grandCol="1" collapsedLevelsAreSubtotals="1" fieldPosition="0">
          <references count="2">
            <reference field="4294967294" count="1" selected="0">
              <x v="0"/>
            </reference>
            <reference field="4" count="1">
              <x v="26"/>
            </reference>
          </references>
        </pivotArea>
        <pivotArea type="data" grandCol="1" collapsedLevelsAreSubtotals="1" fieldPosition="0">
          <references count="2">
            <reference field="4294967294" count="1" selected="0">
              <x v="0"/>
            </reference>
            <reference field="4" count="1">
              <x v="11"/>
            </reference>
          </references>
        </pivotArea>
        <pivotArea type="data" grandCol="1" collapsedLevelsAreSubtotals="1" fieldPosition="0">
          <references count="2">
            <reference field="4294967294" count="1" selected="0">
              <x v="0"/>
            </reference>
            <reference field="4" count="1">
              <x v="0"/>
            </reference>
          </references>
        </pivotArea>
        <pivotArea type="data" grandCol="1" collapsedLevelsAreSubtotals="1" fieldPosition="0">
          <references count="2">
            <reference field="4294967294" count="1" selected="0">
              <x v="0"/>
            </reference>
            <reference field="4" count="1">
              <x v="32"/>
            </reference>
          </references>
        </pivotArea>
        <pivotArea type="data" grandCol="1" collapsedLevelsAreSubtotals="1" fieldPosition="0">
          <references count="2">
            <reference field="4294967294" count="1" selected="0">
              <x v="0"/>
            </reference>
            <reference field="4" count="1">
              <x v="12"/>
            </reference>
          </references>
        </pivotArea>
        <pivotArea type="data" grandCol="1" collapsedLevelsAreSubtotals="1" fieldPosition="0">
          <references count="2">
            <reference field="4294967294" count="1" selected="0">
              <x v="0"/>
            </reference>
            <reference field="4" count="1">
              <x v="20"/>
            </reference>
          </references>
        </pivotArea>
        <pivotArea type="data" grandCol="1" collapsedLevelsAreSubtotals="1" fieldPosition="0">
          <references count="2">
            <reference field="4294967294" count="1" selected="0">
              <x v="0"/>
            </reference>
            <reference field="4" count="1">
              <x v="23"/>
            </reference>
          </references>
        </pivotArea>
        <pivotArea type="data" grandCol="1" collapsedLevelsAreSubtotals="1" fieldPosition="0">
          <references count="2">
            <reference field="4294967294" count="1" selected="0">
              <x v="0"/>
            </reference>
            <reference field="4" count="1">
              <x v="4"/>
            </reference>
          </references>
        </pivotArea>
        <pivotArea type="data" grandCol="1" collapsedLevelsAreSubtotals="1" fieldPosition="0">
          <references count="2">
            <reference field="4294967294" count="1" selected="0">
              <x v="0"/>
            </reference>
            <reference field="4" count="1">
              <x v="17"/>
            </reference>
          </references>
        </pivotArea>
        <pivotArea type="data" grandCol="1" collapsedLevelsAreSubtotals="1" fieldPosition="0">
          <references count="2">
            <reference field="4294967294" count="1" selected="0">
              <x v="0"/>
            </reference>
            <reference field="4" count="1">
              <x v="16"/>
            </reference>
          </references>
        </pivotArea>
        <pivotArea type="data" grandCol="1" collapsedLevelsAreSubtotals="1" fieldPosition="0">
          <references count="2">
            <reference field="4294967294" count="1" selected="0">
              <x v="0"/>
            </reference>
            <reference field="4" count="1">
              <x v="25"/>
            </reference>
          </references>
        </pivotArea>
        <pivotArea type="data" grandCol="1" collapsedLevelsAreSubtotals="1" fieldPosition="0">
          <references count="2">
            <reference field="4294967294" count="1" selected="0">
              <x v="0"/>
            </reference>
            <reference field="4" count="1">
              <x v="3"/>
            </reference>
          </references>
        </pivotArea>
        <pivotArea type="data" grandCol="1" collapsedLevelsAreSubtotals="1" fieldPosition="0">
          <references count="2">
            <reference field="4294967294" count="1" selected="0">
              <x v="0"/>
            </reference>
            <reference field="4" count="1">
              <x v="21"/>
            </reference>
          </references>
        </pivotArea>
        <pivotArea type="data" grandCol="1" collapsedLevelsAreSubtotals="1" fieldPosition="0">
          <references count="2">
            <reference field="4294967294" count="1" selected="0">
              <x v="0"/>
            </reference>
            <reference field="4" count="1">
              <x v="6"/>
            </reference>
          </references>
        </pivotArea>
        <pivotArea type="data" grandCol="1" collapsedLevelsAreSubtotals="1" fieldPosition="0">
          <references count="2">
            <reference field="4294967294" count="1" selected="0">
              <x v="0"/>
            </reference>
            <reference field="4" count="1">
              <x v="9"/>
            </reference>
          </references>
        </pivotArea>
        <pivotArea type="data" grandCol="1" collapsedLevelsAreSubtotals="1" fieldPosition="0">
          <references count="2">
            <reference field="4294967294" count="1" selected="0">
              <x v="0"/>
            </reference>
            <reference field="4" count="1">
              <x v="15"/>
            </reference>
          </references>
        </pivotArea>
      </pivotAreas>
    </conditionalFormat>
    <conditionalFormat priority="1">
      <pivotAreas count="33">
        <pivotArea type="data" grandCol="1" collapsedLevelsAreSubtotals="1" fieldPosition="0">
          <references count="2">
            <reference field="4294967294" count="1" selected="0">
              <x v="1"/>
            </reference>
            <reference field="4" count="1">
              <x v="13"/>
            </reference>
          </references>
        </pivotArea>
        <pivotArea type="data" grandCol="1" collapsedLevelsAreSubtotals="1" fieldPosition="0">
          <references count="2">
            <reference field="4294967294" count="1" selected="0">
              <x v="1"/>
            </reference>
            <reference field="4" count="1">
              <x v="27"/>
            </reference>
          </references>
        </pivotArea>
        <pivotArea type="data" grandCol="1" collapsedLevelsAreSubtotals="1" fieldPosition="0">
          <references count="2">
            <reference field="4294967294" count="1" selected="0">
              <x v="1"/>
            </reference>
            <reference field="4" count="1">
              <x v="30"/>
            </reference>
          </references>
        </pivotArea>
        <pivotArea type="data" grandCol="1" collapsedLevelsAreSubtotals="1" fieldPosition="0">
          <references count="2">
            <reference field="4294967294" count="1" selected="0">
              <x v="1"/>
            </reference>
            <reference field="4" count="1">
              <x v="8"/>
            </reference>
          </references>
        </pivotArea>
        <pivotArea type="data" grandCol="1" collapsedLevelsAreSubtotals="1" fieldPosition="0">
          <references count="2">
            <reference field="4294967294" count="1" selected="0">
              <x v="1"/>
            </reference>
            <reference field="4" count="1">
              <x v="2"/>
            </reference>
          </references>
        </pivotArea>
        <pivotArea type="data" grandCol="1" collapsedLevelsAreSubtotals="1" fieldPosition="0">
          <references count="2">
            <reference field="4294967294" count="1" selected="0">
              <x v="1"/>
            </reference>
            <reference field="4" count="1">
              <x v="28"/>
            </reference>
          </references>
        </pivotArea>
        <pivotArea type="data" grandCol="1" collapsedLevelsAreSubtotals="1" fieldPosition="0">
          <references count="2">
            <reference field="4294967294" count="1" selected="0">
              <x v="1"/>
            </reference>
            <reference field="4" count="1">
              <x v="22"/>
            </reference>
          </references>
        </pivotArea>
        <pivotArea type="data" grandCol="1" collapsedLevelsAreSubtotals="1" fieldPosition="0">
          <references count="2">
            <reference field="4294967294" count="1" selected="0">
              <x v="1"/>
            </reference>
            <reference field="4" count="1">
              <x v="7"/>
            </reference>
          </references>
        </pivotArea>
        <pivotArea type="data" grandCol="1" collapsedLevelsAreSubtotals="1" fieldPosition="0">
          <references count="2">
            <reference field="4294967294" count="1" selected="0">
              <x v="1"/>
            </reference>
            <reference field="4" count="1">
              <x v="31"/>
            </reference>
          </references>
        </pivotArea>
        <pivotArea type="data" grandCol="1" collapsedLevelsAreSubtotals="1" fieldPosition="0">
          <references count="2">
            <reference field="4294967294" count="1" selected="0">
              <x v="1"/>
            </reference>
            <reference field="4" count="1">
              <x v="24"/>
            </reference>
          </references>
        </pivotArea>
        <pivotArea type="data" grandCol="1" collapsedLevelsAreSubtotals="1" fieldPosition="0">
          <references count="2">
            <reference field="4294967294" count="1" selected="0">
              <x v="1"/>
            </reference>
            <reference field="4" count="1">
              <x v="1"/>
            </reference>
          </references>
        </pivotArea>
        <pivotArea type="data" grandCol="1" collapsedLevelsAreSubtotals="1" fieldPosition="0">
          <references count="2">
            <reference field="4294967294" count="1" selected="0">
              <x v="1"/>
            </reference>
            <reference field="4" count="1">
              <x v="10"/>
            </reference>
          </references>
        </pivotArea>
        <pivotArea type="data" grandCol="1" collapsedLevelsAreSubtotals="1" fieldPosition="0">
          <references count="2">
            <reference field="4294967294" count="1" selected="0">
              <x v="1"/>
            </reference>
            <reference field="4" count="1">
              <x v="19"/>
            </reference>
          </references>
        </pivotArea>
        <pivotArea type="data" grandCol="1" collapsedLevelsAreSubtotals="1" fieldPosition="0">
          <references count="2">
            <reference field="4294967294" count="1" selected="0">
              <x v="1"/>
            </reference>
            <reference field="4" count="1">
              <x v="29"/>
            </reference>
          </references>
        </pivotArea>
        <pivotArea type="data" grandCol="1" collapsedLevelsAreSubtotals="1" fieldPosition="0">
          <references count="2">
            <reference field="4294967294" count="1" selected="0">
              <x v="1"/>
            </reference>
            <reference field="4" count="1">
              <x v="18"/>
            </reference>
          </references>
        </pivotArea>
        <pivotArea type="data" grandCol="1" collapsedLevelsAreSubtotals="1" fieldPosition="0">
          <references count="2">
            <reference field="4294967294" count="1" selected="0">
              <x v="1"/>
            </reference>
            <reference field="4" count="1">
              <x v="14"/>
            </reference>
          </references>
        </pivotArea>
        <pivotArea type="data" grandCol="1" collapsedLevelsAreSubtotals="1" fieldPosition="0">
          <references count="2">
            <reference field="4294967294" count="1" selected="0">
              <x v="1"/>
            </reference>
            <reference field="4" count="1">
              <x v="5"/>
            </reference>
          </references>
        </pivotArea>
        <pivotArea type="data" grandCol="1" collapsedLevelsAreSubtotals="1" fieldPosition="0">
          <references count="2">
            <reference field="4294967294" count="1" selected="0">
              <x v="1"/>
            </reference>
            <reference field="4" count="1">
              <x v="26"/>
            </reference>
          </references>
        </pivotArea>
        <pivotArea type="data" grandCol="1" collapsedLevelsAreSubtotals="1" fieldPosition="0">
          <references count="2">
            <reference field="4294967294" count="1" selected="0">
              <x v="1"/>
            </reference>
            <reference field="4" count="1">
              <x v="11"/>
            </reference>
          </references>
        </pivotArea>
        <pivotArea type="data" grandCol="1" collapsedLevelsAreSubtotals="1" fieldPosition="0">
          <references count="2">
            <reference field="4294967294" count="1" selected="0">
              <x v="1"/>
            </reference>
            <reference field="4" count="1">
              <x v="0"/>
            </reference>
          </references>
        </pivotArea>
        <pivotArea type="data" grandCol="1" collapsedLevelsAreSubtotals="1" fieldPosition="0">
          <references count="2">
            <reference field="4294967294" count="1" selected="0">
              <x v="1"/>
            </reference>
            <reference field="4" count="1">
              <x v="32"/>
            </reference>
          </references>
        </pivotArea>
        <pivotArea type="data" grandCol="1" collapsedLevelsAreSubtotals="1" fieldPosition="0">
          <references count="2">
            <reference field="4294967294" count="1" selected="0">
              <x v="1"/>
            </reference>
            <reference field="4" count="1">
              <x v="12"/>
            </reference>
          </references>
        </pivotArea>
        <pivotArea type="data" grandCol="1" collapsedLevelsAreSubtotals="1" fieldPosition="0">
          <references count="2">
            <reference field="4294967294" count="1" selected="0">
              <x v="1"/>
            </reference>
            <reference field="4" count="1">
              <x v="20"/>
            </reference>
          </references>
        </pivotArea>
        <pivotArea type="data" grandCol="1" collapsedLevelsAreSubtotals="1" fieldPosition="0">
          <references count="2">
            <reference field="4294967294" count="1" selected="0">
              <x v="1"/>
            </reference>
            <reference field="4" count="1">
              <x v="23"/>
            </reference>
          </references>
        </pivotArea>
        <pivotArea type="data" grandCol="1" collapsedLevelsAreSubtotals="1" fieldPosition="0">
          <references count="2">
            <reference field="4294967294" count="1" selected="0">
              <x v="1"/>
            </reference>
            <reference field="4" count="1">
              <x v="4"/>
            </reference>
          </references>
        </pivotArea>
        <pivotArea type="data" grandCol="1" collapsedLevelsAreSubtotals="1" fieldPosition="0">
          <references count="2">
            <reference field="4294967294" count="1" selected="0">
              <x v="1"/>
            </reference>
            <reference field="4" count="1">
              <x v="17"/>
            </reference>
          </references>
        </pivotArea>
        <pivotArea type="data" grandCol="1" collapsedLevelsAreSubtotals="1" fieldPosition="0">
          <references count="2">
            <reference field="4294967294" count="1" selected="0">
              <x v="1"/>
            </reference>
            <reference field="4" count="1">
              <x v="16"/>
            </reference>
          </references>
        </pivotArea>
        <pivotArea type="data" grandCol="1" collapsedLevelsAreSubtotals="1" fieldPosition="0">
          <references count="2">
            <reference field="4294967294" count="1" selected="0">
              <x v="1"/>
            </reference>
            <reference field="4" count="1">
              <x v="25"/>
            </reference>
          </references>
        </pivotArea>
        <pivotArea type="data" grandCol="1" collapsedLevelsAreSubtotals="1" fieldPosition="0">
          <references count="2">
            <reference field="4294967294" count="1" selected="0">
              <x v="1"/>
            </reference>
            <reference field="4" count="1">
              <x v="3"/>
            </reference>
          </references>
        </pivotArea>
        <pivotArea type="data" grandCol="1" collapsedLevelsAreSubtotals="1" fieldPosition="0">
          <references count="2">
            <reference field="4294967294" count="1" selected="0">
              <x v="1"/>
            </reference>
            <reference field="4" count="1">
              <x v="21"/>
            </reference>
          </references>
        </pivotArea>
        <pivotArea type="data" grandCol="1" collapsedLevelsAreSubtotals="1" fieldPosition="0">
          <references count="2">
            <reference field="4294967294" count="1" selected="0">
              <x v="1"/>
            </reference>
            <reference field="4" count="1">
              <x v="6"/>
            </reference>
          </references>
        </pivotArea>
        <pivotArea type="data" grandCol="1" collapsedLevelsAreSubtotals="1" fieldPosition="0">
          <references count="2">
            <reference field="4294967294" count="1" selected="0">
              <x v="1"/>
            </reference>
            <reference field="4" count="1">
              <x v="9"/>
            </reference>
          </references>
        </pivotArea>
        <pivotArea type="data" grandCol="1" collapsedLevelsAreSubtotals="1" fieldPosition="0">
          <references count="2">
            <reference field="4294967294" count="1" selected="0">
              <x v="1"/>
            </reference>
            <reference field="4" count="1">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434565-70AE-4B14-B2FF-2AAF276D4D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U42" firstHeaderRow="1" firstDataRow="3" firstDataCol="1"/>
  <pivotFields count="9">
    <pivotField showAll="0"/>
    <pivotField axis="axisCol" showAll="0">
      <items count="11">
        <item x="0"/>
        <item x="1"/>
        <item x="2"/>
        <item x="3"/>
        <item x="4"/>
        <item x="5"/>
        <item x="6"/>
        <item x="7"/>
        <item x="8"/>
        <item x="9"/>
        <item t="default"/>
      </items>
    </pivotField>
    <pivotField showAll="0"/>
    <pivotField showAll="0"/>
    <pivotField axis="axisRow" showAll="0" sortType="descending">
      <items count="34">
        <item sd="0" x="0"/>
        <item sd="0" x="1"/>
        <item sd="0" x="2"/>
        <item sd="0" x="3"/>
        <item sd="0" x="4"/>
        <item sd="0" x="5"/>
        <item sd="0" x="7"/>
        <item sd="0" x="8"/>
        <item x="9"/>
        <item sd="0" x="6"/>
        <item sd="0" x="10"/>
        <item sd="0" x="11"/>
        <item sd="0" x="12"/>
        <item sd="0" x="13"/>
        <item sd="0" x="14"/>
        <item sd="0" x="15"/>
        <item sd="0" x="16"/>
        <item sd="0" x="17"/>
        <item sd="0" x="18"/>
        <item sd="0" x="19"/>
        <item sd="0" x="20"/>
        <item sd="0" x="32"/>
        <item sd="0" x="21"/>
        <item sd="0" x="22"/>
        <item sd="0" x="23"/>
        <item sd="0" x="25"/>
        <item sd="0" x="26"/>
        <item x="24"/>
        <item sd="0" x="27"/>
        <item sd="0" x="30"/>
        <item sd="0" x="28"/>
        <item sd="0" x="29"/>
        <item sd="0" x="31"/>
        <item t="default" sd="0"/>
      </items>
      <autoSortScope>
        <pivotArea dataOnly="0" outline="0" fieldPosition="0">
          <references count="1">
            <reference field="4294967294" count="1" selected="0">
              <x v="0"/>
            </reference>
          </references>
        </pivotArea>
      </autoSortScope>
    </pivotField>
    <pivotField axis="axisRow" showAll="0" sortType="descending">
      <items count="82">
        <item x="0"/>
        <item x="1"/>
        <item x="11"/>
        <item x="12"/>
        <item x="13"/>
        <item x="14"/>
        <item x="6"/>
        <item x="37"/>
        <item x="8"/>
        <item x="69"/>
        <item x="2"/>
        <item x="3"/>
        <item x="4"/>
        <item x="7"/>
        <item x="10"/>
        <item x="43"/>
        <item x="15"/>
        <item x="9"/>
        <item x="16"/>
        <item x="79"/>
        <item x="73"/>
        <item x="17"/>
        <item x="18"/>
        <item x="44"/>
        <item x="21"/>
        <item x="77"/>
        <item x="74"/>
        <item x="56"/>
        <item x="57"/>
        <item x="80"/>
        <item x="28"/>
        <item x="70"/>
        <item x="71"/>
        <item x="58"/>
        <item x="59"/>
        <item x="60"/>
        <item x="61"/>
        <item x="62"/>
        <item x="63"/>
        <item x="22"/>
        <item x="64"/>
        <item x="23"/>
        <item x="24"/>
        <item x="78"/>
        <item x="45"/>
        <item x="46"/>
        <item x="47"/>
        <item x="48"/>
        <item x="66"/>
        <item x="25"/>
        <item x="26"/>
        <item x="27"/>
        <item x="76"/>
        <item x="29"/>
        <item x="30"/>
        <item x="31"/>
        <item x="32"/>
        <item x="33"/>
        <item x="34"/>
        <item x="35"/>
        <item x="36"/>
        <item x="65"/>
        <item x="20"/>
        <item x="49"/>
        <item x="50"/>
        <item x="51"/>
        <item x="19"/>
        <item x="41"/>
        <item x="42"/>
        <item x="38"/>
        <item x="39"/>
        <item x="40"/>
        <item x="52"/>
        <item x="5"/>
        <item x="53"/>
        <item x="54"/>
        <item x="55"/>
        <item x="68"/>
        <item x="75"/>
        <item x="67"/>
        <item x="7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2">
    <field x="4"/>
    <field x="5"/>
  </rowFields>
  <rowItems count="39">
    <i>
      <x v="13"/>
    </i>
    <i>
      <x v="27"/>
    </i>
    <i r="1">
      <x v="70"/>
    </i>
    <i r="1">
      <x v="69"/>
    </i>
    <i r="1">
      <x v="71"/>
    </i>
    <i>
      <x v="30"/>
    </i>
    <i>
      <x v="8"/>
    </i>
    <i r="1">
      <x v="5"/>
    </i>
    <i r="1">
      <x v="16"/>
    </i>
    <i>
      <x v="2"/>
    </i>
    <i>
      <x v="28"/>
    </i>
    <i>
      <x v="22"/>
    </i>
    <i>
      <x v="7"/>
    </i>
    <i>
      <x v="31"/>
    </i>
    <i>
      <x v="24"/>
    </i>
    <i>
      <x v="1"/>
    </i>
    <i>
      <x v="10"/>
    </i>
    <i>
      <x v="19"/>
    </i>
    <i>
      <x v="29"/>
    </i>
    <i>
      <x v="18"/>
    </i>
    <i>
      <x v="14"/>
    </i>
    <i>
      <x v="5"/>
    </i>
    <i>
      <x v="26"/>
    </i>
    <i>
      <x v="11"/>
    </i>
    <i>
      <x/>
    </i>
    <i>
      <x v="32"/>
    </i>
    <i>
      <x v="12"/>
    </i>
    <i>
      <x v="20"/>
    </i>
    <i>
      <x v="23"/>
    </i>
    <i>
      <x v="4"/>
    </i>
    <i>
      <x v="17"/>
    </i>
    <i>
      <x v="16"/>
    </i>
    <i>
      <x v="25"/>
    </i>
    <i>
      <x v="3"/>
    </i>
    <i>
      <x v="21"/>
    </i>
    <i>
      <x v="6"/>
    </i>
    <i>
      <x v="9"/>
    </i>
    <i>
      <x v="15"/>
    </i>
    <i t="grand">
      <x/>
    </i>
  </rowItems>
  <colFields count="2">
    <field x="1"/>
    <field x="-2"/>
  </colFields>
  <colItems count="22">
    <i>
      <x/>
      <x/>
    </i>
    <i r="1" i="1">
      <x v="1"/>
    </i>
    <i>
      <x v="1"/>
      <x/>
    </i>
    <i r="1" i="1">
      <x v="1"/>
    </i>
    <i>
      <x v="2"/>
      <x/>
    </i>
    <i r="1" i="1">
      <x v="1"/>
    </i>
    <i>
      <x v="3"/>
      <x/>
    </i>
    <i r="1" i="1">
      <x v="1"/>
    </i>
    <i>
      <x v="4"/>
      <x/>
    </i>
    <i r="1" i="1">
      <x v="1"/>
    </i>
    <i>
      <x v="5"/>
      <x/>
    </i>
    <i r="1" i="1">
      <x v="1"/>
    </i>
    <i>
      <x v="6"/>
      <x/>
    </i>
    <i r="1" i="1">
      <x v="1"/>
    </i>
    <i>
      <x v="7"/>
      <x/>
    </i>
    <i r="1" i="1">
      <x v="1"/>
    </i>
    <i>
      <x v="8"/>
      <x/>
    </i>
    <i r="1" i="1">
      <x v="1"/>
    </i>
    <i>
      <x v="9"/>
      <x/>
    </i>
    <i r="1" i="1">
      <x v="1"/>
    </i>
    <i t="grand">
      <x/>
    </i>
    <i t="grand" i="1">
      <x/>
    </i>
  </colItems>
  <dataFields count="2">
    <dataField name="Cost USD" fld="6" baseField="4" baseItem="13" numFmtId="8"/>
    <dataField name="% Split" fld="6"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4-07-10T19:17:53.54" personId="{1ADD1E28-B854-42DD-9525-4DC73F0E89C9}" id="{B32C801B-143E-45B9-9AE2-A76B5933FAAB}">
    <text>Placeholder (To Be Filled)</text>
  </threadedComment>
  <threadedComment ref="C2" dT="2024-07-03T09:22:28.93" personId="{1ADD1E28-B854-42DD-9525-4DC73F0E89C9}" id="{6AC9F19A-8284-46A1-AEFB-FD284BB1F1B1}">
    <text>Placeholder (To Be Filled)
It should be the natural frequency of usage for the product</text>
  </threadedComment>
  <threadedComment ref="C3" dT="2024-07-03T09:23:01.63" personId="{1ADD1E28-B854-42DD-9525-4DC73F0E89C9}" id="{F9449367-E7BB-45AF-BF62-5A0E8D512A1C}">
    <text>Assuming 260 working days a year</text>
  </threadedComment>
  <threadedComment ref="C3" dT="2025-02-11T13:52:22.74" personId="{1ADD1E28-B854-42DD-9525-4DC73F0E89C9}" id="{BDBB55B4-5E08-44C0-B52C-E78B2FB8E6A2}" parentId="{F9449367-E7BB-45AF-BF62-5A0E8D512A1C}">
    <text>200 after removing holidays and all</text>
  </threadedComment>
  <threadedComment ref="C8" dT="2024-07-03T09:23:27.96" personId="{1ADD1E28-B854-42DD-9525-4DC73F0E89C9}" id="{B757FBBD-5ABB-4AB1-9405-B631FE1A7280}">
    <text>Assuming 10% of queries are reasoning based</text>
  </threadedComment>
  <threadedComment ref="D8" dT="2024-09-02T12:32:23.62" personId="{1ADD1E28-B854-42DD-9525-4DC73F0E89C9}" id="{395D93F6-2ED0-4CBD-865B-F6F9FF495C5A}">
    <text>Assuming 5 simple questions per complex question</text>
  </threadedComment>
  <threadedComment ref="C15" dT="2025-09-18T08:49:07.06" personId="{1ADD1E28-B854-42DD-9525-4DC73F0E89C9}" id="{DF9F66F9-661E-4862-8A53-8D155DD2C11D}">
    <text>Change the estimate based on the 3 modes</text>
  </threadedComment>
  <threadedComment ref="B21" dT="2025-09-18T08:48:36.62" personId="{1ADD1E28-B854-42DD-9525-4DC73F0E89C9}" id="{6B9AF778-53C7-4C1D-B796-D063F8ED0AA4}">
    <text>We need to update these numbers</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FEE3B-1B2F-4EA2-B83C-96E50F694CE4}">
  <dimension ref="A1:AC134"/>
  <sheetViews>
    <sheetView showGridLines="0" zoomScaleNormal="100" workbookViewId="0">
      <pane xSplit="1" ySplit="3" topLeftCell="B4" activePane="bottomRight" state="frozen"/>
      <selection pane="topRight" activeCell="B1" sqref="B1"/>
      <selection pane="bottomLeft" activeCell="A4" sqref="A4"/>
      <selection pane="bottomRight" activeCell="Y75" sqref="Y75"/>
    </sheetView>
  </sheetViews>
  <sheetFormatPr defaultRowHeight="14.4" outlineLevelRow="1" x14ac:dyDescent="0.3"/>
  <cols>
    <col min="1" max="1" width="49.21875" bestFit="1" customWidth="1"/>
    <col min="2" max="2" width="11" bestFit="1" customWidth="1"/>
    <col min="3" max="3" width="8" hidden="1" customWidth="1"/>
    <col min="4" max="4" width="11" bestFit="1" customWidth="1"/>
    <col min="5" max="5" width="8" hidden="1" customWidth="1"/>
    <col min="6" max="6" width="11" bestFit="1" customWidth="1"/>
    <col min="7" max="7" width="8" hidden="1" customWidth="1"/>
    <col min="8" max="8" width="11" bestFit="1" customWidth="1"/>
    <col min="9" max="9" width="8" hidden="1" customWidth="1"/>
    <col min="10" max="10" width="11" bestFit="1" customWidth="1"/>
    <col min="11" max="11" width="8" hidden="1" customWidth="1"/>
    <col min="12" max="12" width="11" bestFit="1" customWidth="1"/>
    <col min="13" max="13" width="8" hidden="1" customWidth="1"/>
    <col min="14" max="14" width="11" bestFit="1" customWidth="1"/>
    <col min="15" max="15" width="8" hidden="1" customWidth="1"/>
    <col min="16" max="16" width="11" bestFit="1" customWidth="1"/>
    <col min="17" max="17" width="8" hidden="1" customWidth="1"/>
    <col min="18" max="18" width="11" bestFit="1" customWidth="1"/>
    <col min="19" max="19" width="8" hidden="1" customWidth="1"/>
    <col min="20" max="20" width="10.6640625" bestFit="1" customWidth="1"/>
    <col min="21" max="21" width="8" hidden="1" customWidth="1"/>
    <col min="22" max="22" width="14" bestFit="1" customWidth="1"/>
    <col min="23" max="23" width="11.77734375" bestFit="1" customWidth="1"/>
    <col min="24" max="24" width="11.5546875" customWidth="1"/>
    <col min="25" max="26" width="11.88671875" bestFit="1" customWidth="1"/>
    <col min="27" max="27" width="13.21875" bestFit="1" customWidth="1"/>
    <col min="28" max="28" width="11.5546875" bestFit="1" customWidth="1"/>
    <col min="29" max="29" width="16.109375" bestFit="1" customWidth="1"/>
    <col min="30" max="30" width="13.44140625" bestFit="1" customWidth="1"/>
    <col min="31" max="31" width="11.21875" bestFit="1" customWidth="1"/>
    <col min="32" max="32" width="20.88671875" bestFit="1" customWidth="1"/>
  </cols>
  <sheetData>
    <row r="1" spans="1:29" x14ac:dyDescent="0.3">
      <c r="A1" s="29"/>
      <c r="B1" s="30" t="s">
        <v>206</v>
      </c>
      <c r="C1" s="29"/>
      <c r="D1" s="29"/>
      <c r="E1" s="29"/>
      <c r="F1" s="29"/>
      <c r="G1" s="29"/>
      <c r="H1" s="29"/>
      <c r="I1" s="29"/>
      <c r="J1" s="29"/>
      <c r="K1" s="29"/>
      <c r="L1" s="29"/>
      <c r="M1" s="29"/>
      <c r="N1" s="29"/>
      <c r="O1" s="29"/>
      <c r="P1" s="29"/>
      <c r="Q1" s="29"/>
      <c r="R1" s="29"/>
      <c r="S1" s="29"/>
      <c r="T1" s="29"/>
      <c r="U1" s="29"/>
      <c r="V1" s="29"/>
      <c r="W1" s="29"/>
      <c r="X1" s="31"/>
      <c r="Y1" s="31"/>
      <c r="Z1" s="31"/>
      <c r="AA1" s="31"/>
      <c r="AB1" s="31"/>
    </row>
    <row r="2" spans="1:29" x14ac:dyDescent="0.3">
      <c r="A2" s="29"/>
      <c r="B2" s="29" t="s">
        <v>61</v>
      </c>
      <c r="C2" s="29"/>
      <c r="D2" s="29" t="s">
        <v>62</v>
      </c>
      <c r="E2" s="29"/>
      <c r="F2" s="29" t="s">
        <v>63</v>
      </c>
      <c r="G2" s="29"/>
      <c r="H2" s="29" t="s">
        <v>64</v>
      </c>
      <c r="I2" s="29"/>
      <c r="J2" s="29" t="s">
        <v>65</v>
      </c>
      <c r="K2" s="29"/>
      <c r="L2" s="29" t="s">
        <v>66</v>
      </c>
      <c r="M2" s="29"/>
      <c r="N2" s="29" t="s">
        <v>67</v>
      </c>
      <c r="O2" s="29"/>
      <c r="P2" s="29" t="s">
        <v>68</v>
      </c>
      <c r="Q2" s="29"/>
      <c r="R2" s="29" t="s">
        <v>69</v>
      </c>
      <c r="S2" s="29"/>
      <c r="T2" s="29" t="s">
        <v>203</v>
      </c>
      <c r="U2" s="29"/>
      <c r="V2" s="29" t="s">
        <v>199</v>
      </c>
      <c r="W2" s="29" t="s">
        <v>197</v>
      </c>
      <c r="X2" s="31" t="s">
        <v>207</v>
      </c>
      <c r="Y2" s="31" t="s">
        <v>209</v>
      </c>
      <c r="Z2" s="31" t="s">
        <v>204</v>
      </c>
      <c r="AA2" s="31" t="s">
        <v>205</v>
      </c>
      <c r="AB2" s="31" t="s">
        <v>212</v>
      </c>
      <c r="AC2" s="31" t="s">
        <v>42</v>
      </c>
    </row>
    <row r="3" spans="1:29" x14ac:dyDescent="0.3">
      <c r="A3" s="30" t="s">
        <v>211</v>
      </c>
      <c r="B3" s="29" t="s">
        <v>200</v>
      </c>
      <c r="C3" s="29" t="s">
        <v>198</v>
      </c>
      <c r="D3" s="29" t="s">
        <v>200</v>
      </c>
      <c r="E3" s="29" t="s">
        <v>198</v>
      </c>
      <c r="F3" s="29" t="s">
        <v>200</v>
      </c>
      <c r="G3" s="29" t="s">
        <v>198</v>
      </c>
      <c r="H3" s="29" t="s">
        <v>200</v>
      </c>
      <c r="I3" s="29" t="s">
        <v>198</v>
      </c>
      <c r="J3" s="29" t="s">
        <v>200</v>
      </c>
      <c r="K3" s="29" t="s">
        <v>198</v>
      </c>
      <c r="L3" s="29" t="s">
        <v>200</v>
      </c>
      <c r="M3" s="29" t="s">
        <v>198</v>
      </c>
      <c r="N3" s="29" t="s">
        <v>200</v>
      </c>
      <c r="O3" s="29" t="s">
        <v>198</v>
      </c>
      <c r="P3" s="29" t="s">
        <v>200</v>
      </c>
      <c r="Q3" s="29" t="s">
        <v>198</v>
      </c>
      <c r="R3" s="29" t="s">
        <v>200</v>
      </c>
      <c r="S3" s="29" t="s">
        <v>198</v>
      </c>
      <c r="T3" s="29" t="s">
        <v>200</v>
      </c>
      <c r="U3" s="29" t="s">
        <v>198</v>
      </c>
      <c r="V3" s="29"/>
      <c r="W3" s="29"/>
      <c r="X3" s="32"/>
      <c r="Y3" s="32" t="s">
        <v>210</v>
      </c>
      <c r="Z3" s="32" t="s">
        <v>208</v>
      </c>
      <c r="AA3" s="32"/>
      <c r="AB3" s="32"/>
    </row>
    <row r="4" spans="1:29" x14ac:dyDescent="0.3">
      <c r="A4" s="19" t="s">
        <v>84</v>
      </c>
      <c r="B4" s="23">
        <v>806.52692865968095</v>
      </c>
      <c r="C4" s="20">
        <v>4.4771886600837481E-2</v>
      </c>
      <c r="D4" s="23">
        <v>2361.9133515209301</v>
      </c>
      <c r="E4" s="20">
        <v>9.1095207691415811E-2</v>
      </c>
      <c r="F4" s="23">
        <v>10637.9792284615</v>
      </c>
      <c r="G4" s="20">
        <v>0.29556504544613044</v>
      </c>
      <c r="H4" s="23">
        <v>3837.8990965691078</v>
      </c>
      <c r="I4" s="20">
        <v>0.1426505107025183</v>
      </c>
      <c r="J4" s="23">
        <v>6254.5147875340626</v>
      </c>
      <c r="K4" s="20">
        <v>0.19214679401020407</v>
      </c>
      <c r="L4" s="23">
        <v>14479.0113744911</v>
      </c>
      <c r="M4" s="20">
        <v>0.36860225029157484</v>
      </c>
      <c r="N4" s="23">
        <v>17616.416950821498</v>
      </c>
      <c r="O4" s="20">
        <v>0.30778052042214099</v>
      </c>
      <c r="P4" s="23">
        <v>15614.554066485218</v>
      </c>
      <c r="Q4" s="20">
        <v>0.299781957805624</v>
      </c>
      <c r="R4" s="23">
        <v>19046.256918473591</v>
      </c>
      <c r="S4" s="20">
        <v>0.36336615055727084</v>
      </c>
      <c r="T4" s="23">
        <v>577.06907144185925</v>
      </c>
      <c r="U4" s="20">
        <v>7.6936806629359672E-2</v>
      </c>
      <c r="V4" s="23">
        <v>91232.141774458534</v>
      </c>
      <c r="W4" s="20">
        <v>0.26222920850854187</v>
      </c>
      <c r="X4" s="23">
        <f>B4+D4+F4+H4+J4+L4+N4+P4+R4</f>
        <v>90655.072703016689</v>
      </c>
      <c r="Y4" s="23">
        <f>IFERROR(AVERAGE(N4,P4,R4),0)</f>
        <v>17425.742645260103</v>
      </c>
      <c r="Z4" s="23">
        <f>Y4*3</f>
        <v>52277.227935780305</v>
      </c>
      <c r="AA4" s="23">
        <f>X4+Z4</f>
        <v>142932.30063879699</v>
      </c>
      <c r="AB4" s="36">
        <f>AA4/$AA$118</f>
        <v>0.28461850726568089</v>
      </c>
      <c r="AC4" s="23" t="s">
        <v>342</v>
      </c>
    </row>
    <row r="5" spans="1:29" ht="14.55" hidden="1" outlineLevel="1" x14ac:dyDescent="0.3">
      <c r="A5" s="22" t="s">
        <v>129</v>
      </c>
      <c r="B5" s="23">
        <v>806.52692865968095</v>
      </c>
      <c r="C5" s="20">
        <v>4.4771886600837481E-2</v>
      </c>
      <c r="D5" s="23">
        <v>2361.9133515209301</v>
      </c>
      <c r="E5" s="20">
        <v>9.1095207691415811E-2</v>
      </c>
      <c r="F5" s="23">
        <v>10637.9792284615</v>
      </c>
      <c r="G5" s="20">
        <v>0.29556504544613044</v>
      </c>
      <c r="H5" s="23">
        <v>3837.6825138488798</v>
      </c>
      <c r="I5" s="20">
        <v>0.14264246055975205</v>
      </c>
      <c r="J5" s="23">
        <v>6254.3262246178001</v>
      </c>
      <c r="K5" s="20">
        <v>0.1921410011132233</v>
      </c>
      <c r="L5" s="23">
        <v>14479.0113744911</v>
      </c>
      <c r="M5" s="20">
        <v>0.36860225029157484</v>
      </c>
      <c r="N5" s="23">
        <v>17616.412380519399</v>
      </c>
      <c r="O5" s="20">
        <v>0.30778044057332937</v>
      </c>
      <c r="P5" s="23">
        <v>15611.514177737399</v>
      </c>
      <c r="Q5" s="20">
        <v>0.29972359534477799</v>
      </c>
      <c r="R5" s="23">
        <v>19046.177775101802</v>
      </c>
      <c r="S5" s="20">
        <v>0.36336464065312157</v>
      </c>
      <c r="T5" s="23">
        <v>504.64316121627098</v>
      </c>
      <c r="U5" s="20">
        <v>6.7280738533284534E-2</v>
      </c>
      <c r="V5" s="23">
        <v>91156.18711617474</v>
      </c>
      <c r="W5" s="20">
        <v>0.26201089148192275</v>
      </c>
      <c r="X5" s="23">
        <f t="shared" ref="X5:X68" si="0">B5+D5+F5+H5+J5+L5+N5+P5+R5</f>
        <v>90651.54395495847</v>
      </c>
      <c r="Y5" s="23">
        <f t="shared" ref="Y5:Y68" si="1">IFERROR(AVERAGE(N5,P5,R5),0)</f>
        <v>17424.701444452865</v>
      </c>
      <c r="Z5" s="23">
        <f t="shared" ref="Z5:Z68" si="2">Y5*3</f>
        <v>52274.104333358599</v>
      </c>
      <c r="AA5" s="23">
        <f t="shared" ref="AA5:AA68" si="3">X5+Z5</f>
        <v>142925.64828831708</v>
      </c>
      <c r="AB5" s="36">
        <f t="shared" ref="AB5:AB68" si="4">AA5/$AA$118</f>
        <v>0.28460526056038798</v>
      </c>
    </row>
    <row r="6" spans="1:29" ht="14.55" hidden="1" outlineLevel="1" x14ac:dyDescent="0.3">
      <c r="A6" s="22" t="s">
        <v>177</v>
      </c>
      <c r="B6" s="23"/>
      <c r="C6" s="20">
        <v>0</v>
      </c>
      <c r="D6" s="23"/>
      <c r="E6" s="20">
        <v>0</v>
      </c>
      <c r="F6" s="23"/>
      <c r="G6" s="20">
        <v>0</v>
      </c>
      <c r="H6" s="23"/>
      <c r="I6" s="20">
        <v>0</v>
      </c>
      <c r="J6" s="23"/>
      <c r="K6" s="20">
        <v>0</v>
      </c>
      <c r="L6" s="23"/>
      <c r="M6" s="20">
        <v>0</v>
      </c>
      <c r="N6" s="23"/>
      <c r="O6" s="20">
        <v>0</v>
      </c>
      <c r="P6" s="23">
        <v>2.9785704606441299</v>
      </c>
      <c r="Q6" s="20">
        <v>5.7185218377157925E-5</v>
      </c>
      <c r="R6" s="23">
        <v>6.8019666864999995E-2</v>
      </c>
      <c r="S6" s="20">
        <v>1.2976851365976319E-6</v>
      </c>
      <c r="T6" s="23">
        <v>72.425910225588296</v>
      </c>
      <c r="U6" s="20">
        <v>9.6560680960751533E-3</v>
      </c>
      <c r="V6" s="23">
        <v>75.472500353097431</v>
      </c>
      <c r="W6" s="20">
        <v>2.1693115657287054E-4</v>
      </c>
      <c r="X6" s="23">
        <f t="shared" si="0"/>
        <v>3.0465901275091301</v>
      </c>
      <c r="Y6" s="23">
        <f t="shared" si="1"/>
        <v>1.523295063754565</v>
      </c>
      <c r="Z6" s="23">
        <f t="shared" si="2"/>
        <v>4.5698851912636949</v>
      </c>
      <c r="AA6" s="23">
        <f t="shared" si="3"/>
        <v>7.6164753187728245</v>
      </c>
      <c r="AB6" s="36">
        <f t="shared" si="4"/>
        <v>1.5166549661389875E-5</v>
      </c>
    </row>
    <row r="7" spans="1:29" ht="14.55" hidden="1" outlineLevel="1" x14ac:dyDescent="0.3">
      <c r="A7" s="22" t="s">
        <v>172</v>
      </c>
      <c r="B7" s="23"/>
      <c r="C7" s="20">
        <v>0</v>
      </c>
      <c r="D7" s="23"/>
      <c r="E7" s="20">
        <v>0</v>
      </c>
      <c r="F7" s="23"/>
      <c r="G7" s="20">
        <v>0</v>
      </c>
      <c r="H7" s="23">
        <v>0.21658272022808001</v>
      </c>
      <c r="I7" s="20">
        <v>8.050142766258609E-6</v>
      </c>
      <c r="J7" s="23">
        <v>0.18856291626234001</v>
      </c>
      <c r="K7" s="20">
        <v>5.7928969807917155E-6</v>
      </c>
      <c r="L7" s="23"/>
      <c r="M7" s="20">
        <v>0</v>
      </c>
      <c r="N7" s="23">
        <v>4.5703020976000002E-3</v>
      </c>
      <c r="O7" s="20">
        <v>7.9848811595035224E-8</v>
      </c>
      <c r="P7" s="23">
        <v>6.1318287175199999E-2</v>
      </c>
      <c r="Q7" s="20">
        <v>1.1772424688146532E-6</v>
      </c>
      <c r="R7" s="23">
        <v>1.11237049263E-2</v>
      </c>
      <c r="S7" s="20">
        <v>2.12219012707118E-7</v>
      </c>
      <c r="T7" s="23"/>
      <c r="U7" s="20">
        <v>0</v>
      </c>
      <c r="V7" s="23">
        <v>0.48215793068952001</v>
      </c>
      <c r="W7" s="20">
        <v>1.3858700462540975E-6</v>
      </c>
      <c r="X7" s="23">
        <f t="shared" si="0"/>
        <v>0.48215793068952001</v>
      </c>
      <c r="Y7" s="23">
        <f t="shared" si="1"/>
        <v>2.5670764733033331E-2</v>
      </c>
      <c r="Z7" s="23">
        <f t="shared" si="2"/>
        <v>7.7012294199099995E-2</v>
      </c>
      <c r="AA7" s="23">
        <f t="shared" si="3"/>
        <v>0.55917022488862</v>
      </c>
      <c r="AB7" s="36">
        <f t="shared" si="4"/>
        <v>1.1134655637944374E-6</v>
      </c>
    </row>
    <row r="8" spans="1:29" collapsed="1" x14ac:dyDescent="0.3">
      <c r="A8" s="19" t="s">
        <v>98</v>
      </c>
      <c r="B8" s="23">
        <v>4080.5805531451615</v>
      </c>
      <c r="C8" s="20">
        <v>0.22652100419586518</v>
      </c>
      <c r="D8" s="23">
        <v>3666.3502761290324</v>
      </c>
      <c r="E8" s="20">
        <v>0.14140524658044143</v>
      </c>
      <c r="F8" s="23">
        <v>4092.8701139999998</v>
      </c>
      <c r="G8" s="20">
        <v>0.1137160841612652</v>
      </c>
      <c r="H8" s="23">
        <v>4059.6835384731239</v>
      </c>
      <c r="I8" s="20">
        <v>0.15089399577271292</v>
      </c>
      <c r="J8" s="23">
        <v>4402.9676855322587</v>
      </c>
      <c r="K8" s="20">
        <v>0.13526486924161651</v>
      </c>
      <c r="L8" s="23">
        <v>4262.4760800537642</v>
      </c>
      <c r="M8" s="20">
        <v>0.10851281446534886</v>
      </c>
      <c r="N8" s="23">
        <v>10889.807695827958</v>
      </c>
      <c r="O8" s="20">
        <v>0.19025836464223039</v>
      </c>
      <c r="P8" s="23">
        <v>13318.296988333301</v>
      </c>
      <c r="Q8" s="20">
        <v>0.25569639253220244</v>
      </c>
      <c r="R8" s="23">
        <v>13101.944879999999</v>
      </c>
      <c r="S8" s="20">
        <v>0.24996004707053404</v>
      </c>
      <c r="T8" s="23">
        <v>2770.533915596774</v>
      </c>
      <c r="U8" s="20">
        <v>0.36937698218995185</v>
      </c>
      <c r="V8" s="23">
        <v>64645.511727091369</v>
      </c>
      <c r="W8" s="20">
        <v>0.1858110644353054</v>
      </c>
      <c r="X8" s="23">
        <f t="shared" si="0"/>
        <v>61874.977811494595</v>
      </c>
      <c r="Y8" s="23">
        <f t="shared" si="1"/>
        <v>12436.683188053752</v>
      </c>
      <c r="Z8" s="23">
        <f t="shared" si="2"/>
        <v>37310.049564161258</v>
      </c>
      <c r="AA8" s="23">
        <f t="shared" si="3"/>
        <v>99185.02737565586</v>
      </c>
      <c r="AB8" s="36">
        <f t="shared" si="4"/>
        <v>0.1975053525941935</v>
      </c>
      <c r="AC8" s="61" t="s">
        <v>344</v>
      </c>
    </row>
    <row r="9" spans="1:29" ht="14.55" hidden="1" outlineLevel="1" x14ac:dyDescent="0.3">
      <c r="A9" s="22" t="s">
        <v>140</v>
      </c>
      <c r="B9" s="23">
        <v>3875.87761</v>
      </c>
      <c r="C9" s="20">
        <v>0.21515754361980791</v>
      </c>
      <c r="D9" s="23">
        <v>3499.9529600000001</v>
      </c>
      <c r="E9" s="20">
        <v>0.13498756912317672</v>
      </c>
      <c r="F9" s="23">
        <v>3907.115194</v>
      </c>
      <c r="G9" s="20">
        <v>0.10855507940720888</v>
      </c>
      <c r="H9" s="23">
        <v>3875.1898393333399</v>
      </c>
      <c r="I9" s="20">
        <v>0.14403656681445448</v>
      </c>
      <c r="J9" s="23">
        <v>4203.1389865000001</v>
      </c>
      <c r="K9" s="20">
        <v>0.12912587282469112</v>
      </c>
      <c r="L9" s="23">
        <v>4067.3637600000002</v>
      </c>
      <c r="M9" s="20">
        <v>0.10354570460050457</v>
      </c>
      <c r="N9" s="23">
        <v>10603.795104000001</v>
      </c>
      <c r="O9" s="20">
        <v>0.18526137208660237</v>
      </c>
      <c r="P9" s="23">
        <v>13012.720288333299</v>
      </c>
      <c r="Q9" s="20">
        <v>0.24982966198096601</v>
      </c>
      <c r="R9" s="23">
        <v>12801.106529999999</v>
      </c>
      <c r="S9" s="20">
        <v>0.24422062679244919</v>
      </c>
      <c r="T9" s="23">
        <v>2707.6026685000002</v>
      </c>
      <c r="U9" s="20">
        <v>0.3609867747980855</v>
      </c>
      <c r="V9" s="23">
        <v>62553.862940666637</v>
      </c>
      <c r="W9" s="20">
        <v>0.17979902311879248</v>
      </c>
      <c r="X9" s="23">
        <f t="shared" si="0"/>
        <v>59846.260272166634</v>
      </c>
      <c r="Y9" s="23">
        <f t="shared" si="1"/>
        <v>12139.207307444432</v>
      </c>
      <c r="Z9" s="23">
        <f t="shared" si="2"/>
        <v>36417.621922333296</v>
      </c>
      <c r="AA9" s="23">
        <f t="shared" si="3"/>
        <v>96263.882194499922</v>
      </c>
      <c r="AB9" s="36">
        <f t="shared" si="4"/>
        <v>0.19168852898433644</v>
      </c>
    </row>
    <row r="10" spans="1:29" ht="14.55" hidden="1" outlineLevel="1" x14ac:dyDescent="0.3">
      <c r="A10" s="22" t="s">
        <v>139</v>
      </c>
      <c r="B10" s="23">
        <v>136.391440625</v>
      </c>
      <c r="C10" s="20">
        <v>7.571355519567574E-3</v>
      </c>
      <c r="D10" s="23">
        <v>110.86879999999999</v>
      </c>
      <c r="E10" s="20">
        <v>4.2760316994670845E-3</v>
      </c>
      <c r="F10" s="23">
        <v>123.76657</v>
      </c>
      <c r="G10" s="20">
        <v>3.4387237558135522E-3</v>
      </c>
      <c r="H10" s="23">
        <v>122.926231666666</v>
      </c>
      <c r="I10" s="20">
        <v>4.5690335479798942E-3</v>
      </c>
      <c r="J10" s="23">
        <v>133.14378249999999</v>
      </c>
      <c r="K10" s="20">
        <v>4.0903494225894149E-3</v>
      </c>
      <c r="L10" s="23">
        <v>128.84280000000001</v>
      </c>
      <c r="M10" s="20">
        <v>3.2800406592357234E-3</v>
      </c>
      <c r="N10" s="23">
        <v>190.567213333333</v>
      </c>
      <c r="O10" s="20">
        <v>3.3294441349150323E-3</v>
      </c>
      <c r="P10" s="23">
        <v>203.602575</v>
      </c>
      <c r="Q10" s="20">
        <v>3.9089415098170315E-3</v>
      </c>
      <c r="R10" s="23">
        <v>198.24029999999999</v>
      </c>
      <c r="S10" s="20">
        <v>3.7820457323796031E-3</v>
      </c>
      <c r="T10" s="23">
        <v>41.930434999999903</v>
      </c>
      <c r="U10" s="20">
        <v>5.5903078663001133E-3</v>
      </c>
      <c r="V10" s="23">
        <v>1390.280148124999</v>
      </c>
      <c r="W10" s="20">
        <v>3.9960923393560282E-3</v>
      </c>
      <c r="X10" s="23">
        <f t="shared" si="0"/>
        <v>1348.349713124999</v>
      </c>
      <c r="Y10" s="23">
        <f t="shared" si="1"/>
        <v>197.47002944444435</v>
      </c>
      <c r="Z10" s="23">
        <f t="shared" si="2"/>
        <v>592.41008833333308</v>
      </c>
      <c r="AA10" s="23">
        <f t="shared" si="3"/>
        <v>1940.759801458332</v>
      </c>
      <c r="AB10" s="36">
        <f t="shared" si="4"/>
        <v>3.8645999202672515E-3</v>
      </c>
    </row>
    <row r="11" spans="1:29" ht="14.55" hidden="1" outlineLevel="1" x14ac:dyDescent="0.3">
      <c r="A11" s="22" t="s">
        <v>141</v>
      </c>
      <c r="B11" s="23">
        <v>68.311502520161298</v>
      </c>
      <c r="C11" s="20">
        <v>3.7921050564897023E-3</v>
      </c>
      <c r="D11" s="23">
        <v>55.528516129032297</v>
      </c>
      <c r="E11" s="20">
        <v>2.1416457577976078E-3</v>
      </c>
      <c r="F11" s="23">
        <v>61.988349999999997</v>
      </c>
      <c r="G11" s="20">
        <v>1.7222809982427806E-3</v>
      </c>
      <c r="H11" s="23">
        <v>61.567467473118299</v>
      </c>
      <c r="I11" s="20">
        <v>2.288395410278568E-3</v>
      </c>
      <c r="J11" s="23">
        <v>66.684916532258001</v>
      </c>
      <c r="K11" s="20">
        <v>2.0486469943359533E-3</v>
      </c>
      <c r="L11" s="23">
        <v>66.269520053763401</v>
      </c>
      <c r="M11" s="20">
        <v>1.6870692056085484E-3</v>
      </c>
      <c r="N11" s="23">
        <v>95.445378494623597</v>
      </c>
      <c r="O11" s="20">
        <v>1.6675484207129638E-3</v>
      </c>
      <c r="P11" s="23">
        <v>101.974125</v>
      </c>
      <c r="Q11" s="20">
        <v>1.9577890414193958E-3</v>
      </c>
      <c r="R11" s="23">
        <v>102.59805</v>
      </c>
      <c r="S11" s="20">
        <v>1.9573745457052332E-3</v>
      </c>
      <c r="T11" s="23">
        <v>21.000812096774201</v>
      </c>
      <c r="U11" s="20">
        <v>2.7998995255662778E-3</v>
      </c>
      <c r="V11" s="23">
        <v>701.36863829973106</v>
      </c>
      <c r="W11" s="20">
        <v>2.0159489771568923E-3</v>
      </c>
      <c r="X11" s="23">
        <f t="shared" si="0"/>
        <v>680.36782620295685</v>
      </c>
      <c r="Y11" s="23">
        <f t="shared" si="1"/>
        <v>100.00585116487453</v>
      </c>
      <c r="Z11" s="23">
        <f t="shared" si="2"/>
        <v>300.0175534946236</v>
      </c>
      <c r="AA11" s="23">
        <f t="shared" si="3"/>
        <v>980.38537969758045</v>
      </c>
      <c r="AB11" s="36">
        <f t="shared" si="4"/>
        <v>1.9522236895897463E-3</v>
      </c>
    </row>
    <row r="12" spans="1:29" collapsed="1" x14ac:dyDescent="0.3">
      <c r="A12" s="19" t="s">
        <v>101</v>
      </c>
      <c r="B12" s="23">
        <v>2952.7572506279189</v>
      </c>
      <c r="C12" s="20">
        <v>0.16391332773551653</v>
      </c>
      <c r="D12" s="23">
        <v>3172.2199115887506</v>
      </c>
      <c r="E12" s="20">
        <v>0.12234743137505026</v>
      </c>
      <c r="F12" s="23">
        <v>3670.0963510739475</v>
      </c>
      <c r="G12" s="20">
        <v>0.10196976056266743</v>
      </c>
      <c r="H12" s="23">
        <v>5237.3639221121111</v>
      </c>
      <c r="I12" s="20">
        <v>0.19466708723325182</v>
      </c>
      <c r="J12" s="23">
        <v>6411.2647163147103</v>
      </c>
      <c r="K12" s="20">
        <v>0.19696235481702473</v>
      </c>
      <c r="L12" s="23">
        <v>6663.4158303866761</v>
      </c>
      <c r="M12" s="20">
        <v>0.16963520548345168</v>
      </c>
      <c r="N12" s="23">
        <v>10718.37371873164</v>
      </c>
      <c r="O12" s="20">
        <v>0.18726320173049643</v>
      </c>
      <c r="P12" s="23">
        <v>8987.4761784601851</v>
      </c>
      <c r="Q12" s="20">
        <v>0.17254948127485498</v>
      </c>
      <c r="R12" s="23">
        <v>8572.9468430161742</v>
      </c>
      <c r="S12" s="20">
        <v>0.16355542753691613</v>
      </c>
      <c r="T12" s="23">
        <v>1768.3547437747441</v>
      </c>
      <c r="U12" s="20">
        <v>0.23576305455770002</v>
      </c>
      <c r="V12" s="23">
        <v>58154.269466086866</v>
      </c>
      <c r="W12" s="20">
        <v>0.16715323960259981</v>
      </c>
      <c r="X12" s="23">
        <f t="shared" si="0"/>
        <v>56385.914722312111</v>
      </c>
      <c r="Y12" s="23">
        <f t="shared" si="1"/>
        <v>9426.2655800693319</v>
      </c>
      <c r="Z12" s="23">
        <f t="shared" si="2"/>
        <v>28278.796740207996</v>
      </c>
      <c r="AA12" s="23">
        <f t="shared" si="3"/>
        <v>84664.711462520107</v>
      </c>
      <c r="AB12" s="36">
        <f t="shared" si="4"/>
        <v>0.16859130991977625</v>
      </c>
      <c r="AC12" t="s">
        <v>259</v>
      </c>
    </row>
    <row r="13" spans="1:29" ht="14.55" hidden="1" outlineLevel="1" x14ac:dyDescent="0.3">
      <c r="A13" s="22" t="s">
        <v>157</v>
      </c>
      <c r="B13" s="23">
        <v>1302.2989950027329</v>
      </c>
      <c r="C13" s="20">
        <v>7.2293163256858486E-2</v>
      </c>
      <c r="D13" s="23">
        <v>1743.326609339726</v>
      </c>
      <c r="E13" s="20">
        <v>6.7237309721591101E-2</v>
      </c>
      <c r="F13" s="23">
        <v>2028.3001619453871</v>
      </c>
      <c r="G13" s="20">
        <v>5.635418312717301E-2</v>
      </c>
      <c r="H13" s="23">
        <v>3353.636814777004</v>
      </c>
      <c r="I13" s="20">
        <v>0.1246510114782253</v>
      </c>
      <c r="J13" s="23">
        <v>4344.1878020982867</v>
      </c>
      <c r="K13" s="20">
        <v>0.13345907510125538</v>
      </c>
      <c r="L13" s="23">
        <v>4524.0054225263439</v>
      </c>
      <c r="M13" s="20">
        <v>0.11517074860597018</v>
      </c>
      <c r="N13" s="23">
        <v>8123.5985176574495</v>
      </c>
      <c r="O13" s="20">
        <v>0.14192928030966867</v>
      </c>
      <c r="P13" s="23">
        <v>6743.4579795659802</v>
      </c>
      <c r="Q13" s="20">
        <v>0.12946684400250022</v>
      </c>
      <c r="R13" s="23">
        <v>6566.0046713909496</v>
      </c>
      <c r="S13" s="20">
        <v>0.12526680975673807</v>
      </c>
      <c r="T13" s="23">
        <v>1388.5179000253499</v>
      </c>
      <c r="U13" s="20">
        <v>0.18512191774328707</v>
      </c>
      <c r="V13" s="23">
        <v>40117.334874329208</v>
      </c>
      <c r="W13" s="20">
        <v>0.1153095473476284</v>
      </c>
      <c r="X13" s="23">
        <f t="shared" si="0"/>
        <v>38728.81697430386</v>
      </c>
      <c r="Y13" s="23">
        <f t="shared" si="1"/>
        <v>7144.3537228714595</v>
      </c>
      <c r="Z13" s="23">
        <f t="shared" si="2"/>
        <v>21433.061168614378</v>
      </c>
      <c r="AA13" s="23">
        <f t="shared" si="3"/>
        <v>60161.878142918242</v>
      </c>
      <c r="AB13" s="36">
        <f t="shared" si="4"/>
        <v>0.11979926073259702</v>
      </c>
    </row>
    <row r="14" spans="1:29" ht="14.55" hidden="1" outlineLevel="1" x14ac:dyDescent="0.3">
      <c r="A14" s="22" t="s">
        <v>160</v>
      </c>
      <c r="B14" s="23">
        <v>550.89374395802997</v>
      </c>
      <c r="C14" s="20">
        <v>3.0581188745412713E-2</v>
      </c>
      <c r="D14" s="23">
        <v>547.89353261387794</v>
      </c>
      <c r="E14" s="20">
        <v>2.113137432163012E-2</v>
      </c>
      <c r="F14" s="23">
        <v>647.72450010390003</v>
      </c>
      <c r="G14" s="20">
        <v>1.7996342839021382E-2</v>
      </c>
      <c r="H14" s="23">
        <v>703.67384922049678</v>
      </c>
      <c r="I14" s="20">
        <v>2.6154787146187606E-2</v>
      </c>
      <c r="J14" s="23">
        <v>777.01570288558298</v>
      </c>
      <c r="K14" s="20">
        <v>2.3870928645436024E-2</v>
      </c>
      <c r="L14" s="23">
        <v>856.69227031822993</v>
      </c>
      <c r="M14" s="20">
        <v>2.1809410220025915E-2</v>
      </c>
      <c r="N14" s="23">
        <v>910.55175630030794</v>
      </c>
      <c r="O14" s="20">
        <v>1.5908461647323492E-2</v>
      </c>
      <c r="P14" s="23">
        <v>557.26082830274697</v>
      </c>
      <c r="Q14" s="20">
        <v>1.0698784057852063E-2</v>
      </c>
      <c r="R14" s="23">
        <v>406.05096024282301</v>
      </c>
      <c r="S14" s="20">
        <v>7.7466756321242884E-3</v>
      </c>
      <c r="T14" s="23">
        <v>94.147713650956405</v>
      </c>
      <c r="U14" s="20">
        <v>1.2552092631929846E-2</v>
      </c>
      <c r="V14" s="23">
        <v>6051.9048575969518</v>
      </c>
      <c r="W14" s="20">
        <v>1.7395034139393001E-2</v>
      </c>
      <c r="X14" s="23">
        <f t="shared" si="0"/>
        <v>5957.7571439459953</v>
      </c>
      <c r="Y14" s="23">
        <f t="shared" si="1"/>
        <v>624.62118161529258</v>
      </c>
      <c r="Z14" s="23">
        <f t="shared" si="2"/>
        <v>1873.8635448458776</v>
      </c>
      <c r="AA14" s="23">
        <f t="shared" si="3"/>
        <v>7831.6206887918725</v>
      </c>
      <c r="AB14" s="36">
        <f t="shared" si="4"/>
        <v>1.5594964748716349E-2</v>
      </c>
    </row>
    <row r="15" spans="1:29" ht="14.55" hidden="1" outlineLevel="1" x14ac:dyDescent="0.3">
      <c r="A15" s="22" t="s">
        <v>158</v>
      </c>
      <c r="B15" s="23">
        <v>473.19084590911365</v>
      </c>
      <c r="C15" s="20">
        <v>2.6267748962584998E-2</v>
      </c>
      <c r="D15" s="23">
        <v>474.77249755900499</v>
      </c>
      <c r="E15" s="20">
        <v>1.8311213340429993E-2</v>
      </c>
      <c r="F15" s="23">
        <v>530.035927241683</v>
      </c>
      <c r="G15" s="20">
        <v>1.4726489830336567E-2</v>
      </c>
      <c r="H15" s="23">
        <v>527.15877239829604</v>
      </c>
      <c r="I15" s="20">
        <v>1.9593914850745853E-2</v>
      </c>
      <c r="J15" s="23">
        <v>574.067556187945</v>
      </c>
      <c r="K15" s="20">
        <v>1.7636098756475375E-2</v>
      </c>
      <c r="L15" s="23">
        <v>500.519779342898</v>
      </c>
      <c r="M15" s="20">
        <v>1.2742079704852718E-2</v>
      </c>
      <c r="N15" s="23">
        <v>590.64436679728897</v>
      </c>
      <c r="O15" s="20">
        <v>1.0319285193167403E-2</v>
      </c>
      <c r="P15" s="23">
        <v>465.03471932058102</v>
      </c>
      <c r="Q15" s="20">
        <v>8.9281460112099822E-3</v>
      </c>
      <c r="R15" s="23">
        <v>452.77805937520401</v>
      </c>
      <c r="S15" s="20">
        <v>8.6381393045465975E-3</v>
      </c>
      <c r="T15" s="23">
        <v>95.777940999999998</v>
      </c>
      <c r="U15" s="20">
        <v>1.2769440073548709E-2</v>
      </c>
      <c r="V15" s="23">
        <v>4683.9804651320146</v>
      </c>
      <c r="W15" s="20">
        <v>1.3463199111093432E-2</v>
      </c>
      <c r="X15" s="23">
        <f t="shared" si="0"/>
        <v>4588.2025241320143</v>
      </c>
      <c r="Y15" s="23">
        <f t="shared" si="1"/>
        <v>502.81904849769131</v>
      </c>
      <c r="Z15" s="23">
        <f t="shared" si="2"/>
        <v>1508.457145493074</v>
      </c>
      <c r="AA15" s="23">
        <f t="shared" si="3"/>
        <v>6096.6596696250881</v>
      </c>
      <c r="AB15" s="36">
        <f t="shared" si="4"/>
        <v>1.2140168224540351E-2</v>
      </c>
    </row>
    <row r="16" spans="1:29" ht="14.55" hidden="1" outlineLevel="1" x14ac:dyDescent="0.3">
      <c r="A16" s="22" t="s">
        <v>163</v>
      </c>
      <c r="B16" s="23">
        <v>222.966607896395</v>
      </c>
      <c r="C16" s="20">
        <v>1.2377312312560151E-2</v>
      </c>
      <c r="D16" s="23">
        <v>238.06437168727999</v>
      </c>
      <c r="E16" s="20">
        <v>9.1817607825513004E-3</v>
      </c>
      <c r="F16" s="23">
        <v>224.596215455672</v>
      </c>
      <c r="G16" s="20">
        <v>6.2401692278717764E-3</v>
      </c>
      <c r="H16" s="23">
        <v>231.10753361634301</v>
      </c>
      <c r="I16" s="20">
        <v>8.5900141895450446E-3</v>
      </c>
      <c r="J16" s="23">
        <v>195.29479579303199</v>
      </c>
      <c r="K16" s="20">
        <v>5.9997090379097966E-3</v>
      </c>
      <c r="L16" s="23">
        <v>110.4969935092</v>
      </c>
      <c r="M16" s="20">
        <v>2.8129987196295158E-3</v>
      </c>
      <c r="N16" s="23">
        <v>330.04312809134399</v>
      </c>
      <c r="O16" s="20">
        <v>5.7662603019263924E-3</v>
      </c>
      <c r="P16" s="23">
        <v>502.869806688425</v>
      </c>
      <c r="Q16" s="20">
        <v>9.6545373328311319E-3</v>
      </c>
      <c r="R16" s="23">
        <v>560.76814699841395</v>
      </c>
      <c r="S16" s="20">
        <v>1.0698383614279081E-2</v>
      </c>
      <c r="T16" s="23">
        <v>60.026727999999999</v>
      </c>
      <c r="U16" s="20">
        <v>8.0029670507033371E-3</v>
      </c>
      <c r="V16" s="23">
        <v>2676.2343277361047</v>
      </c>
      <c r="W16" s="20">
        <v>7.6923197887929177E-3</v>
      </c>
      <c r="X16" s="23">
        <f t="shared" si="0"/>
        <v>2616.2075997361048</v>
      </c>
      <c r="Y16" s="23">
        <f t="shared" si="1"/>
        <v>464.56036059272765</v>
      </c>
      <c r="Z16" s="23">
        <f t="shared" si="2"/>
        <v>1393.6810817781829</v>
      </c>
      <c r="AA16" s="23">
        <f t="shared" si="3"/>
        <v>4009.8886815142878</v>
      </c>
      <c r="AB16" s="36">
        <f t="shared" si="4"/>
        <v>7.9848188669283827E-3</v>
      </c>
    </row>
    <row r="17" spans="1:29" hidden="1" outlineLevel="1" x14ac:dyDescent="0.3">
      <c r="A17" s="22" t="s">
        <v>162</v>
      </c>
      <c r="B17" s="23">
        <v>131.513233246292</v>
      </c>
      <c r="C17" s="20">
        <v>7.3005566908938184E-3</v>
      </c>
      <c r="D17" s="23">
        <v>114.12983510303999</v>
      </c>
      <c r="E17" s="20">
        <v>4.4018045902503708E-3</v>
      </c>
      <c r="F17" s="23">
        <v>130.468831973113</v>
      </c>
      <c r="G17" s="20">
        <v>3.624939043710999E-3</v>
      </c>
      <c r="H17" s="23">
        <v>122.432127104583</v>
      </c>
      <c r="I17" s="20">
        <v>4.550668221964785E-3</v>
      </c>
      <c r="J17" s="23">
        <v>142.03769219773801</v>
      </c>
      <c r="K17" s="20">
        <v>4.3635818463167875E-3</v>
      </c>
      <c r="L17" s="23">
        <v>171.77252576848301</v>
      </c>
      <c r="M17" s="20">
        <v>4.3729325089197088E-3</v>
      </c>
      <c r="N17" s="23">
        <v>238.32329102246999</v>
      </c>
      <c r="O17" s="20">
        <v>4.1638016825091446E-3</v>
      </c>
      <c r="P17" s="23">
        <v>347.28378037103897</v>
      </c>
      <c r="Q17" s="20">
        <v>6.6674598038778997E-3</v>
      </c>
      <c r="R17" s="23">
        <v>222.96171008449701</v>
      </c>
      <c r="S17" s="20">
        <v>4.2536829499810599E-3</v>
      </c>
      <c r="T17" s="23">
        <v>44.165681035105401</v>
      </c>
      <c r="U17" s="20">
        <v>5.8883184520039438E-3</v>
      </c>
      <c r="V17" s="23">
        <v>1665.0887079063605</v>
      </c>
      <c r="W17" s="20">
        <v>4.7859765810412715E-3</v>
      </c>
      <c r="X17" s="23">
        <f t="shared" si="0"/>
        <v>1620.9230268712552</v>
      </c>
      <c r="Y17" s="23">
        <f t="shared" si="1"/>
        <v>269.52292715933532</v>
      </c>
      <c r="Z17" s="23">
        <f t="shared" si="2"/>
        <v>808.56878147800603</v>
      </c>
      <c r="AA17" s="23">
        <f t="shared" si="3"/>
        <v>2429.4918083492612</v>
      </c>
      <c r="AB17" s="36">
        <f t="shared" si="4"/>
        <v>4.8378031334848203E-3</v>
      </c>
    </row>
    <row r="18" spans="1:29" hidden="1" outlineLevel="1" x14ac:dyDescent="0.3">
      <c r="A18" s="22" t="s">
        <v>159</v>
      </c>
      <c r="B18" s="23">
        <v>8.5049300952000001E-2</v>
      </c>
      <c r="C18" s="20">
        <v>4.7212529704760489E-6</v>
      </c>
      <c r="D18" s="23">
        <v>0.102534850656</v>
      </c>
      <c r="E18" s="20">
        <v>3.9546046471611444E-6</v>
      </c>
      <c r="F18" s="23">
        <v>20.215354437698402</v>
      </c>
      <c r="G18" s="20">
        <v>5.6166232559490346E-4</v>
      </c>
      <c r="H18" s="23">
        <v>112.06251934634901</v>
      </c>
      <c r="I18" s="20">
        <v>4.1652412460916489E-3</v>
      </c>
      <c r="J18" s="23">
        <v>122.035704012547</v>
      </c>
      <c r="K18" s="20">
        <v>3.749094866243675E-3</v>
      </c>
      <c r="L18" s="23">
        <v>117.38040073661401</v>
      </c>
      <c r="M18" s="20">
        <v>2.9882343989223827E-3</v>
      </c>
      <c r="N18" s="23">
        <v>138.245719698964</v>
      </c>
      <c r="O18" s="20">
        <v>2.4153231428310617E-3</v>
      </c>
      <c r="P18" s="23">
        <v>123.89849096899199</v>
      </c>
      <c r="Q18" s="20">
        <v>2.3787123240085906E-3</v>
      </c>
      <c r="R18" s="23">
        <v>117.686859162022</v>
      </c>
      <c r="S18" s="20">
        <v>2.2452401628270573E-3</v>
      </c>
      <c r="T18" s="23">
        <v>25.485034152295601</v>
      </c>
      <c r="U18" s="20">
        <v>3.3977512252020628E-3</v>
      </c>
      <c r="V18" s="23">
        <v>777.19766666708995</v>
      </c>
      <c r="W18" s="20">
        <v>2.2339049047936936E-3</v>
      </c>
      <c r="X18" s="23">
        <f t="shared" si="0"/>
        <v>751.71263251479434</v>
      </c>
      <c r="Y18" s="23">
        <f t="shared" si="1"/>
        <v>126.61035660999266</v>
      </c>
      <c r="Z18" s="23">
        <f t="shared" si="2"/>
        <v>379.83106982997799</v>
      </c>
      <c r="AA18" s="23">
        <f t="shared" si="3"/>
        <v>1131.5437023447723</v>
      </c>
      <c r="AB18" s="36">
        <f t="shared" si="4"/>
        <v>2.2532225258244587E-3</v>
      </c>
    </row>
    <row r="19" spans="1:29" hidden="1" outlineLevel="1" x14ac:dyDescent="0.3">
      <c r="A19" s="22" t="s">
        <v>156</v>
      </c>
      <c r="B19" s="23">
        <v>1.1423916437670001</v>
      </c>
      <c r="C19" s="20">
        <v>6.3416393564786057E-5</v>
      </c>
      <c r="D19" s="23"/>
      <c r="E19" s="20">
        <v>0</v>
      </c>
      <c r="F19" s="23"/>
      <c r="G19" s="20">
        <v>0</v>
      </c>
      <c r="H19" s="23"/>
      <c r="I19" s="20">
        <v>0</v>
      </c>
      <c r="J19" s="23">
        <v>25.6257645318173</v>
      </c>
      <c r="K19" s="20">
        <v>7.8725667235817951E-4</v>
      </c>
      <c r="L19" s="23">
        <v>89.602896449077804</v>
      </c>
      <c r="M19" s="20">
        <v>2.2810831768501102E-3</v>
      </c>
      <c r="N19" s="23">
        <v>178.65078644831499</v>
      </c>
      <c r="O19" s="20">
        <v>3.1212494674930512E-3</v>
      </c>
      <c r="P19" s="23">
        <v>169.62883567296001</v>
      </c>
      <c r="Q19" s="20">
        <v>3.2566837478551799E-3</v>
      </c>
      <c r="R19" s="23">
        <v>138.806873895915</v>
      </c>
      <c r="S19" s="20">
        <v>2.6481696458439535E-3</v>
      </c>
      <c r="T19" s="23"/>
      <c r="U19" s="20">
        <v>0</v>
      </c>
      <c r="V19" s="23">
        <v>603.4575486418521</v>
      </c>
      <c r="W19" s="20">
        <v>1.7345224201802093E-3</v>
      </c>
      <c r="X19" s="23">
        <f t="shared" si="0"/>
        <v>603.4575486418521</v>
      </c>
      <c r="Y19" s="23">
        <f t="shared" si="1"/>
        <v>162.36216533906335</v>
      </c>
      <c r="Z19" s="23">
        <f t="shared" si="2"/>
        <v>487.08649601719003</v>
      </c>
      <c r="AA19" s="23">
        <f t="shared" si="3"/>
        <v>1090.5440446590421</v>
      </c>
      <c r="AB19" s="36">
        <f t="shared" si="4"/>
        <v>2.1715806483988253E-3</v>
      </c>
    </row>
    <row r="20" spans="1:29" hidden="1" outlineLevel="1" x14ac:dyDescent="0.3">
      <c r="A20" s="22" t="s">
        <v>170</v>
      </c>
      <c r="B20" s="23"/>
      <c r="C20" s="20">
        <v>0</v>
      </c>
      <c r="D20" s="23"/>
      <c r="E20" s="20">
        <v>0</v>
      </c>
      <c r="F20" s="23">
        <v>5.4626750800000003</v>
      </c>
      <c r="G20" s="20">
        <v>1.5177467201269855E-4</v>
      </c>
      <c r="H20" s="23">
        <v>30.42140324</v>
      </c>
      <c r="I20" s="20">
        <v>1.1307302769769686E-3</v>
      </c>
      <c r="J20" s="23">
        <v>31.496789239999998</v>
      </c>
      <c r="K20" s="20">
        <v>9.6762215450244189E-4</v>
      </c>
      <c r="L20" s="23">
        <v>51.181467789999999</v>
      </c>
      <c r="M20" s="20">
        <v>1.3029621783333142E-3</v>
      </c>
      <c r="N20" s="23">
        <v>74.028457919999994</v>
      </c>
      <c r="O20" s="20">
        <v>1.293368416986955E-3</v>
      </c>
      <c r="P20" s="23">
        <v>75.010787100000002</v>
      </c>
      <c r="Q20" s="20">
        <v>1.4401231388121583E-3</v>
      </c>
      <c r="R20" s="23">
        <v>70.767286920000004</v>
      </c>
      <c r="S20" s="20">
        <v>1.3501044716330076E-3</v>
      </c>
      <c r="T20" s="23">
        <v>16.1383717</v>
      </c>
      <c r="U20" s="20">
        <v>2.1516224733605874E-3</v>
      </c>
      <c r="V20" s="23">
        <v>354.50723899000002</v>
      </c>
      <c r="W20" s="20">
        <v>1.0189627348737966E-3</v>
      </c>
      <c r="X20" s="23">
        <f t="shared" si="0"/>
        <v>338.36886729000003</v>
      </c>
      <c r="Y20" s="23">
        <f t="shared" si="1"/>
        <v>73.26884398</v>
      </c>
      <c r="Z20" s="23">
        <f t="shared" si="2"/>
        <v>219.80653194000001</v>
      </c>
      <c r="AA20" s="23">
        <f t="shared" si="3"/>
        <v>558.17539923000004</v>
      </c>
      <c r="AB20" s="36">
        <f t="shared" si="4"/>
        <v>1.1114845854383866E-3</v>
      </c>
    </row>
    <row r="21" spans="1:29" hidden="1" outlineLevel="1" x14ac:dyDescent="0.3">
      <c r="A21" s="22" t="s">
        <v>161</v>
      </c>
      <c r="B21" s="23">
        <v>57.509670418933403</v>
      </c>
      <c r="C21" s="20">
        <v>3.1924742385563715E-3</v>
      </c>
      <c r="D21" s="23">
        <v>32.5959187402634</v>
      </c>
      <c r="E21" s="20">
        <v>1.2571722775624838E-3</v>
      </c>
      <c r="F21" s="23">
        <v>83.223519863472802</v>
      </c>
      <c r="G21" s="20">
        <v>2.3122778210379826E-3</v>
      </c>
      <c r="H21" s="23">
        <v>108.5454079016</v>
      </c>
      <c r="I21" s="20">
        <v>4.034514061460966E-3</v>
      </c>
      <c r="J21" s="23">
        <v>61.896958116505402</v>
      </c>
      <c r="K21" s="20">
        <v>1.9015547112903235E-3</v>
      </c>
      <c r="L21" s="23">
        <v>3.0328339974129599</v>
      </c>
      <c r="M21" s="20">
        <v>7.7208961806378922E-5</v>
      </c>
      <c r="N21" s="23"/>
      <c r="O21" s="20">
        <v>0</v>
      </c>
      <c r="P21" s="23"/>
      <c r="Q21" s="20">
        <v>0</v>
      </c>
      <c r="R21" s="23"/>
      <c r="S21" s="20">
        <v>0</v>
      </c>
      <c r="T21" s="23"/>
      <c r="U21" s="20">
        <v>0</v>
      </c>
      <c r="V21" s="23">
        <v>346.80430903818797</v>
      </c>
      <c r="W21" s="20">
        <v>9.9682214730046031E-4</v>
      </c>
      <c r="X21" s="23">
        <f t="shared" si="0"/>
        <v>346.80430903818797</v>
      </c>
      <c r="Y21" s="23">
        <f t="shared" si="1"/>
        <v>0</v>
      </c>
      <c r="Z21" s="23">
        <f t="shared" si="2"/>
        <v>0</v>
      </c>
      <c r="AA21" s="23">
        <f t="shared" si="3"/>
        <v>346.80430903818797</v>
      </c>
      <c r="AB21" s="36">
        <f t="shared" si="4"/>
        <v>6.9058515332511429E-4</v>
      </c>
    </row>
    <row r="22" spans="1:29" hidden="1" outlineLevel="1" x14ac:dyDescent="0.3">
      <c r="A22" s="22" t="s">
        <v>173</v>
      </c>
      <c r="B22" s="23"/>
      <c r="C22" s="20">
        <v>0</v>
      </c>
      <c r="D22" s="23"/>
      <c r="E22" s="20">
        <v>0</v>
      </c>
      <c r="F22" s="23"/>
      <c r="G22" s="20">
        <v>0</v>
      </c>
      <c r="H22" s="23">
        <v>47.634654255306401</v>
      </c>
      <c r="I22" s="20">
        <v>1.7705279856710758E-3</v>
      </c>
      <c r="J22" s="23">
        <v>137.12752111034399</v>
      </c>
      <c r="K22" s="20">
        <v>4.212735031730178E-3</v>
      </c>
      <c r="L22" s="23">
        <v>123.84096258069999</v>
      </c>
      <c r="M22" s="20">
        <v>3.1527054095656548E-3</v>
      </c>
      <c r="N22" s="23">
        <v>5.4520713929955997</v>
      </c>
      <c r="O22" s="20">
        <v>9.5254408169341242E-5</v>
      </c>
      <c r="P22" s="23"/>
      <c r="Q22" s="20">
        <v>0</v>
      </c>
      <c r="R22" s="23"/>
      <c r="S22" s="20">
        <v>0</v>
      </c>
      <c r="T22" s="23"/>
      <c r="U22" s="20">
        <v>0</v>
      </c>
      <c r="V22" s="23">
        <v>314.05520933934599</v>
      </c>
      <c r="W22" s="20">
        <v>9.0269117189680165E-4</v>
      </c>
      <c r="X22" s="23">
        <f t="shared" si="0"/>
        <v>314.05520933934599</v>
      </c>
      <c r="Y22" s="23">
        <f t="shared" si="1"/>
        <v>5.4520713929955997</v>
      </c>
      <c r="Z22" s="23">
        <f t="shared" si="2"/>
        <v>16.3562141789868</v>
      </c>
      <c r="AA22" s="23">
        <f t="shared" si="3"/>
        <v>330.41142351833281</v>
      </c>
      <c r="AB22" s="36">
        <f t="shared" si="4"/>
        <v>6.5794229663291648E-4</v>
      </c>
    </row>
    <row r="23" spans="1:29" hidden="1" outlineLevel="1" x14ac:dyDescent="0.3">
      <c r="A23" s="22" t="s">
        <v>155</v>
      </c>
      <c r="B23" s="23">
        <v>24.5511549676629</v>
      </c>
      <c r="C23" s="20">
        <v>1.3628826107002882E-3</v>
      </c>
      <c r="D23" s="23">
        <v>5.8499049957599997E-2</v>
      </c>
      <c r="E23" s="20">
        <v>2.2562144806059616E-6</v>
      </c>
      <c r="F23" s="23"/>
      <c r="G23" s="20">
        <v>0</v>
      </c>
      <c r="H23" s="23">
        <v>0.41145483026536001</v>
      </c>
      <c r="I23" s="20">
        <v>1.5293325903445806E-5</v>
      </c>
      <c r="J23" s="23"/>
      <c r="K23" s="20">
        <v>0</v>
      </c>
      <c r="L23" s="23">
        <v>99.948156727715201</v>
      </c>
      <c r="M23" s="20">
        <v>2.5444496540169134E-3</v>
      </c>
      <c r="N23" s="23">
        <v>126.31817976587899</v>
      </c>
      <c r="O23" s="20">
        <v>2.2069343167599588E-3</v>
      </c>
      <c r="P23" s="23">
        <v>3.0309504694637002</v>
      </c>
      <c r="Q23" s="20">
        <v>5.8190855907819808E-5</v>
      </c>
      <c r="R23" s="23">
        <v>5.62199704902556</v>
      </c>
      <c r="S23" s="20">
        <v>1.0725695000823667E-4</v>
      </c>
      <c r="T23" s="23">
        <v>0.37361172788351998</v>
      </c>
      <c r="U23" s="20">
        <v>4.981118324503964E-5</v>
      </c>
      <c r="V23" s="23">
        <v>260.31400458785288</v>
      </c>
      <c r="W23" s="20">
        <v>7.4822243629352452E-4</v>
      </c>
      <c r="X23" s="23">
        <f t="shared" si="0"/>
        <v>259.94039285996934</v>
      </c>
      <c r="Y23" s="23">
        <f t="shared" si="1"/>
        <v>44.990375761456086</v>
      </c>
      <c r="Z23" s="23">
        <f t="shared" si="2"/>
        <v>134.97112728436827</v>
      </c>
      <c r="AA23" s="23">
        <f t="shared" si="3"/>
        <v>394.9115201443376</v>
      </c>
      <c r="AB23" s="36">
        <f t="shared" si="4"/>
        <v>7.8638017343291163E-4</v>
      </c>
    </row>
    <row r="24" spans="1:29" hidden="1" outlineLevel="1" x14ac:dyDescent="0.3">
      <c r="A24" s="22" t="s">
        <v>164</v>
      </c>
      <c r="B24" s="23">
        <v>188.60555828404</v>
      </c>
      <c r="C24" s="20">
        <v>1.0469863271414434E-2</v>
      </c>
      <c r="D24" s="23">
        <v>21.276112644944401</v>
      </c>
      <c r="E24" s="20">
        <v>8.2058552190710779E-4</v>
      </c>
      <c r="F24" s="23">
        <v>6.1164813021795002E-2</v>
      </c>
      <c r="G24" s="20">
        <v>1.6993998909232159E-6</v>
      </c>
      <c r="H24" s="23">
        <v>0.27938542186802001</v>
      </c>
      <c r="I24" s="20">
        <v>1.0384450479153948E-5</v>
      </c>
      <c r="J24" s="23">
        <v>0.47843014091144997</v>
      </c>
      <c r="K24" s="20">
        <v>1.4697993506580168E-5</v>
      </c>
      <c r="L24" s="23"/>
      <c r="M24" s="20">
        <v>0</v>
      </c>
      <c r="N24" s="23">
        <v>1.19752404400188</v>
      </c>
      <c r="O24" s="20">
        <v>2.0922221272909752E-5</v>
      </c>
      <c r="P24" s="23"/>
      <c r="Q24" s="20">
        <v>0</v>
      </c>
      <c r="R24" s="23"/>
      <c r="S24" s="20">
        <v>0</v>
      </c>
      <c r="T24" s="23"/>
      <c r="U24" s="20">
        <v>0</v>
      </c>
      <c r="V24" s="23">
        <v>211.89817534878756</v>
      </c>
      <c r="W24" s="20">
        <v>6.090604662497694E-4</v>
      </c>
      <c r="X24" s="23">
        <f t="shared" si="0"/>
        <v>211.89817534878756</v>
      </c>
      <c r="Y24" s="23">
        <f t="shared" si="1"/>
        <v>1.19752404400188</v>
      </c>
      <c r="Z24" s="23">
        <f t="shared" si="2"/>
        <v>3.5925721320056399</v>
      </c>
      <c r="AA24" s="23">
        <f t="shared" si="3"/>
        <v>215.4907474807932</v>
      </c>
      <c r="AB24" s="36">
        <f t="shared" si="4"/>
        <v>4.2910283122456959E-4</v>
      </c>
    </row>
    <row r="25" spans="1:29" hidden="1" outlineLevel="1" x14ac:dyDescent="0.3">
      <c r="A25" s="22" t="s">
        <v>178</v>
      </c>
      <c r="B25" s="23"/>
      <c r="C25" s="20">
        <v>0</v>
      </c>
      <c r="D25" s="23"/>
      <c r="E25" s="20">
        <v>0</v>
      </c>
      <c r="F25" s="23"/>
      <c r="G25" s="20">
        <v>0</v>
      </c>
      <c r="H25" s="23"/>
      <c r="I25" s="20">
        <v>0</v>
      </c>
      <c r="J25" s="23"/>
      <c r="K25" s="20">
        <v>0</v>
      </c>
      <c r="L25" s="23"/>
      <c r="M25" s="20">
        <v>0</v>
      </c>
      <c r="N25" s="23"/>
      <c r="O25" s="20">
        <v>0</v>
      </c>
      <c r="P25" s="23"/>
      <c r="Q25" s="20">
        <v>0</v>
      </c>
      <c r="R25" s="23">
        <v>31.500277897322899</v>
      </c>
      <c r="S25" s="20">
        <v>6.009650489347605E-4</v>
      </c>
      <c r="T25" s="23">
        <v>43.721762483153299</v>
      </c>
      <c r="U25" s="20">
        <v>5.8291337244194491E-3</v>
      </c>
      <c r="V25" s="23">
        <v>75.222040380476201</v>
      </c>
      <c r="W25" s="20">
        <v>2.1621125765231353E-4</v>
      </c>
      <c r="X25" s="23">
        <f t="shared" si="0"/>
        <v>31.500277897322899</v>
      </c>
      <c r="Y25" s="23">
        <f t="shared" si="1"/>
        <v>31.500277897322899</v>
      </c>
      <c r="Z25" s="23">
        <f t="shared" si="2"/>
        <v>94.500833691968694</v>
      </c>
      <c r="AA25" s="23">
        <f t="shared" si="3"/>
        <v>126.0011115892916</v>
      </c>
      <c r="AB25" s="36">
        <f t="shared" si="4"/>
        <v>2.5090373648282516E-4</v>
      </c>
    </row>
    <row r="26" spans="1:29" hidden="1" outlineLevel="1" x14ac:dyDescent="0.3">
      <c r="A26" s="22" t="s">
        <v>171</v>
      </c>
      <c r="B26" s="23"/>
      <c r="C26" s="20">
        <v>0</v>
      </c>
      <c r="D26" s="23"/>
      <c r="E26" s="20">
        <v>0</v>
      </c>
      <c r="F26" s="23">
        <v>8.0001599999999992E-3</v>
      </c>
      <c r="G26" s="20">
        <v>2.2227601720165102E-7</v>
      </c>
      <c r="H26" s="23"/>
      <c r="I26" s="20">
        <v>0</v>
      </c>
      <c r="J26" s="23"/>
      <c r="K26" s="20">
        <v>0</v>
      </c>
      <c r="L26" s="23">
        <v>14.942120640000001</v>
      </c>
      <c r="M26" s="20">
        <v>3.8039194455883685E-4</v>
      </c>
      <c r="N26" s="23"/>
      <c r="O26" s="20">
        <v>0</v>
      </c>
      <c r="P26" s="23"/>
      <c r="Q26" s="20">
        <v>0</v>
      </c>
      <c r="R26" s="23"/>
      <c r="S26" s="20">
        <v>0</v>
      </c>
      <c r="T26" s="23"/>
      <c r="U26" s="20">
        <v>0</v>
      </c>
      <c r="V26" s="23">
        <v>14.950120800000001</v>
      </c>
      <c r="W26" s="20">
        <v>4.2971240927160145E-5</v>
      </c>
      <c r="X26" s="23">
        <f t="shared" si="0"/>
        <v>14.950120800000001</v>
      </c>
      <c r="Y26" s="23">
        <f t="shared" si="1"/>
        <v>0</v>
      </c>
      <c r="Z26" s="23">
        <f t="shared" si="2"/>
        <v>0</v>
      </c>
      <c r="AA26" s="23">
        <f t="shared" si="3"/>
        <v>14.950120800000001</v>
      </c>
      <c r="AB26" s="36">
        <f t="shared" si="4"/>
        <v>2.9769905378425181E-5</v>
      </c>
    </row>
    <row r="27" spans="1:29" hidden="1" outlineLevel="1" x14ac:dyDescent="0.3">
      <c r="A27" s="22" t="s">
        <v>176</v>
      </c>
      <c r="B27" s="23"/>
      <c r="C27" s="20">
        <v>0</v>
      </c>
      <c r="D27" s="23"/>
      <c r="E27" s="20">
        <v>0</v>
      </c>
      <c r="F27" s="23"/>
      <c r="G27" s="20">
        <v>0</v>
      </c>
      <c r="H27" s="23"/>
      <c r="I27" s="20">
        <v>0</v>
      </c>
      <c r="J27" s="23"/>
      <c r="K27" s="20">
        <v>0</v>
      </c>
      <c r="L27" s="23"/>
      <c r="M27" s="20">
        <v>0</v>
      </c>
      <c r="N27" s="23">
        <v>1.25610788232</v>
      </c>
      <c r="O27" s="20">
        <v>2.1945753146401013E-5</v>
      </c>
      <c r="P27" s="23"/>
      <c r="Q27" s="20">
        <v>0</v>
      </c>
      <c r="R27" s="23"/>
      <c r="S27" s="20">
        <v>0</v>
      </c>
      <c r="T27" s="23"/>
      <c r="U27" s="20">
        <v>0</v>
      </c>
      <c r="V27" s="23">
        <v>1.25610788232</v>
      </c>
      <c r="W27" s="20">
        <v>3.6104400201018872E-6</v>
      </c>
      <c r="X27" s="23">
        <f t="shared" si="0"/>
        <v>1.25610788232</v>
      </c>
      <c r="Y27" s="23">
        <f t="shared" si="1"/>
        <v>1.25610788232</v>
      </c>
      <c r="Z27" s="23">
        <f t="shared" si="2"/>
        <v>3.7683236469599999</v>
      </c>
      <c r="AA27" s="23">
        <f t="shared" si="3"/>
        <v>5.0244315292800001</v>
      </c>
      <c r="AB27" s="36">
        <f t="shared" si="4"/>
        <v>1.0005059705406643E-5</v>
      </c>
    </row>
    <row r="28" spans="1:29" ht="14.55" hidden="1" outlineLevel="1" x14ac:dyDescent="0.3">
      <c r="A28" s="22" t="s">
        <v>175</v>
      </c>
      <c r="B28" s="23"/>
      <c r="C28" s="20">
        <v>0</v>
      </c>
      <c r="D28" s="23"/>
      <c r="E28" s="20">
        <v>0</v>
      </c>
      <c r="F28" s="23"/>
      <c r="G28" s="20">
        <v>0</v>
      </c>
      <c r="H28" s="23"/>
      <c r="I28" s="20">
        <v>0</v>
      </c>
      <c r="J28" s="23"/>
      <c r="K28" s="20">
        <v>0</v>
      </c>
      <c r="L28" s="23"/>
      <c r="M28" s="20">
        <v>0</v>
      </c>
      <c r="N28" s="23">
        <v>6.3811710303680005E-2</v>
      </c>
      <c r="O28" s="20">
        <v>1.1148692416352955E-6</v>
      </c>
      <c r="P28" s="23"/>
      <c r="Q28" s="20">
        <v>0</v>
      </c>
      <c r="R28" s="23"/>
      <c r="S28" s="20">
        <v>0</v>
      </c>
      <c r="T28" s="23"/>
      <c r="U28" s="20">
        <v>0</v>
      </c>
      <c r="V28" s="23">
        <v>6.3811710303680005E-2</v>
      </c>
      <c r="W28" s="20">
        <v>1.8341446294090017E-7</v>
      </c>
      <c r="X28" s="23">
        <f t="shared" si="0"/>
        <v>6.3811710303680005E-2</v>
      </c>
      <c r="Y28" s="23">
        <f t="shared" si="1"/>
        <v>6.3811710303680005E-2</v>
      </c>
      <c r="Z28" s="23">
        <f t="shared" si="2"/>
        <v>0.19143513091104003</v>
      </c>
      <c r="AA28" s="23">
        <f t="shared" si="3"/>
        <v>0.25524684121472002</v>
      </c>
      <c r="AB28" s="36">
        <f t="shared" si="4"/>
        <v>5.0826842222600171E-7</v>
      </c>
    </row>
    <row r="29" spans="1:29" collapsed="1" x14ac:dyDescent="0.3">
      <c r="A29" s="19" t="s">
        <v>79</v>
      </c>
      <c r="B29" s="23">
        <v>3446.70357771314</v>
      </c>
      <c r="C29" s="20">
        <v>0.19133325403594539</v>
      </c>
      <c r="D29" s="23">
        <v>10016.448331385111</v>
      </c>
      <c r="E29" s="20">
        <v>0.38631833826177359</v>
      </c>
      <c r="F29" s="23">
        <v>9653.8745986329104</v>
      </c>
      <c r="G29" s="20">
        <v>0.26822273508883709</v>
      </c>
      <c r="H29" s="23">
        <v>4824.4675095994899</v>
      </c>
      <c r="I29" s="20">
        <v>0.17932017929478708</v>
      </c>
      <c r="J29" s="23">
        <v>5343.5927458671704</v>
      </c>
      <c r="K29" s="20">
        <v>0.16416208922568931</v>
      </c>
      <c r="L29" s="23">
        <v>4624.3219747346102</v>
      </c>
      <c r="M29" s="20">
        <v>0.1177245767596385</v>
      </c>
      <c r="N29" s="23">
        <v>5273.3981471010902</v>
      </c>
      <c r="O29" s="20">
        <v>9.2132766307636726E-2</v>
      </c>
      <c r="P29" s="23">
        <v>4136.3237328084906</v>
      </c>
      <c r="Q29" s="20">
        <v>7.9412785114414394E-2</v>
      </c>
      <c r="R29" s="23">
        <v>3294.05595989528</v>
      </c>
      <c r="S29" s="20">
        <v>6.2844286884864181E-2</v>
      </c>
      <c r="T29" s="23">
        <v>693.18973577956604</v>
      </c>
      <c r="U29" s="20">
        <v>9.2418407602187141E-2</v>
      </c>
      <c r="V29" s="23">
        <v>51306.376313516856</v>
      </c>
      <c r="W29" s="20">
        <v>0.14747029051883481</v>
      </c>
      <c r="X29" s="23">
        <f t="shared" si="0"/>
        <v>50613.186577737302</v>
      </c>
      <c r="Y29" s="23">
        <f t="shared" si="1"/>
        <v>4234.5926132682871</v>
      </c>
      <c r="Z29" s="23">
        <f t="shared" si="2"/>
        <v>12703.777839804861</v>
      </c>
      <c r="AA29" s="23">
        <f t="shared" si="3"/>
        <v>63316.964417542164</v>
      </c>
      <c r="AB29" s="36">
        <f t="shared" si="4"/>
        <v>0.12608192701421811</v>
      </c>
      <c r="AC29" t="s">
        <v>342</v>
      </c>
    </row>
    <row r="30" spans="1:29" hidden="1" outlineLevel="1" x14ac:dyDescent="0.3">
      <c r="A30" s="22" t="s">
        <v>126</v>
      </c>
      <c r="B30" s="23">
        <v>1999.1959024051</v>
      </c>
      <c r="C30" s="20">
        <v>0.11097927304682527</v>
      </c>
      <c r="D30" s="23">
        <v>8651.42955361452</v>
      </c>
      <c r="E30" s="20">
        <v>0.33367175451490466</v>
      </c>
      <c r="F30" s="23">
        <v>8087.3307322151704</v>
      </c>
      <c r="G30" s="20">
        <v>0.22469796415937934</v>
      </c>
      <c r="H30" s="23">
        <v>3136.9561480992302</v>
      </c>
      <c r="I30" s="20">
        <v>0.11659722814958641</v>
      </c>
      <c r="J30" s="23">
        <v>3555.9103353115202</v>
      </c>
      <c r="K30" s="20">
        <v>0.10924217048453774</v>
      </c>
      <c r="L30" s="23">
        <v>2728.2075255474601</v>
      </c>
      <c r="M30" s="20">
        <v>6.9453874105720709E-2</v>
      </c>
      <c r="N30" s="23">
        <v>2823.2935866031198</v>
      </c>
      <c r="O30" s="20">
        <v>4.9326419317560467E-2</v>
      </c>
      <c r="P30" s="23">
        <v>1180.8570074581241</v>
      </c>
      <c r="Q30" s="20">
        <v>2.2671132590594108E-2</v>
      </c>
      <c r="R30" s="23">
        <v>1281.2008965631601</v>
      </c>
      <c r="S30" s="20">
        <v>2.4442862441025465E-2</v>
      </c>
      <c r="T30" s="23">
        <v>258.34577773854397</v>
      </c>
      <c r="U30" s="20">
        <v>3.4443535668475807E-2</v>
      </c>
      <c r="V30" s="23">
        <v>33702.727465555945</v>
      </c>
      <c r="W30" s="20">
        <v>9.6871994627951222E-2</v>
      </c>
      <c r="X30" s="23">
        <f t="shared" si="0"/>
        <v>33444.381687817404</v>
      </c>
      <c r="Y30" s="23">
        <f t="shared" si="1"/>
        <v>1761.7838302081348</v>
      </c>
      <c r="Z30" s="23">
        <f t="shared" si="2"/>
        <v>5285.3514906244045</v>
      </c>
      <c r="AA30" s="23">
        <f t="shared" si="3"/>
        <v>38729.733178441806</v>
      </c>
      <c r="AB30" s="36">
        <f t="shared" si="4"/>
        <v>7.7121817775135756E-2</v>
      </c>
    </row>
    <row r="31" spans="1:29" hidden="1" outlineLevel="1" x14ac:dyDescent="0.3">
      <c r="A31" s="22" t="s">
        <v>79</v>
      </c>
      <c r="B31" s="23">
        <v>1447.50767530804</v>
      </c>
      <c r="C31" s="20">
        <v>8.0353980989120125E-2</v>
      </c>
      <c r="D31" s="23">
        <v>1365.0187777705901</v>
      </c>
      <c r="E31" s="20">
        <v>5.2646583746868911E-2</v>
      </c>
      <c r="F31" s="23">
        <v>1566.54386641774</v>
      </c>
      <c r="G31" s="20">
        <v>4.3524770929457723E-2</v>
      </c>
      <c r="H31" s="23">
        <v>1687.5113615002599</v>
      </c>
      <c r="I31" s="20">
        <v>6.2722951145200698E-2</v>
      </c>
      <c r="J31" s="23">
        <v>1787.68241055565</v>
      </c>
      <c r="K31" s="20">
        <v>5.4919918741151562E-2</v>
      </c>
      <c r="L31" s="23">
        <v>1896.1144491871501</v>
      </c>
      <c r="M31" s="20">
        <v>4.8270702653917794E-2</v>
      </c>
      <c r="N31" s="23">
        <v>2450.1045604979699</v>
      </c>
      <c r="O31" s="20">
        <v>4.2806346990076259E-2</v>
      </c>
      <c r="P31" s="23">
        <v>2955.4667253503662</v>
      </c>
      <c r="Q31" s="20">
        <v>5.6741652523820275E-2</v>
      </c>
      <c r="R31" s="23">
        <v>2012.8550633321199</v>
      </c>
      <c r="S31" s="20">
        <v>3.8401424443838712E-2</v>
      </c>
      <c r="T31" s="23">
        <v>434.84395804102201</v>
      </c>
      <c r="U31" s="20">
        <v>5.7974871933711328E-2</v>
      </c>
      <c r="V31" s="23">
        <v>17603.648847960911</v>
      </c>
      <c r="W31" s="20">
        <v>5.0598295890883598E-2</v>
      </c>
      <c r="X31" s="23">
        <f t="shared" si="0"/>
        <v>17168.804889919888</v>
      </c>
      <c r="Y31" s="23">
        <f t="shared" si="1"/>
        <v>2472.8087830601521</v>
      </c>
      <c r="Z31" s="23">
        <f t="shared" si="2"/>
        <v>7418.4263491804559</v>
      </c>
      <c r="AA31" s="23">
        <f t="shared" si="3"/>
        <v>24587.231239100343</v>
      </c>
      <c r="AB31" s="36">
        <f t="shared" si="4"/>
        <v>4.8960109239082325E-2</v>
      </c>
    </row>
    <row r="32" spans="1:29" collapsed="1" x14ac:dyDescent="0.3">
      <c r="A32" s="19" t="s">
        <v>73</v>
      </c>
      <c r="B32" s="23">
        <v>2074.1775113048934</v>
      </c>
      <c r="C32" s="20">
        <v>0.11514164874876098</v>
      </c>
      <c r="D32" s="23">
        <v>2060.4529048877466</v>
      </c>
      <c r="E32" s="20">
        <v>7.946836203295285E-2</v>
      </c>
      <c r="F32" s="23">
        <v>2776.7585902882197</v>
      </c>
      <c r="G32" s="20">
        <v>7.7149312036226353E-2</v>
      </c>
      <c r="H32" s="23">
        <v>2837.061213815944</v>
      </c>
      <c r="I32" s="20">
        <v>0.10545046153165935</v>
      </c>
      <c r="J32" s="23">
        <v>3258.1727637418908</v>
      </c>
      <c r="K32" s="20">
        <v>0.10009528670907486</v>
      </c>
      <c r="L32" s="23">
        <v>2268.5353394359181</v>
      </c>
      <c r="M32" s="20">
        <v>5.7751679956217376E-2</v>
      </c>
      <c r="N32" s="23">
        <v>2383.0787030449314</v>
      </c>
      <c r="O32" s="20">
        <v>4.1635322635565027E-2</v>
      </c>
      <c r="P32" s="23">
        <v>2345.3466500712325</v>
      </c>
      <c r="Q32" s="20">
        <v>4.5028030099195746E-2</v>
      </c>
      <c r="R32" s="23">
        <v>1519.1818610827397</v>
      </c>
      <c r="S32" s="20">
        <v>2.8983084036981778E-2</v>
      </c>
      <c r="T32" s="23">
        <v>323.77078941808224</v>
      </c>
      <c r="U32" s="20">
        <v>4.316622021598647E-2</v>
      </c>
      <c r="V32" s="23">
        <v>21846.536327091599</v>
      </c>
      <c r="W32" s="20">
        <v>6.2793658224849211E-2</v>
      </c>
      <c r="X32" s="23">
        <f t="shared" si="0"/>
        <v>21522.765537673517</v>
      </c>
      <c r="Y32" s="23">
        <f t="shared" si="1"/>
        <v>2082.5357380663013</v>
      </c>
      <c r="Z32" s="23">
        <f t="shared" si="2"/>
        <v>6247.6072141989043</v>
      </c>
      <c r="AA32" s="23">
        <f t="shared" si="3"/>
        <v>27770.372751872419</v>
      </c>
      <c r="AB32" s="36">
        <f t="shared" si="4"/>
        <v>5.5298641409428528E-2</v>
      </c>
      <c r="AC32" t="s">
        <v>260</v>
      </c>
    </row>
    <row r="33" spans="1:29" hidden="1" outlineLevel="1" x14ac:dyDescent="0.3">
      <c r="A33" s="22" t="s">
        <v>119</v>
      </c>
      <c r="B33" s="23">
        <v>1830.3238079141399</v>
      </c>
      <c r="C33" s="20">
        <v>0.10160485293023984</v>
      </c>
      <c r="D33" s="23">
        <v>1681.78431848896</v>
      </c>
      <c r="E33" s="20">
        <v>6.4863722323371786E-2</v>
      </c>
      <c r="F33" s="23">
        <v>1838.5198272</v>
      </c>
      <c r="G33" s="20">
        <v>5.108133646530616E-2</v>
      </c>
      <c r="H33" s="23">
        <v>1828.5765120000001</v>
      </c>
      <c r="I33" s="20">
        <v>6.7966188461967184E-2</v>
      </c>
      <c r="J33" s="23">
        <v>1991.1975551999999</v>
      </c>
      <c r="K33" s="20">
        <v>6.1172167541310281E-2</v>
      </c>
      <c r="L33" s="23">
        <v>1045.289823857014</v>
      </c>
      <c r="M33" s="20">
        <v>2.6610669148267138E-2</v>
      </c>
      <c r="N33" s="23">
        <v>1073.1646464</v>
      </c>
      <c r="O33" s="20">
        <v>1.8749509295205018E-2</v>
      </c>
      <c r="P33" s="23">
        <v>1056.161568</v>
      </c>
      <c r="Q33" s="20">
        <v>2.0277119747766661E-2</v>
      </c>
      <c r="R33" s="23">
        <v>934.85951999999997</v>
      </c>
      <c r="S33" s="20">
        <v>1.7835331453748021E-2</v>
      </c>
      <c r="T33" s="23">
        <v>199.04460800000001</v>
      </c>
      <c r="U33" s="20">
        <v>2.6537302507045897E-2</v>
      </c>
      <c r="V33" s="23">
        <v>13478.922187060114</v>
      </c>
      <c r="W33" s="20">
        <v>3.8742564055977695E-2</v>
      </c>
      <c r="X33" s="23">
        <f t="shared" si="0"/>
        <v>13279.877579060114</v>
      </c>
      <c r="Y33" s="23">
        <f t="shared" si="1"/>
        <v>1021.3952448</v>
      </c>
      <c r="Z33" s="23">
        <f t="shared" si="2"/>
        <v>3064.1857344</v>
      </c>
      <c r="AA33" s="23">
        <f t="shared" si="3"/>
        <v>16344.063313460114</v>
      </c>
      <c r="AB33" s="36">
        <f t="shared" si="4"/>
        <v>3.2545637914892157E-2</v>
      </c>
    </row>
    <row r="34" spans="1:29" hidden="1" outlineLevel="1" x14ac:dyDescent="0.3">
      <c r="A34" s="22" t="s">
        <v>118</v>
      </c>
      <c r="B34" s="23">
        <v>224.100426</v>
      </c>
      <c r="C34" s="20">
        <v>1.2440252772148946E-2</v>
      </c>
      <c r="D34" s="23">
        <v>358.30645616316997</v>
      </c>
      <c r="E34" s="20">
        <v>1.3819305022489901E-2</v>
      </c>
      <c r="F34" s="23">
        <v>915.50783232000003</v>
      </c>
      <c r="G34" s="20">
        <v>2.543642060721368E-2</v>
      </c>
      <c r="H34" s="23">
        <v>982.40373521473305</v>
      </c>
      <c r="I34" s="20">
        <v>3.6514872074078712E-2</v>
      </c>
      <c r="J34" s="23">
        <v>1236.2018155200001</v>
      </c>
      <c r="K34" s="20">
        <v>3.7977720681896802E-2</v>
      </c>
      <c r="L34" s="23">
        <v>1188.64625864</v>
      </c>
      <c r="M34" s="20">
        <v>3.0260193489955369E-2</v>
      </c>
      <c r="N34" s="23">
        <v>1271.9440070400001</v>
      </c>
      <c r="O34" s="20">
        <v>2.2222429766930493E-2</v>
      </c>
      <c r="P34" s="23">
        <v>1251.7914947999998</v>
      </c>
      <c r="Q34" s="20">
        <v>2.4032995337409803E-2</v>
      </c>
      <c r="R34" s="23">
        <v>549.39690719999999</v>
      </c>
      <c r="S34" s="20">
        <v>1.0481442109693704E-2</v>
      </c>
      <c r="T34" s="23">
        <v>116.97425088</v>
      </c>
      <c r="U34" s="20">
        <v>1.5595404026908578E-2</v>
      </c>
      <c r="V34" s="23">
        <v>8095.2731837779038</v>
      </c>
      <c r="W34" s="20">
        <v>2.3268302577949675E-2</v>
      </c>
      <c r="X34" s="23">
        <f t="shared" si="0"/>
        <v>7978.2989328979038</v>
      </c>
      <c r="Y34" s="23">
        <f t="shared" si="1"/>
        <v>1024.3774696799999</v>
      </c>
      <c r="Z34" s="23">
        <f t="shared" si="2"/>
        <v>3073.1324090399994</v>
      </c>
      <c r="AA34" s="23">
        <f t="shared" si="3"/>
        <v>11051.431341937903</v>
      </c>
      <c r="AB34" s="36">
        <f t="shared" si="4"/>
        <v>2.2006515515624044E-2</v>
      </c>
    </row>
    <row r="35" spans="1:29" hidden="1" outlineLevel="1" x14ac:dyDescent="0.3">
      <c r="A35" s="22" t="s">
        <v>120</v>
      </c>
      <c r="B35" s="23">
        <v>19.753277390753471</v>
      </c>
      <c r="C35" s="20">
        <v>1.096543046372201E-3</v>
      </c>
      <c r="D35" s="23">
        <v>20.362130235616412</v>
      </c>
      <c r="E35" s="20">
        <v>7.8533468709116505E-4</v>
      </c>
      <c r="F35" s="23">
        <v>22.730930768219199</v>
      </c>
      <c r="G35" s="20">
        <v>6.3155496370650456E-4</v>
      </c>
      <c r="H35" s="23">
        <v>26.0809666012109</v>
      </c>
      <c r="I35" s="20">
        <v>9.6940099561345109E-4</v>
      </c>
      <c r="J35" s="23">
        <v>30.773393021890929</v>
      </c>
      <c r="K35" s="20">
        <v>9.4539848586777761E-4</v>
      </c>
      <c r="L35" s="23">
        <v>34.599256938904098</v>
      </c>
      <c r="M35" s="20">
        <v>8.8081731799486784E-4</v>
      </c>
      <c r="N35" s="23">
        <v>37.970049604931503</v>
      </c>
      <c r="O35" s="20">
        <v>6.6338357342951961E-4</v>
      </c>
      <c r="P35" s="23">
        <v>37.393587271232882</v>
      </c>
      <c r="Q35" s="20">
        <v>7.1791501401928721E-4</v>
      </c>
      <c r="R35" s="23">
        <v>34.925433882739704</v>
      </c>
      <c r="S35" s="20">
        <v>6.6631047354005052E-4</v>
      </c>
      <c r="T35" s="23">
        <v>7.7519305380821901</v>
      </c>
      <c r="U35" s="20">
        <v>1.0335136820319901E-3</v>
      </c>
      <c r="V35" s="23">
        <v>272.34095625358128</v>
      </c>
      <c r="W35" s="20">
        <v>7.8279159092184869E-4</v>
      </c>
      <c r="X35" s="23">
        <f t="shared" si="0"/>
        <v>264.58902571549908</v>
      </c>
      <c r="Y35" s="23">
        <f t="shared" si="1"/>
        <v>36.763023586301358</v>
      </c>
      <c r="Z35" s="23">
        <f t="shared" si="2"/>
        <v>110.28907075890407</v>
      </c>
      <c r="AA35" s="23">
        <f t="shared" si="3"/>
        <v>374.87809647440315</v>
      </c>
      <c r="AB35" s="36">
        <f t="shared" si="4"/>
        <v>7.4648797891232609E-4</v>
      </c>
    </row>
    <row r="36" spans="1:29" hidden="1" outlineLevel="1" x14ac:dyDescent="0.3">
      <c r="A36" s="22" t="s">
        <v>169</v>
      </c>
      <c r="B36" s="23"/>
      <c r="C36" s="20">
        <v>0</v>
      </c>
      <c r="D36" s="23">
        <v>0</v>
      </c>
      <c r="E36" s="20">
        <v>0</v>
      </c>
      <c r="F36" s="23"/>
      <c r="G36" s="20">
        <v>0</v>
      </c>
      <c r="H36" s="23"/>
      <c r="I36" s="20">
        <v>0</v>
      </c>
      <c r="J36" s="23"/>
      <c r="K36" s="20">
        <v>0</v>
      </c>
      <c r="L36" s="23">
        <v>0</v>
      </c>
      <c r="M36" s="20">
        <v>0</v>
      </c>
      <c r="N36" s="23"/>
      <c r="O36" s="20">
        <v>0</v>
      </c>
      <c r="P36" s="23"/>
      <c r="Q36" s="20">
        <v>0</v>
      </c>
      <c r="R36" s="23"/>
      <c r="S36" s="20">
        <v>0</v>
      </c>
      <c r="T36" s="23"/>
      <c r="U36" s="20">
        <v>0</v>
      </c>
      <c r="V36" s="23">
        <v>0</v>
      </c>
      <c r="W36" s="20">
        <v>0</v>
      </c>
      <c r="X36" s="23">
        <f t="shared" si="0"/>
        <v>0</v>
      </c>
      <c r="Y36" s="23">
        <f t="shared" si="1"/>
        <v>0</v>
      </c>
      <c r="Z36" s="23">
        <f t="shared" si="2"/>
        <v>0</v>
      </c>
      <c r="AA36" s="23">
        <f t="shared" si="3"/>
        <v>0</v>
      </c>
      <c r="AB36" s="36">
        <f t="shared" si="4"/>
        <v>0</v>
      </c>
    </row>
    <row r="37" spans="1:29" hidden="1" outlineLevel="1" x14ac:dyDescent="0.3">
      <c r="A37" s="22" t="s">
        <v>117</v>
      </c>
      <c r="B37" s="23">
        <v>0</v>
      </c>
      <c r="C37" s="20">
        <v>0</v>
      </c>
      <c r="D37" s="23">
        <v>0</v>
      </c>
      <c r="E37" s="20">
        <v>0</v>
      </c>
      <c r="F37" s="23">
        <v>0</v>
      </c>
      <c r="G37" s="20">
        <v>0</v>
      </c>
      <c r="H37" s="23">
        <v>0</v>
      </c>
      <c r="I37" s="20">
        <v>0</v>
      </c>
      <c r="J37" s="23">
        <v>0</v>
      </c>
      <c r="K37" s="20">
        <v>0</v>
      </c>
      <c r="L37" s="23">
        <v>0</v>
      </c>
      <c r="M37" s="20">
        <v>0</v>
      </c>
      <c r="N37" s="23">
        <v>0</v>
      </c>
      <c r="O37" s="20">
        <v>0</v>
      </c>
      <c r="P37" s="23">
        <v>0</v>
      </c>
      <c r="Q37" s="20">
        <v>0</v>
      </c>
      <c r="R37" s="23">
        <v>0</v>
      </c>
      <c r="S37" s="20">
        <v>0</v>
      </c>
      <c r="T37" s="23">
        <v>0</v>
      </c>
      <c r="U37" s="20">
        <v>0</v>
      </c>
      <c r="V37" s="23">
        <v>0</v>
      </c>
      <c r="W37" s="20">
        <v>0</v>
      </c>
      <c r="X37" s="23">
        <f t="shared" si="0"/>
        <v>0</v>
      </c>
      <c r="Y37" s="23">
        <f t="shared" si="1"/>
        <v>0</v>
      </c>
      <c r="Z37" s="23">
        <f t="shared" si="2"/>
        <v>0</v>
      </c>
      <c r="AA37" s="23">
        <f t="shared" si="3"/>
        <v>0</v>
      </c>
      <c r="AB37" s="36">
        <f t="shared" si="4"/>
        <v>0</v>
      </c>
    </row>
    <row r="38" spans="1:29" collapsed="1" x14ac:dyDescent="0.3">
      <c r="A38" s="19" t="s">
        <v>99</v>
      </c>
      <c r="B38" s="23">
        <v>717.53696306671804</v>
      </c>
      <c r="C38" s="20">
        <v>3.9831879631991751E-2</v>
      </c>
      <c r="D38" s="23">
        <v>804.87079913149489</v>
      </c>
      <c r="E38" s="20">
        <v>3.1042575107349202E-2</v>
      </c>
      <c r="F38" s="23">
        <v>855.38293697496101</v>
      </c>
      <c r="G38" s="20">
        <v>2.3765913733355987E-2</v>
      </c>
      <c r="H38" s="23">
        <v>1164.4952345343884</v>
      </c>
      <c r="I38" s="20">
        <v>4.3283013893064222E-2</v>
      </c>
      <c r="J38" s="23">
        <v>1391.9242007090747</v>
      </c>
      <c r="K38" s="20">
        <v>4.2761714018892304E-2</v>
      </c>
      <c r="L38" s="23">
        <v>1487.0776564822418</v>
      </c>
      <c r="M38" s="20">
        <v>3.7857568887844154E-2</v>
      </c>
      <c r="N38" s="23">
        <v>2966.6595477972128</v>
      </c>
      <c r="O38" s="20">
        <v>5.1831199391188361E-2</v>
      </c>
      <c r="P38" s="23">
        <v>1630.6518034485264</v>
      </c>
      <c r="Q38" s="20">
        <v>3.1306689134741779E-2</v>
      </c>
      <c r="R38" s="23">
        <v>1611.8968099690039</v>
      </c>
      <c r="S38" s="20">
        <v>3.0751907917711825E-2</v>
      </c>
      <c r="T38" s="23">
        <v>321.36693026479918</v>
      </c>
      <c r="U38" s="20">
        <v>4.2845729557254318E-2</v>
      </c>
      <c r="V38" s="23">
        <v>12951.862882378422</v>
      </c>
      <c r="W38" s="20">
        <v>3.7227633663951799E-2</v>
      </c>
      <c r="X38" s="23">
        <f t="shared" si="0"/>
        <v>12630.495952113622</v>
      </c>
      <c r="Y38" s="23">
        <f t="shared" si="1"/>
        <v>2069.7360537382478</v>
      </c>
      <c r="Z38" s="23">
        <f t="shared" si="2"/>
        <v>6209.2081612147431</v>
      </c>
      <c r="AA38" s="23">
        <f t="shared" si="3"/>
        <v>18839.704113328364</v>
      </c>
      <c r="AB38" s="36">
        <f t="shared" si="4"/>
        <v>3.7515162339779425E-2</v>
      </c>
      <c r="AC38" t="s">
        <v>343</v>
      </c>
    </row>
    <row r="39" spans="1:29" hidden="1" outlineLevel="1" x14ac:dyDescent="0.3">
      <c r="A39" s="22" t="s">
        <v>148</v>
      </c>
      <c r="B39" s="23">
        <v>614.61617354330303</v>
      </c>
      <c r="C39" s="20">
        <v>3.4118545391473971E-2</v>
      </c>
      <c r="D39" s="23">
        <v>675.02732247375604</v>
      </c>
      <c r="E39" s="20">
        <v>2.6034720578775733E-2</v>
      </c>
      <c r="F39" s="23">
        <v>705.01041956322047</v>
      </c>
      <c r="G39" s="20">
        <v>1.9587971758837024E-2</v>
      </c>
      <c r="H39" s="23">
        <v>942.59618210862197</v>
      </c>
      <c r="I39" s="20">
        <v>3.5035268875161701E-2</v>
      </c>
      <c r="J39" s="23">
        <v>1083.996388163258</v>
      </c>
      <c r="K39" s="20">
        <v>3.3301772844049962E-2</v>
      </c>
      <c r="L39" s="23">
        <v>1127.3927608075419</v>
      </c>
      <c r="M39" s="20">
        <v>2.8700820646374896E-2</v>
      </c>
      <c r="N39" s="23">
        <v>1533.5579525383539</v>
      </c>
      <c r="O39" s="20">
        <v>2.6793147894229253E-2</v>
      </c>
      <c r="P39" s="23">
        <v>1367.0054528136</v>
      </c>
      <c r="Q39" s="20">
        <v>2.6244974350885825E-2</v>
      </c>
      <c r="R39" s="23">
        <v>1286.54233098446</v>
      </c>
      <c r="S39" s="20">
        <v>2.4544766792753459E-2</v>
      </c>
      <c r="T39" s="23">
        <v>263.27210839604902</v>
      </c>
      <c r="U39" s="20">
        <v>3.5100330787025041E-2</v>
      </c>
      <c r="V39" s="23">
        <v>9599.0170913921647</v>
      </c>
      <c r="W39" s="20">
        <v>2.7590524626271963E-2</v>
      </c>
      <c r="X39" s="23">
        <f t="shared" si="0"/>
        <v>9335.7449829961151</v>
      </c>
      <c r="Y39" s="23">
        <f t="shared" si="1"/>
        <v>1395.7019121121382</v>
      </c>
      <c r="Z39" s="23">
        <f t="shared" si="2"/>
        <v>4187.1057363364143</v>
      </c>
      <c r="AA39" s="23">
        <f t="shared" si="3"/>
        <v>13522.850719332529</v>
      </c>
      <c r="AB39" s="36">
        <f t="shared" si="4"/>
        <v>2.6927808259656221E-2</v>
      </c>
    </row>
    <row r="40" spans="1:29" hidden="1" outlineLevel="1" x14ac:dyDescent="0.3">
      <c r="A40" s="22" t="s">
        <v>142</v>
      </c>
      <c r="B40" s="23">
        <v>38.780606906221649</v>
      </c>
      <c r="C40" s="20">
        <v>2.1527873069315025E-3</v>
      </c>
      <c r="D40" s="23">
        <v>71.092419763977006</v>
      </c>
      <c r="E40" s="20">
        <v>2.7419205448474772E-3</v>
      </c>
      <c r="F40" s="23">
        <v>76.342011496857751</v>
      </c>
      <c r="G40" s="20">
        <v>2.1210823609383055E-3</v>
      </c>
      <c r="H40" s="23">
        <v>94.690988668356198</v>
      </c>
      <c r="I40" s="20">
        <v>3.5195604554957207E-3</v>
      </c>
      <c r="J40" s="23">
        <v>142.43279699583169</v>
      </c>
      <c r="K40" s="20">
        <v>4.3757199773838155E-3</v>
      </c>
      <c r="L40" s="23">
        <v>166.94419138980058</v>
      </c>
      <c r="M40" s="20">
        <v>4.2500142466771621E-3</v>
      </c>
      <c r="N40" s="23">
        <v>1146.7372979058957</v>
      </c>
      <c r="O40" s="20">
        <v>2.0034914212251186E-2</v>
      </c>
      <c r="P40" s="23">
        <v>152.620554486744</v>
      </c>
      <c r="Q40" s="20">
        <v>2.9301437896083857E-3</v>
      </c>
      <c r="R40" s="23">
        <v>180.23489078593599</v>
      </c>
      <c r="S40" s="20">
        <v>3.4385369651017128E-3</v>
      </c>
      <c r="T40" s="23">
        <v>32.4458350159818</v>
      </c>
      <c r="U40" s="20">
        <v>4.3257888147003277E-3</v>
      </c>
      <c r="V40" s="23">
        <v>2102.3215934156024</v>
      </c>
      <c r="W40" s="20">
        <v>6.0427182432554695E-3</v>
      </c>
      <c r="X40" s="23">
        <f t="shared" si="0"/>
        <v>2069.8757583996207</v>
      </c>
      <c r="Y40" s="23">
        <f t="shared" si="1"/>
        <v>493.19758105952519</v>
      </c>
      <c r="Z40" s="23">
        <f t="shared" si="2"/>
        <v>1479.5927431785756</v>
      </c>
      <c r="AA40" s="23">
        <f t="shared" si="3"/>
        <v>3549.4685015781961</v>
      </c>
      <c r="AB40" s="36">
        <f t="shared" si="4"/>
        <v>7.0679924830897353E-3</v>
      </c>
    </row>
    <row r="41" spans="1:29" hidden="1" outlineLevel="1" x14ac:dyDescent="0.3">
      <c r="A41" s="22" t="s">
        <v>144</v>
      </c>
      <c r="B41" s="23">
        <v>20.419692329443848</v>
      </c>
      <c r="C41" s="20">
        <v>1.1335370424855524E-3</v>
      </c>
      <c r="D41" s="23">
        <v>7.6916020291354004</v>
      </c>
      <c r="E41" s="20">
        <v>2.9665274717745956E-4</v>
      </c>
      <c r="F41" s="23">
        <v>22.253790152703349</v>
      </c>
      <c r="G41" s="20">
        <v>6.1829811438574001E-4</v>
      </c>
      <c r="H41" s="23">
        <v>83.869442878139296</v>
      </c>
      <c r="I41" s="20">
        <v>3.1173354374005036E-3</v>
      </c>
      <c r="J41" s="23">
        <v>88.851484448707197</v>
      </c>
      <c r="K41" s="20">
        <v>2.7296326669326966E-3</v>
      </c>
      <c r="L41" s="23">
        <v>85.0138520951365</v>
      </c>
      <c r="M41" s="20">
        <v>2.1642566869883285E-3</v>
      </c>
      <c r="N41" s="23">
        <v>93.856403652628302</v>
      </c>
      <c r="O41" s="20">
        <v>1.6397870714458421E-3</v>
      </c>
      <c r="P41" s="23">
        <v>44.964801973457</v>
      </c>
      <c r="Q41" s="20">
        <v>8.6327386043496168E-4</v>
      </c>
      <c r="R41" s="23">
        <v>65.693412417144401</v>
      </c>
      <c r="S41" s="20">
        <v>1.2533046513635937E-3</v>
      </c>
      <c r="T41" s="23">
        <v>9.9243204307752801</v>
      </c>
      <c r="U41" s="20">
        <v>1.323144073555309E-3</v>
      </c>
      <c r="V41" s="23">
        <v>522.53880240727062</v>
      </c>
      <c r="W41" s="20">
        <v>1.5019370794671139E-3</v>
      </c>
      <c r="X41" s="23">
        <f t="shared" si="0"/>
        <v>512.61448197649531</v>
      </c>
      <c r="Y41" s="23">
        <f t="shared" si="1"/>
        <v>68.171539347743234</v>
      </c>
      <c r="Z41" s="23">
        <f t="shared" si="2"/>
        <v>204.51461804322969</v>
      </c>
      <c r="AA41" s="23">
        <f t="shared" si="3"/>
        <v>717.129100019725</v>
      </c>
      <c r="AB41" s="36">
        <f t="shared" si="4"/>
        <v>1.4280062172944061E-3</v>
      </c>
    </row>
    <row r="42" spans="1:29" hidden="1" outlineLevel="1" x14ac:dyDescent="0.3">
      <c r="A42" s="22" t="s">
        <v>152</v>
      </c>
      <c r="B42" s="23">
        <v>22.627603162601247</v>
      </c>
      <c r="C42" s="20">
        <v>1.2561024893840962E-3</v>
      </c>
      <c r="D42" s="23">
        <v>34.189573079639004</v>
      </c>
      <c r="E42" s="20">
        <v>1.3186369680178993E-3</v>
      </c>
      <c r="F42" s="23">
        <v>33.762504291709078</v>
      </c>
      <c r="G42" s="20">
        <v>9.3805561197710346E-4</v>
      </c>
      <c r="H42" s="23">
        <v>27.432899369824202</v>
      </c>
      <c r="I42" s="20">
        <v>1.0196508575888634E-3</v>
      </c>
      <c r="J42" s="23">
        <v>40.485465643081646</v>
      </c>
      <c r="K42" s="20">
        <v>1.243765934142983E-3</v>
      </c>
      <c r="L42" s="23">
        <v>52.016577064595694</v>
      </c>
      <c r="M42" s="20">
        <v>1.3242221352387736E-3</v>
      </c>
      <c r="N42" s="23">
        <v>34.471522435077596</v>
      </c>
      <c r="O42" s="20">
        <v>6.022599910316573E-4</v>
      </c>
      <c r="P42" s="23">
        <v>26.640184232496999</v>
      </c>
      <c r="Q42" s="20">
        <v>5.1146171395710833E-4</v>
      </c>
      <c r="R42" s="23">
        <v>37.766140527955201</v>
      </c>
      <c r="S42" s="20">
        <v>7.20505722661847E-4</v>
      </c>
      <c r="T42" s="23">
        <v>7.6884423280150003</v>
      </c>
      <c r="U42" s="20">
        <v>1.0250492184471043E-3</v>
      </c>
      <c r="V42" s="23">
        <v>317.08091213499569</v>
      </c>
      <c r="W42" s="20">
        <v>9.1138797144412343E-4</v>
      </c>
      <c r="X42" s="23">
        <f t="shared" si="0"/>
        <v>309.39246980698067</v>
      </c>
      <c r="Y42" s="23">
        <f t="shared" si="1"/>
        <v>32.959282398509934</v>
      </c>
      <c r="Z42" s="23">
        <f t="shared" si="2"/>
        <v>98.877847195529796</v>
      </c>
      <c r="AA42" s="23">
        <f t="shared" si="3"/>
        <v>408.27031700251047</v>
      </c>
      <c r="AB42" s="36">
        <f t="shared" si="4"/>
        <v>8.1298130420353449E-4</v>
      </c>
    </row>
    <row r="43" spans="1:29" hidden="1" outlineLevel="1" x14ac:dyDescent="0.3">
      <c r="A43" s="22" t="s">
        <v>143</v>
      </c>
      <c r="B43" s="23">
        <v>5.3170170158372301</v>
      </c>
      <c r="C43" s="20">
        <v>2.9515800952039343E-4</v>
      </c>
      <c r="D43" s="23">
        <v>4.0925132619086799</v>
      </c>
      <c r="E43" s="20">
        <v>1.5784166905757937E-4</v>
      </c>
      <c r="F43" s="23">
        <v>6.7126603008868297</v>
      </c>
      <c r="G43" s="20">
        <v>1.8650419447970552E-4</v>
      </c>
      <c r="H43" s="23">
        <v>3.8639636739779002</v>
      </c>
      <c r="I43" s="20">
        <v>1.4361930252977957E-4</v>
      </c>
      <c r="J43" s="23">
        <v>20.355129965066482</v>
      </c>
      <c r="K43" s="20">
        <v>6.2533595287742559E-4</v>
      </c>
      <c r="L43" s="23">
        <v>36.259268299370504</v>
      </c>
      <c r="M43" s="20">
        <v>9.2307738031207167E-4</v>
      </c>
      <c r="N43" s="23">
        <v>55.370966345506901</v>
      </c>
      <c r="O43" s="20">
        <v>9.6739903952501821E-4</v>
      </c>
      <c r="P43" s="23">
        <v>21.778280107553002</v>
      </c>
      <c r="Q43" s="20">
        <v>4.181185975906073E-4</v>
      </c>
      <c r="R43" s="23">
        <v>21.2259835661383</v>
      </c>
      <c r="S43" s="20">
        <v>4.0495116564025045E-4</v>
      </c>
      <c r="T43" s="23">
        <v>4.4945870260401399</v>
      </c>
      <c r="U43" s="20">
        <v>5.9923359267421582E-4</v>
      </c>
      <c r="V43" s="23">
        <v>179.47036956228595</v>
      </c>
      <c r="W43" s="20">
        <v>5.1585298827468054E-4</v>
      </c>
      <c r="X43" s="23">
        <f t="shared" si="0"/>
        <v>174.97578253624582</v>
      </c>
      <c r="Y43" s="23">
        <f t="shared" si="1"/>
        <v>32.791743339732733</v>
      </c>
      <c r="Z43" s="23">
        <f t="shared" si="2"/>
        <v>98.375230019198199</v>
      </c>
      <c r="AA43" s="23">
        <f t="shared" si="3"/>
        <v>273.35101255544402</v>
      </c>
      <c r="AB43" s="36">
        <f t="shared" si="4"/>
        <v>5.4431893144785029E-4</v>
      </c>
    </row>
    <row r="44" spans="1:29" hidden="1" outlineLevel="1" x14ac:dyDescent="0.3">
      <c r="A44" s="22" t="s">
        <v>147</v>
      </c>
      <c r="B44" s="23">
        <v>11.811480907811525</v>
      </c>
      <c r="C44" s="20">
        <v>6.5567839708875286E-4</v>
      </c>
      <c r="D44" s="23">
        <v>8.4654877495432999</v>
      </c>
      <c r="E44" s="20">
        <v>3.2650027752169613E-4</v>
      </c>
      <c r="F44" s="23">
        <v>6.4657904916220952</v>
      </c>
      <c r="G44" s="20">
        <v>1.7964517691371979E-4</v>
      </c>
      <c r="H44" s="23">
        <v>6.5188550684956397</v>
      </c>
      <c r="I44" s="20">
        <v>2.422987111745339E-4</v>
      </c>
      <c r="J44" s="23">
        <v>9.5871571458329115</v>
      </c>
      <c r="K44" s="20">
        <v>2.9452988310386659E-4</v>
      </c>
      <c r="L44" s="23">
        <v>9.3894832959251513</v>
      </c>
      <c r="M44" s="20">
        <v>2.3903459859494784E-4</v>
      </c>
      <c r="N44" s="23">
        <v>90.421427373759357</v>
      </c>
      <c r="O44" s="20">
        <v>1.5797738014545972E-3</v>
      </c>
      <c r="P44" s="23">
        <v>6.4582243656843303</v>
      </c>
      <c r="Q44" s="20">
        <v>1.2399067793094091E-4</v>
      </c>
      <c r="R44" s="23">
        <v>8.1730389056988706</v>
      </c>
      <c r="S44" s="20">
        <v>1.5592594903191166E-4</v>
      </c>
      <c r="T44" s="23">
        <v>0.88562007108455998</v>
      </c>
      <c r="U44" s="20">
        <v>1.1807387283097092E-4</v>
      </c>
      <c r="V44" s="23">
        <v>158.1765653754577</v>
      </c>
      <c r="W44" s="20">
        <v>4.5464805205985289E-4</v>
      </c>
      <c r="X44" s="23">
        <f t="shared" si="0"/>
        <v>157.29094530437314</v>
      </c>
      <c r="Y44" s="23">
        <f t="shared" si="1"/>
        <v>35.017563548380856</v>
      </c>
      <c r="Z44" s="23">
        <f t="shared" si="2"/>
        <v>105.05269064514258</v>
      </c>
      <c r="AA44" s="23">
        <f t="shared" si="3"/>
        <v>262.34363594951571</v>
      </c>
      <c r="AB44" s="36">
        <f t="shared" si="4"/>
        <v>5.2240014133190854E-4</v>
      </c>
    </row>
    <row r="45" spans="1:29" hidden="1" outlineLevel="1" x14ac:dyDescent="0.3">
      <c r="A45" s="22" t="s">
        <v>151</v>
      </c>
      <c r="B45" s="23">
        <v>3.084645121965</v>
      </c>
      <c r="C45" s="20">
        <v>1.7123468131926181E-4</v>
      </c>
      <c r="D45" s="23">
        <v>3.0547592640071999</v>
      </c>
      <c r="E45" s="20">
        <v>1.1781716269261982E-4</v>
      </c>
      <c r="F45" s="23">
        <v>3.5405252686872299</v>
      </c>
      <c r="G45" s="20">
        <v>9.8369764545409451E-5</v>
      </c>
      <c r="H45" s="23">
        <v>4.3595981993383202</v>
      </c>
      <c r="I45" s="20">
        <v>1.620414956061084E-4</v>
      </c>
      <c r="J45" s="23">
        <v>5.2198663315437299</v>
      </c>
      <c r="K45" s="20">
        <v>1.6036105354918714E-4</v>
      </c>
      <c r="L45" s="23">
        <v>8.6746343303534399</v>
      </c>
      <c r="M45" s="20">
        <v>2.2083619191418794E-4</v>
      </c>
      <c r="N45" s="23">
        <v>8.8131729658175999</v>
      </c>
      <c r="O45" s="20">
        <v>1.5397699597835603E-4</v>
      </c>
      <c r="P45" s="23">
        <v>8.7870777623937002</v>
      </c>
      <c r="Q45" s="20">
        <v>1.6870205602955116E-4</v>
      </c>
      <c r="R45" s="23">
        <v>9.7206761272069802</v>
      </c>
      <c r="S45" s="20">
        <v>1.854519069167442E-4</v>
      </c>
      <c r="T45" s="23">
        <v>2.1802632287788799</v>
      </c>
      <c r="U45" s="20">
        <v>2.906800914049063E-4</v>
      </c>
      <c r="V45" s="23">
        <v>57.435218600092078</v>
      </c>
      <c r="W45" s="20">
        <v>1.6508646646980045E-4</v>
      </c>
      <c r="X45" s="23">
        <f t="shared" si="0"/>
        <v>55.254955371313201</v>
      </c>
      <c r="Y45" s="23">
        <f t="shared" si="1"/>
        <v>9.1069756184727595</v>
      </c>
      <c r="Z45" s="23">
        <f t="shared" si="2"/>
        <v>27.320926855418278</v>
      </c>
      <c r="AA45" s="23">
        <f t="shared" si="3"/>
        <v>82.57588222673148</v>
      </c>
      <c r="AB45" s="36">
        <f t="shared" si="4"/>
        <v>1.6443186201075898E-4</v>
      </c>
    </row>
    <row r="46" spans="1:29" hidden="1" outlineLevel="1" x14ac:dyDescent="0.3">
      <c r="A46" s="22" t="s">
        <v>153</v>
      </c>
      <c r="B46" s="23">
        <v>0.79077029122464992</v>
      </c>
      <c r="C46" s="20">
        <v>4.3897204851991141E-5</v>
      </c>
      <c r="D46" s="23">
        <v>1.169030705572</v>
      </c>
      <c r="E46" s="20">
        <v>4.5087638313720765E-5</v>
      </c>
      <c r="F46" s="23">
        <v>1.18109299981102</v>
      </c>
      <c r="G46" s="20">
        <v>3.2815424684349302E-5</v>
      </c>
      <c r="H46" s="23">
        <v>1.0905000591165599</v>
      </c>
      <c r="I46" s="20">
        <v>4.0532694174572483E-5</v>
      </c>
      <c r="J46" s="23">
        <v>0.90200052202518</v>
      </c>
      <c r="K46" s="20">
        <v>2.7710624147553015E-5</v>
      </c>
      <c r="L46" s="23">
        <v>1.29362578098444</v>
      </c>
      <c r="M46" s="20">
        <v>3.2932730113475723E-5</v>
      </c>
      <c r="N46" s="23">
        <v>3.3415375881829599</v>
      </c>
      <c r="O46" s="20">
        <v>5.8380780880253715E-5</v>
      </c>
      <c r="P46" s="23">
        <v>2.3322250818415999</v>
      </c>
      <c r="Q46" s="20">
        <v>4.4776110678595554E-5</v>
      </c>
      <c r="R46" s="23">
        <v>2.4648360524063202</v>
      </c>
      <c r="S46" s="20">
        <v>4.7024357171668478E-5</v>
      </c>
      <c r="T46" s="23">
        <v>0.46532073165072002</v>
      </c>
      <c r="U46" s="20">
        <v>6.2038138800600331E-5</v>
      </c>
      <c r="V46" s="23">
        <v>15.030939812815451</v>
      </c>
      <c r="W46" s="20">
        <v>4.3203539603381407E-5</v>
      </c>
      <c r="X46" s="23">
        <f t="shared" si="0"/>
        <v>14.56561908116473</v>
      </c>
      <c r="Y46" s="23">
        <f t="shared" si="1"/>
        <v>2.7128662408102939</v>
      </c>
      <c r="Z46" s="23">
        <f t="shared" si="2"/>
        <v>8.1385987224308813</v>
      </c>
      <c r="AA46" s="23">
        <f t="shared" si="3"/>
        <v>22.704217803595611</v>
      </c>
      <c r="AB46" s="36">
        <f t="shared" si="4"/>
        <v>4.5210498613776931E-5</v>
      </c>
    </row>
    <row r="47" spans="1:29" hidden="1" outlineLevel="1" x14ac:dyDescent="0.3">
      <c r="A47" s="22" t="s">
        <v>146</v>
      </c>
      <c r="B47" s="23">
        <v>4.4874753296999997E-2</v>
      </c>
      <c r="C47" s="20">
        <v>2.4910852873724758E-6</v>
      </c>
      <c r="D47" s="23">
        <v>4.8298288424800002E-2</v>
      </c>
      <c r="E47" s="20">
        <v>1.8627874779419368E-6</v>
      </c>
      <c r="F47" s="23">
        <v>6.9484103157400001E-2</v>
      </c>
      <c r="G47" s="20">
        <v>1.9305426027298876E-6</v>
      </c>
      <c r="H47" s="23">
        <v>5.5211473215359998E-2</v>
      </c>
      <c r="I47" s="20">
        <v>2.0521500572670657E-6</v>
      </c>
      <c r="J47" s="23">
        <v>7.7699412770760007E-2</v>
      </c>
      <c r="K47" s="20">
        <v>2.3870265828028045E-6</v>
      </c>
      <c r="L47" s="23">
        <v>8.3678124182640007E-2</v>
      </c>
      <c r="M47" s="20">
        <v>2.1302521336670364E-6</v>
      </c>
      <c r="N47" s="23">
        <v>7.9246275659039994E-2</v>
      </c>
      <c r="O47" s="20">
        <v>1.3845301250501104E-6</v>
      </c>
      <c r="P47" s="23">
        <v>6.3399090281999998E-2</v>
      </c>
      <c r="Q47" s="20">
        <v>1.2171915590357701E-6</v>
      </c>
      <c r="R47" s="23">
        <v>7.4313742598480004E-2</v>
      </c>
      <c r="S47" s="20">
        <v>1.4177640623613746E-6</v>
      </c>
      <c r="T47" s="23">
        <v>1.019218438064E-2</v>
      </c>
      <c r="U47" s="20">
        <v>1.3588566042272892E-6</v>
      </c>
      <c r="V47" s="23">
        <v>0.6063974479681199</v>
      </c>
      <c r="W47" s="20">
        <v>1.7429725941915556E-6</v>
      </c>
      <c r="X47" s="23">
        <f t="shared" si="0"/>
        <v>0.59620526358747994</v>
      </c>
      <c r="Y47" s="23">
        <f t="shared" si="1"/>
        <v>7.231970284650667E-2</v>
      </c>
      <c r="Z47" s="23">
        <f t="shared" si="2"/>
        <v>0.21695910853952</v>
      </c>
      <c r="AA47" s="23">
        <f t="shared" si="3"/>
        <v>0.81316437212699988</v>
      </c>
      <c r="AB47" s="36">
        <f t="shared" si="4"/>
        <v>1.6192395191433709E-6</v>
      </c>
    </row>
    <row r="48" spans="1:29" hidden="1" outlineLevel="1" x14ac:dyDescent="0.3">
      <c r="A48" s="22" t="s">
        <v>154</v>
      </c>
      <c r="B48" s="23">
        <v>1.8579118733339998E-2</v>
      </c>
      <c r="C48" s="20">
        <v>1.0313632037741746E-6</v>
      </c>
      <c r="D48" s="23">
        <v>1.6561449280920001E-2</v>
      </c>
      <c r="E48" s="20">
        <v>6.3874852180532563E-7</v>
      </c>
      <c r="F48" s="23">
        <v>2.0489467640043002E-2</v>
      </c>
      <c r="G48" s="20">
        <v>5.6927827213591613E-7</v>
      </c>
      <c r="H48" s="23">
        <v>1.6644607550359999E-2</v>
      </c>
      <c r="I48" s="20">
        <v>6.1866185320620023E-7</v>
      </c>
      <c r="J48" s="23">
        <v>1.512278009757E-2</v>
      </c>
      <c r="K48" s="20">
        <v>4.6459138893731037E-7</v>
      </c>
      <c r="L48" s="23">
        <v>8.7929049149599991E-3</v>
      </c>
      <c r="M48" s="20">
        <v>2.2384708834224671E-7</v>
      </c>
      <c r="N48" s="23">
        <v>9.3541014484799997E-3</v>
      </c>
      <c r="O48" s="20">
        <v>1.634276833894092E-7</v>
      </c>
      <c r="P48" s="23">
        <v>1.0637760969E-3</v>
      </c>
      <c r="Q48" s="20">
        <v>2.0423310178290006E-8</v>
      </c>
      <c r="R48" s="23">
        <v>6.8500683620999995E-4</v>
      </c>
      <c r="S48" s="20">
        <v>1.3068620162191463E-8</v>
      </c>
      <c r="T48" s="23">
        <v>1.4724706035999999E-4</v>
      </c>
      <c r="U48" s="20">
        <v>1.9631477703965564E-8</v>
      </c>
      <c r="V48" s="23">
        <v>0.10744045965914302</v>
      </c>
      <c r="W48" s="20">
        <v>3.0881689446535206E-7</v>
      </c>
      <c r="X48" s="23">
        <f t="shared" si="0"/>
        <v>0.10729321259878302</v>
      </c>
      <c r="Y48" s="23">
        <f t="shared" si="1"/>
        <v>3.7009614605300004E-3</v>
      </c>
      <c r="Z48" s="23">
        <f t="shared" si="2"/>
        <v>1.1102884381590001E-2</v>
      </c>
      <c r="AA48" s="23">
        <f t="shared" si="3"/>
        <v>0.11839609698037303</v>
      </c>
      <c r="AB48" s="36">
        <f t="shared" si="4"/>
        <v>2.3576000832585619E-7</v>
      </c>
    </row>
    <row r="49" spans="1:29" hidden="1" outlineLevel="1" x14ac:dyDescent="0.3">
      <c r="A49" s="22" t="s">
        <v>150</v>
      </c>
      <c r="B49" s="23">
        <v>2.5232544399700001E-2</v>
      </c>
      <c r="C49" s="20">
        <v>1.4007078702150229E-6</v>
      </c>
      <c r="D49" s="23">
        <v>2.2971766634600002E-2</v>
      </c>
      <c r="E49" s="20">
        <v>8.8598417519004386E-7</v>
      </c>
      <c r="F49" s="23">
        <v>2.392925432342E-2</v>
      </c>
      <c r="G49" s="20">
        <v>6.6484912121947393E-7</v>
      </c>
      <c r="H49" s="23">
        <v>8.4603031869999999E-4</v>
      </c>
      <c r="I49" s="20">
        <v>3.1446021376710299E-8</v>
      </c>
      <c r="J49" s="23">
        <v>9.5518375572E-4</v>
      </c>
      <c r="K49" s="20">
        <v>2.9344481960140283E-8</v>
      </c>
      <c r="L49" s="23">
        <v>6.7292978253999998E-4</v>
      </c>
      <c r="M49" s="20">
        <v>1.7131240919491454E-8</v>
      </c>
      <c r="N49" s="23">
        <v>5.3905716023999999E-4</v>
      </c>
      <c r="O49" s="20">
        <v>9.4179931014979627E-9</v>
      </c>
      <c r="P49" s="23">
        <v>4.0790963565E-4</v>
      </c>
      <c r="Q49" s="20">
        <v>7.8314083554524101E-9</v>
      </c>
      <c r="R49" s="23">
        <v>3.7512142493999998E-4</v>
      </c>
      <c r="S49" s="20">
        <v>7.156599260183134E-9</v>
      </c>
      <c r="T49" s="23">
        <v>7.5002776959999997E-5</v>
      </c>
      <c r="U49" s="20">
        <v>9.9996247125469085E-9</v>
      </c>
      <c r="V49" s="23">
        <v>7.6004800212469997E-2</v>
      </c>
      <c r="W49" s="20">
        <v>2.1846114992935179E-7</v>
      </c>
      <c r="X49" s="23">
        <f t="shared" si="0"/>
        <v>7.5929797435509996E-2</v>
      </c>
      <c r="Y49" s="23">
        <f t="shared" si="1"/>
        <v>4.4069607361000001E-4</v>
      </c>
      <c r="Z49" s="23">
        <f t="shared" si="2"/>
        <v>1.32208822083E-3</v>
      </c>
      <c r="AA49" s="23">
        <f t="shared" si="3"/>
        <v>7.7251885656340002E-2</v>
      </c>
      <c r="AB49" s="36">
        <f t="shared" si="4"/>
        <v>1.5383028385256681E-7</v>
      </c>
    </row>
    <row r="50" spans="1:29" hidden="1" outlineLevel="1" x14ac:dyDescent="0.3">
      <c r="A50" s="22" t="s">
        <v>145</v>
      </c>
      <c r="B50" s="23">
        <v>7.6733571750000004E-5</v>
      </c>
      <c r="C50" s="20">
        <v>4.2596305849049459E-9</v>
      </c>
      <c r="D50" s="23">
        <v>6.9322175999999999E-5</v>
      </c>
      <c r="E50" s="20">
        <v>2.673645083666788E-9</v>
      </c>
      <c r="F50" s="23">
        <v>7.7386676399999996E-5</v>
      </c>
      <c r="G50" s="20">
        <v>2.1501072746876315E-9</v>
      </c>
      <c r="H50" s="23">
        <v>9.4499776800000007E-5</v>
      </c>
      <c r="I50" s="20">
        <v>3.5124533195374626E-9</v>
      </c>
      <c r="J50" s="23">
        <v>1.2528791055E-4</v>
      </c>
      <c r="K50" s="20">
        <v>3.8490068627547586E-9</v>
      </c>
      <c r="L50" s="23">
        <v>1.134935538E-4</v>
      </c>
      <c r="M50" s="20">
        <v>2.8892842364894042E-9</v>
      </c>
      <c r="N50" s="23">
        <v>1.229410248E-4</v>
      </c>
      <c r="O50" s="20">
        <v>2.1479312563847338E-9</v>
      </c>
      <c r="P50" s="23">
        <v>1.2730518900000001E-4</v>
      </c>
      <c r="Q50" s="20">
        <v>2.4441171124540176E-9</v>
      </c>
      <c r="R50" s="23">
        <v>1.2230730929999999E-4</v>
      </c>
      <c r="S50" s="20">
        <v>2.3333895135191841E-9</v>
      </c>
      <c r="T50" s="23">
        <v>1.7709872400000001E-5</v>
      </c>
      <c r="U50" s="20">
        <v>2.3611402788664486E-9</v>
      </c>
      <c r="V50" s="23">
        <v>9.4698706080000006E-4</v>
      </c>
      <c r="W50" s="20">
        <v>2.7219317949952654E-9</v>
      </c>
      <c r="X50" s="23">
        <f t="shared" si="0"/>
        <v>9.2927718840000008E-4</v>
      </c>
      <c r="Y50" s="23">
        <f t="shared" si="1"/>
        <v>1.2418450770000002E-4</v>
      </c>
      <c r="Z50" s="23">
        <f t="shared" si="2"/>
        <v>3.7255352310000002E-4</v>
      </c>
      <c r="AA50" s="23">
        <f t="shared" si="3"/>
        <v>1.3018307115000001E-3</v>
      </c>
      <c r="AB50" s="36">
        <f t="shared" si="4"/>
        <v>2.5923119698191957E-9</v>
      </c>
    </row>
    <row r="51" spans="1:29" hidden="1" outlineLevel="1" x14ac:dyDescent="0.3">
      <c r="A51" s="22" t="s">
        <v>149</v>
      </c>
      <c r="B51" s="23">
        <v>2.1063830809999999E-4</v>
      </c>
      <c r="C51" s="20">
        <v>1.169294428856547E-8</v>
      </c>
      <c r="D51" s="23">
        <v>1.8997744E-4</v>
      </c>
      <c r="E51" s="20">
        <v>7.3271249948011179E-9</v>
      </c>
      <c r="F51" s="23">
        <v>1.6219766596E-4</v>
      </c>
      <c r="G51" s="20">
        <v>4.5064912687987004E-9</v>
      </c>
      <c r="H51" s="23">
        <v>7.8976571999999995E-6</v>
      </c>
      <c r="I51" s="20">
        <v>2.935472779731363E-10</v>
      </c>
      <c r="J51" s="23">
        <v>8.8291936799999992E-6</v>
      </c>
      <c r="K51" s="20">
        <v>2.7124426385376364E-10</v>
      </c>
      <c r="L51" s="23">
        <v>5.9660997600000003E-6</v>
      </c>
      <c r="M51" s="20">
        <v>1.5188314589450471E-10</v>
      </c>
      <c r="N51" s="23">
        <v>4.6166985600000001E-6</v>
      </c>
      <c r="O51" s="20">
        <v>8.0659414987489114E-11</v>
      </c>
      <c r="P51" s="23">
        <v>4.5435522000000002E-6</v>
      </c>
      <c r="Q51" s="20">
        <v>8.7231115798022169E-11</v>
      </c>
      <c r="R51" s="23">
        <v>4.4238888000000001E-6</v>
      </c>
      <c r="S51" s="20">
        <v>8.4399336343629042E-11</v>
      </c>
      <c r="T51" s="23">
        <v>8.9233343999999998E-7</v>
      </c>
      <c r="U51" s="20">
        <v>1.189689219535798E-10</v>
      </c>
      <c r="V51" s="23">
        <v>5.9998283770000007E-4</v>
      </c>
      <c r="W51" s="20">
        <v>1.724535033253238E-9</v>
      </c>
      <c r="X51" s="23">
        <f t="shared" si="0"/>
        <v>5.9909050426000011E-4</v>
      </c>
      <c r="Y51" s="23">
        <f t="shared" si="1"/>
        <v>4.5280465200000007E-6</v>
      </c>
      <c r="Z51" s="23">
        <f t="shared" si="2"/>
        <v>1.3584139560000001E-5</v>
      </c>
      <c r="AA51" s="23">
        <f t="shared" si="3"/>
        <v>6.1267464382000014E-4</v>
      </c>
      <c r="AB51" s="36">
        <f t="shared" si="4"/>
        <v>1.2200079463091532E-9</v>
      </c>
    </row>
    <row r="52" spans="1:29" collapsed="1" x14ac:dyDescent="0.3">
      <c r="A52" s="19" t="s">
        <v>93</v>
      </c>
      <c r="B52" s="23">
        <v>759.03022663304205</v>
      </c>
      <c r="C52" s="20">
        <v>4.2135251813472878E-2</v>
      </c>
      <c r="D52" s="23">
        <v>783.07172922481948</v>
      </c>
      <c r="E52" s="20">
        <v>3.0201819963071974E-2</v>
      </c>
      <c r="F52" s="23">
        <v>935.15496879913894</v>
      </c>
      <c r="G52" s="20">
        <v>2.5982295595463948E-2</v>
      </c>
      <c r="H52" s="23">
        <v>1477.2664679282807</v>
      </c>
      <c r="I52" s="20">
        <v>5.4908378462075601E-2</v>
      </c>
      <c r="J52" s="23">
        <v>1452.8750236901753</v>
      </c>
      <c r="K52" s="20">
        <v>4.4634202233556734E-2</v>
      </c>
      <c r="L52" s="23">
        <v>1385.4091405972697</v>
      </c>
      <c r="M52" s="20">
        <v>3.5269322855727016E-2</v>
      </c>
      <c r="N52" s="23">
        <v>2078.4754283595576</v>
      </c>
      <c r="O52" s="20">
        <v>3.6313527933119538E-2</v>
      </c>
      <c r="P52" s="23">
        <v>1564.9504330672407</v>
      </c>
      <c r="Q52" s="20">
        <v>3.0045296375169502E-2</v>
      </c>
      <c r="R52" s="23">
        <v>1685.2790161537416</v>
      </c>
      <c r="S52" s="20">
        <v>3.2151900047130449E-2</v>
      </c>
      <c r="T52" s="23">
        <v>302.86402117917629</v>
      </c>
      <c r="U52" s="20">
        <v>4.0378858936646785E-2</v>
      </c>
      <c r="V52" s="23">
        <v>12424.376455632442</v>
      </c>
      <c r="W52" s="20">
        <v>3.5711475591870649E-2</v>
      </c>
      <c r="X52" s="23">
        <f t="shared" si="0"/>
        <v>12121.512434453265</v>
      </c>
      <c r="Y52" s="23">
        <f t="shared" si="1"/>
        <v>1776.2349591935133</v>
      </c>
      <c r="Z52" s="23">
        <f t="shared" si="2"/>
        <v>5328.7048775805397</v>
      </c>
      <c r="AA52" s="23">
        <f t="shared" si="3"/>
        <v>17450.217312033805</v>
      </c>
      <c r="AB52" s="36">
        <f t="shared" si="4"/>
        <v>3.4748302382426453E-2</v>
      </c>
      <c r="AC52" t="s">
        <v>260</v>
      </c>
    </row>
    <row r="53" spans="1:29" hidden="1" outlineLevel="1" x14ac:dyDescent="0.3">
      <c r="A53" s="22" t="s">
        <v>130</v>
      </c>
      <c r="B53" s="23">
        <v>188.38027140899999</v>
      </c>
      <c r="C53" s="20">
        <v>1.045735715653652E-2</v>
      </c>
      <c r="D53" s="23">
        <v>252.23283035200001</v>
      </c>
      <c r="E53" s="20">
        <v>9.7282154964377313E-3</v>
      </c>
      <c r="F53" s="23">
        <v>290.97184399000002</v>
      </c>
      <c r="G53" s="20">
        <v>8.0843461380669095E-3</v>
      </c>
      <c r="H53" s="23">
        <v>720.48832840279999</v>
      </c>
      <c r="I53" s="20">
        <v>2.677976294211112E-2</v>
      </c>
      <c r="J53" s="23">
        <v>635.45830691519996</v>
      </c>
      <c r="K53" s="20">
        <v>1.9522102121217983E-2</v>
      </c>
      <c r="L53" s="23">
        <v>666.92193093159995</v>
      </c>
      <c r="M53" s="20">
        <v>1.6978294867789637E-2</v>
      </c>
      <c r="N53" s="23">
        <v>1193.1262755584</v>
      </c>
      <c r="O53" s="20">
        <v>2.084538683693966E-2</v>
      </c>
      <c r="P53" s="23">
        <v>1030.61724557</v>
      </c>
      <c r="Q53" s="20">
        <v>1.9786697353615816E-2</v>
      </c>
      <c r="R53" s="23">
        <v>1190.5092579354</v>
      </c>
      <c r="S53" s="20">
        <v>2.2712639449864572E-2</v>
      </c>
      <c r="T53" s="23">
        <v>200.78162764160001</v>
      </c>
      <c r="U53" s="20">
        <v>2.6768887859460064E-2</v>
      </c>
      <c r="V53" s="23">
        <v>6369.4879187059996</v>
      </c>
      <c r="W53" s="20">
        <v>1.8307865441284682E-2</v>
      </c>
      <c r="X53" s="23">
        <f t="shared" si="0"/>
        <v>6168.7062910643999</v>
      </c>
      <c r="Y53" s="23">
        <f t="shared" si="1"/>
        <v>1138.0842596879334</v>
      </c>
      <c r="Z53" s="23">
        <f t="shared" si="2"/>
        <v>3414.2527790638001</v>
      </c>
      <c r="AA53" s="23">
        <f t="shared" si="3"/>
        <v>9582.9590701281995</v>
      </c>
      <c r="AB53" s="36">
        <f t="shared" si="4"/>
        <v>1.9082373218217596E-2</v>
      </c>
    </row>
    <row r="54" spans="1:29" hidden="1" outlineLevel="1" x14ac:dyDescent="0.3">
      <c r="A54" s="22" t="s">
        <v>136</v>
      </c>
      <c r="B54" s="23">
        <v>214.453344158417</v>
      </c>
      <c r="C54" s="20">
        <v>1.1904724398709349E-2</v>
      </c>
      <c r="D54" s="23">
        <v>167.61878448230328</v>
      </c>
      <c r="E54" s="20">
        <v>6.4647875315009306E-3</v>
      </c>
      <c r="F54" s="23">
        <v>169.17465896943901</v>
      </c>
      <c r="G54" s="20">
        <v>4.7003396691034267E-3</v>
      </c>
      <c r="H54" s="23">
        <v>271.095178308313</v>
      </c>
      <c r="I54" s="20">
        <v>1.0076311195685641E-2</v>
      </c>
      <c r="J54" s="23">
        <v>276.27057481097199</v>
      </c>
      <c r="K54" s="20">
        <v>8.4873898347938639E-3</v>
      </c>
      <c r="L54" s="23">
        <v>266.10972595025999</v>
      </c>
      <c r="M54" s="20">
        <v>6.7745401445399233E-3</v>
      </c>
      <c r="N54" s="23">
        <v>370.91971881935098</v>
      </c>
      <c r="O54" s="20">
        <v>6.4804247317574075E-3</v>
      </c>
      <c r="P54" s="23">
        <v>181.13476808265199</v>
      </c>
      <c r="Q54" s="20">
        <v>3.4775847693938027E-3</v>
      </c>
      <c r="R54" s="23">
        <v>149.67911631694801</v>
      </c>
      <c r="S54" s="20">
        <v>2.8555912349449808E-3</v>
      </c>
      <c r="T54" s="23">
        <v>27.9796705469053</v>
      </c>
      <c r="U54" s="20">
        <v>3.7303446137596868E-3</v>
      </c>
      <c r="V54" s="23">
        <v>2094.4355404455605</v>
      </c>
      <c r="W54" s="20">
        <v>6.0200513038592331E-3</v>
      </c>
      <c r="X54" s="23">
        <f t="shared" si="0"/>
        <v>2066.4558698986552</v>
      </c>
      <c r="Y54" s="23">
        <f t="shared" si="1"/>
        <v>233.91120107298366</v>
      </c>
      <c r="Z54" s="23">
        <f t="shared" si="2"/>
        <v>701.73360321895098</v>
      </c>
      <c r="AA54" s="23">
        <f t="shared" si="3"/>
        <v>2768.1894731176062</v>
      </c>
      <c r="AB54" s="36">
        <f t="shared" si="4"/>
        <v>5.5122456725743502E-3</v>
      </c>
    </row>
    <row r="55" spans="1:29" hidden="1" outlineLevel="1" x14ac:dyDescent="0.3">
      <c r="A55" s="22" t="s">
        <v>131</v>
      </c>
      <c r="B55" s="23">
        <v>181.43884055000001</v>
      </c>
      <c r="C55" s="20">
        <v>1.0072024758791079E-2</v>
      </c>
      <c r="D55" s="23">
        <v>187.1940496</v>
      </c>
      <c r="E55" s="20">
        <v>7.2197740937144971E-3</v>
      </c>
      <c r="F55" s="23">
        <v>273.43292328000001</v>
      </c>
      <c r="G55" s="20">
        <v>7.5970457038962982E-3</v>
      </c>
      <c r="H55" s="23">
        <v>274.58666119999998</v>
      </c>
      <c r="I55" s="20">
        <v>1.0206085795037014E-2</v>
      </c>
      <c r="J55" s="23">
        <v>304.98109590000001</v>
      </c>
      <c r="K55" s="20">
        <v>9.3694142234185991E-3</v>
      </c>
      <c r="L55" s="23">
        <v>211.08971439999999</v>
      </c>
      <c r="M55" s="20">
        <v>5.3738574912874952E-3</v>
      </c>
      <c r="N55" s="23">
        <v>221.60153087999998</v>
      </c>
      <c r="O55" s="20">
        <v>3.8716519193994774E-3</v>
      </c>
      <c r="P55" s="23">
        <v>117.97357715</v>
      </c>
      <c r="Q55" s="20">
        <v>2.2649606115405811E-3</v>
      </c>
      <c r="R55" s="23">
        <v>114.2223511</v>
      </c>
      <c r="S55" s="20">
        <v>2.1791439758723106E-3</v>
      </c>
      <c r="T55" s="23">
        <v>24.650711279999999</v>
      </c>
      <c r="U55" s="20">
        <v>3.2865164689676422E-3</v>
      </c>
      <c r="V55" s="23">
        <v>1911.1714553399997</v>
      </c>
      <c r="W55" s="20">
        <v>5.4932940114120286E-3</v>
      </c>
      <c r="X55" s="23">
        <f t="shared" si="0"/>
        <v>1886.5207440599997</v>
      </c>
      <c r="Y55" s="23">
        <f t="shared" si="1"/>
        <v>151.26581970999999</v>
      </c>
      <c r="Z55" s="23">
        <f t="shared" si="2"/>
        <v>453.79745912999999</v>
      </c>
      <c r="AA55" s="23">
        <f t="shared" si="3"/>
        <v>2340.3182031899996</v>
      </c>
      <c r="AB55" s="36">
        <f t="shared" si="4"/>
        <v>4.6602333450290459E-3</v>
      </c>
    </row>
    <row r="56" spans="1:29" hidden="1" outlineLevel="1" x14ac:dyDescent="0.3">
      <c r="A56" s="22" t="s">
        <v>137</v>
      </c>
      <c r="B56" s="23">
        <v>131.45489645749998</v>
      </c>
      <c r="C56" s="20">
        <v>7.2973183016973239E-3</v>
      </c>
      <c r="D56" s="23">
        <v>131.07048122</v>
      </c>
      <c r="E56" s="20">
        <v>5.0551781255062317E-3</v>
      </c>
      <c r="F56" s="23">
        <v>148.53462461949999</v>
      </c>
      <c r="G56" s="20">
        <v>4.1268780595594039E-3</v>
      </c>
      <c r="H56" s="23">
        <v>158.52001740399999</v>
      </c>
      <c r="I56" s="20">
        <v>5.8920156237217275E-3</v>
      </c>
      <c r="J56" s="23">
        <v>179.00028390300002</v>
      </c>
      <c r="K56" s="20">
        <v>5.4991205308890607E-3</v>
      </c>
      <c r="L56" s="23">
        <v>186.01821655200001</v>
      </c>
      <c r="M56" s="20">
        <v>4.7355949548525461E-3</v>
      </c>
      <c r="N56" s="23">
        <v>231.02593231200001</v>
      </c>
      <c r="O56" s="20">
        <v>4.0363078301619022E-3</v>
      </c>
      <c r="P56" s="23">
        <v>173.42467507750001</v>
      </c>
      <c r="Q56" s="20">
        <v>3.3295596150341956E-3</v>
      </c>
      <c r="R56" s="23">
        <v>168.85518670299999</v>
      </c>
      <c r="S56" s="20">
        <v>3.2214339781580343E-3</v>
      </c>
      <c r="T56" s="23">
        <v>36.201483611999997</v>
      </c>
      <c r="U56" s="20">
        <v>4.826504628628314E-3</v>
      </c>
      <c r="V56" s="23">
        <v>1544.1057978605002</v>
      </c>
      <c r="W56" s="20">
        <v>4.4382345229537134E-3</v>
      </c>
      <c r="X56" s="23">
        <f t="shared" si="0"/>
        <v>1507.9043142485002</v>
      </c>
      <c r="Y56" s="23">
        <f t="shared" si="1"/>
        <v>191.10193136416669</v>
      </c>
      <c r="Z56" s="23">
        <f t="shared" si="2"/>
        <v>573.30579409250004</v>
      </c>
      <c r="AA56" s="23">
        <f t="shared" si="3"/>
        <v>2081.2101083410003</v>
      </c>
      <c r="AB56" s="36">
        <f t="shared" si="4"/>
        <v>4.1442760782196214E-3</v>
      </c>
    </row>
    <row r="57" spans="1:29" hidden="1" outlineLevel="1" x14ac:dyDescent="0.3">
      <c r="A57" s="22" t="s">
        <v>133</v>
      </c>
      <c r="B57" s="23">
        <v>18.447825000000002</v>
      </c>
      <c r="C57" s="20">
        <v>1.0240748319522098E-3</v>
      </c>
      <c r="D57" s="23">
        <v>22.43451209677422</v>
      </c>
      <c r="E57" s="20">
        <v>8.6526312982448039E-4</v>
      </c>
      <c r="F57" s="23">
        <v>27.894757500000001</v>
      </c>
      <c r="G57" s="20">
        <v>7.7502644920925134E-4</v>
      </c>
      <c r="H57" s="23">
        <v>27.705360362903239</v>
      </c>
      <c r="I57" s="20">
        <v>1.0297779346253558E-3</v>
      </c>
      <c r="J57" s="23">
        <v>30.130031975806496</v>
      </c>
      <c r="K57" s="20">
        <v>9.2563360136505609E-4</v>
      </c>
      <c r="L57" s="23">
        <v>29.038848387096763</v>
      </c>
      <c r="M57" s="20">
        <v>7.3926213499752474E-4</v>
      </c>
      <c r="N57" s="23">
        <v>33.6055007258065</v>
      </c>
      <c r="O57" s="20">
        <v>5.8712952419947325E-4</v>
      </c>
      <c r="P57" s="23">
        <v>30.5922375</v>
      </c>
      <c r="Q57" s="20">
        <v>5.8733671242581879E-4</v>
      </c>
      <c r="R57" s="23">
        <v>29.786530645161299</v>
      </c>
      <c r="S57" s="20">
        <v>5.6827002939829365E-4</v>
      </c>
      <c r="T57" s="23">
        <v>6.3836905645161304</v>
      </c>
      <c r="U57" s="20">
        <v>8.5109528624829228E-4</v>
      </c>
      <c r="V57" s="23">
        <v>256.01929475806469</v>
      </c>
      <c r="W57" s="20">
        <v>7.3587812060023122E-4</v>
      </c>
      <c r="X57" s="23">
        <f t="shared" si="0"/>
        <v>249.63560419354855</v>
      </c>
      <c r="Y57" s="23">
        <f t="shared" si="1"/>
        <v>31.328089623655938</v>
      </c>
      <c r="Z57" s="23">
        <f t="shared" si="2"/>
        <v>93.98426887096781</v>
      </c>
      <c r="AA57" s="23">
        <f t="shared" si="3"/>
        <v>343.61987306451636</v>
      </c>
      <c r="AB57" s="36">
        <f t="shared" si="4"/>
        <v>6.8424404351817157E-4</v>
      </c>
    </row>
    <row r="58" spans="1:29" hidden="1" outlineLevel="1" x14ac:dyDescent="0.3">
      <c r="A58" s="22" t="s">
        <v>135</v>
      </c>
      <c r="B58" s="23">
        <v>16.613465000000001</v>
      </c>
      <c r="C58" s="20">
        <v>9.2224592210837439E-4</v>
      </c>
      <c r="D58" s="23">
        <v>15.002110967741899</v>
      </c>
      <c r="E58" s="20">
        <v>5.7860734541175863E-4</v>
      </c>
      <c r="F58" s="23">
        <v>16.747361000000001</v>
      </c>
      <c r="G58" s="20">
        <v>4.6530778155915131E-4</v>
      </c>
      <c r="H58" s="23">
        <v>16.5179792580645</v>
      </c>
      <c r="I58" s="20">
        <v>6.1395521811475435E-4</v>
      </c>
      <c r="J58" s="23">
        <v>17.943092387096801</v>
      </c>
      <c r="K58" s="20">
        <v>5.5123503483934697E-4</v>
      </c>
      <c r="L58" s="23">
        <v>17.4342464516129</v>
      </c>
      <c r="M58" s="20">
        <v>4.4383572248062324E-4</v>
      </c>
      <c r="N58" s="23">
        <v>18.662552000000002</v>
      </c>
      <c r="O58" s="20">
        <v>3.2605778933368244E-4</v>
      </c>
      <c r="P58" s="23">
        <v>25.661769042338701</v>
      </c>
      <c r="Q58" s="20">
        <v>4.9267723762793964E-4</v>
      </c>
      <c r="R58" s="23">
        <v>26.8247061290323</v>
      </c>
      <c r="S58" s="20">
        <v>5.1176408297224935E-4</v>
      </c>
      <c r="T58" s="23">
        <v>5.7113534193548396</v>
      </c>
      <c r="U58" s="20">
        <v>7.6145701678123493E-4</v>
      </c>
      <c r="V58" s="23">
        <v>177.11863565524197</v>
      </c>
      <c r="W58" s="20">
        <v>5.0909338240472948E-4</v>
      </c>
      <c r="X58" s="23">
        <f t="shared" si="0"/>
        <v>171.40728223588712</v>
      </c>
      <c r="Y58" s="23">
        <f t="shared" si="1"/>
        <v>23.716342390457001</v>
      </c>
      <c r="Z58" s="23">
        <f t="shared" si="2"/>
        <v>71.149027171371003</v>
      </c>
      <c r="AA58" s="23">
        <f t="shared" si="3"/>
        <v>242.55630940725814</v>
      </c>
      <c r="AB58" s="36">
        <f t="shared" si="4"/>
        <v>4.8299799557432977E-4</v>
      </c>
    </row>
    <row r="59" spans="1:29" ht="14.55" hidden="1" outlineLevel="1" x14ac:dyDescent="0.3">
      <c r="A59" s="22" t="s">
        <v>134</v>
      </c>
      <c r="B59" s="23">
        <v>6.3104818920000003</v>
      </c>
      <c r="C59" s="20">
        <v>3.5030718705795203E-4</v>
      </c>
      <c r="D59" s="23">
        <v>5.6984229119999998</v>
      </c>
      <c r="E59" s="20">
        <v>2.197790271806093E-4</v>
      </c>
      <c r="F59" s="23">
        <v>6.3613411368000001</v>
      </c>
      <c r="G59" s="20">
        <v>1.767431616303833E-4</v>
      </c>
      <c r="H59" s="23">
        <v>6.3269369280000003</v>
      </c>
      <c r="I59" s="20">
        <v>2.3516532385352423E-4</v>
      </c>
      <c r="J59" s="23">
        <v>6.8849811537000001</v>
      </c>
      <c r="K59" s="20">
        <v>2.115155372469293E-4</v>
      </c>
      <c r="L59" s="23">
        <v>6.6176498881999999</v>
      </c>
      <c r="M59" s="20">
        <v>1.6847011010225434E-4</v>
      </c>
      <c r="N59" s="23">
        <v>7.0888099776000004</v>
      </c>
      <c r="O59" s="20">
        <v>1.2385024889965783E-4</v>
      </c>
      <c r="P59" s="23">
        <v>3.4835594007499999</v>
      </c>
      <c r="Q59" s="20">
        <v>6.6880440699264323E-5</v>
      </c>
      <c r="R59" s="23">
        <v>3.3963780240000001</v>
      </c>
      <c r="S59" s="20">
        <v>6.4796396147589919E-5</v>
      </c>
      <c r="T59" s="23">
        <v>0.72789364440000004</v>
      </c>
      <c r="U59" s="20">
        <v>9.7045250451591707E-5</v>
      </c>
      <c r="V59" s="23">
        <v>52.896454957450004</v>
      </c>
      <c r="W59" s="20">
        <v>1.5204066512755258E-4</v>
      </c>
      <c r="X59" s="23">
        <f t="shared" si="0"/>
        <v>52.168561313050006</v>
      </c>
      <c r="Y59" s="23">
        <f t="shared" si="1"/>
        <v>4.656249134116667</v>
      </c>
      <c r="Z59" s="23">
        <f t="shared" si="2"/>
        <v>13.968747402350001</v>
      </c>
      <c r="AA59" s="23">
        <f t="shared" si="3"/>
        <v>66.13730871540001</v>
      </c>
      <c r="AB59" s="36">
        <f t="shared" si="4"/>
        <v>1.3169802764678352E-4</v>
      </c>
    </row>
    <row r="60" spans="1:29" ht="14.55" hidden="1" outlineLevel="1" x14ac:dyDescent="0.3">
      <c r="A60" s="22" t="s">
        <v>132</v>
      </c>
      <c r="B60" s="23">
        <v>1.9311021661249999</v>
      </c>
      <c r="C60" s="20">
        <v>1.0719925662006267E-4</v>
      </c>
      <c r="D60" s="23">
        <v>1.8205375939999999</v>
      </c>
      <c r="E60" s="20">
        <v>7.0215213495731339E-5</v>
      </c>
      <c r="F60" s="23">
        <v>2.0374583033999998</v>
      </c>
      <c r="G60" s="20">
        <v>5.6608632439124356E-5</v>
      </c>
      <c r="H60" s="23">
        <v>2.0260060641999997</v>
      </c>
      <c r="I60" s="20">
        <v>7.5304428926464072E-5</v>
      </c>
      <c r="J60" s="23">
        <v>2.2066566444000002</v>
      </c>
      <c r="K60" s="20">
        <v>6.7791349785895102E-5</v>
      </c>
      <c r="L60" s="23">
        <v>2.1788080365</v>
      </c>
      <c r="M60" s="20">
        <v>5.5467429677013787E-5</v>
      </c>
      <c r="N60" s="23">
        <v>2.4451080863999999</v>
      </c>
      <c r="O60" s="20">
        <v>4.2719052428279615E-5</v>
      </c>
      <c r="P60" s="23">
        <v>2.0626012440000001</v>
      </c>
      <c r="Q60" s="20">
        <v>3.9599634832083276E-5</v>
      </c>
      <c r="R60" s="23">
        <v>2.0054893001999998</v>
      </c>
      <c r="S60" s="20">
        <v>3.8260899772419464E-5</v>
      </c>
      <c r="T60" s="23">
        <v>0.42759047039999998</v>
      </c>
      <c r="U60" s="20">
        <v>5.7007812349957516E-5</v>
      </c>
      <c r="V60" s="23">
        <v>19.141357909624997</v>
      </c>
      <c r="W60" s="20">
        <v>5.5018144228473268E-5</v>
      </c>
      <c r="X60" s="23">
        <f t="shared" si="0"/>
        <v>18.713767439224998</v>
      </c>
      <c r="Y60" s="23">
        <f t="shared" si="1"/>
        <v>2.1710662101999998</v>
      </c>
      <c r="Z60" s="23">
        <f t="shared" si="2"/>
        <v>6.5131986305999998</v>
      </c>
      <c r="AA60" s="23">
        <f t="shared" si="3"/>
        <v>25.226966069824996</v>
      </c>
      <c r="AB60" s="36">
        <f t="shared" si="4"/>
        <v>5.0234001646557443E-5</v>
      </c>
    </row>
    <row r="61" spans="1:29" collapsed="1" x14ac:dyDescent="0.3">
      <c r="A61" s="19" t="s">
        <v>78</v>
      </c>
      <c r="B61" s="23">
        <v>523.59947184623661</v>
      </c>
      <c r="C61" s="20">
        <v>2.9066030339142995E-2</v>
      </c>
      <c r="D61" s="23">
        <v>525.20414059354835</v>
      </c>
      <c r="E61" s="20">
        <v>2.0256280882172264E-2</v>
      </c>
      <c r="F61" s="23">
        <v>586.30304495999997</v>
      </c>
      <c r="G61" s="20">
        <v>1.6289812417115326E-2</v>
      </c>
      <c r="H61" s="23">
        <v>582.32222102967739</v>
      </c>
      <c r="I61" s="20">
        <v>2.1644279886766021E-2</v>
      </c>
      <c r="J61" s="23">
        <v>634.99189535999994</v>
      </c>
      <c r="K61" s="20">
        <v>1.9507773354228798E-2</v>
      </c>
      <c r="L61" s="23">
        <v>633.2920340034409</v>
      </c>
      <c r="M61" s="20">
        <v>1.6122155220946597E-2</v>
      </c>
      <c r="N61" s="23">
        <v>765.26297920000002</v>
      </c>
      <c r="O61" s="20">
        <v>1.3370087609500555E-2</v>
      </c>
      <c r="P61" s="23">
        <v>753.13825399999996</v>
      </c>
      <c r="Q61" s="20">
        <v>1.4459411349250974E-2</v>
      </c>
      <c r="R61" s="23">
        <v>530.51286456567743</v>
      </c>
      <c r="S61" s="20">
        <v>1.0121170697396537E-2</v>
      </c>
      <c r="T61" s="23">
        <v>112.18847389677418</v>
      </c>
      <c r="U61" s="20">
        <v>1.4957348001120023E-2</v>
      </c>
      <c r="V61" s="23">
        <v>5646.8153794553555</v>
      </c>
      <c r="W61" s="20">
        <v>1.6230682506710534E-2</v>
      </c>
      <c r="X61" s="23">
        <f t="shared" si="0"/>
        <v>5534.6269055585808</v>
      </c>
      <c r="Y61" s="23">
        <f t="shared" si="1"/>
        <v>682.97136592189247</v>
      </c>
      <c r="Z61" s="23">
        <f t="shared" si="2"/>
        <v>2048.9140977656775</v>
      </c>
      <c r="AA61" s="23">
        <f t="shared" si="3"/>
        <v>7583.5410033242588</v>
      </c>
      <c r="AB61" s="36">
        <f t="shared" si="4"/>
        <v>1.5100968154208541E-2</v>
      </c>
      <c r="AC61" t="s">
        <v>260</v>
      </c>
    </row>
    <row r="62" spans="1:29" ht="14.55" hidden="1" outlineLevel="1" x14ac:dyDescent="0.3">
      <c r="A62" s="22" t="s">
        <v>125</v>
      </c>
      <c r="B62" s="23">
        <v>314.40138289999999</v>
      </c>
      <c r="C62" s="20">
        <v>1.7453035431486359E-2</v>
      </c>
      <c r="D62" s="23">
        <v>335.54734079999997</v>
      </c>
      <c r="E62" s="20">
        <v>1.2941522465587118E-2</v>
      </c>
      <c r="F62" s="23">
        <v>374.58278111999999</v>
      </c>
      <c r="G62" s="20">
        <v>1.0407387939700131E-2</v>
      </c>
      <c r="H62" s="23">
        <v>372.03947504000001</v>
      </c>
      <c r="I62" s="20">
        <v>1.3828300270686173E-2</v>
      </c>
      <c r="J62" s="23">
        <v>405.68956992</v>
      </c>
      <c r="K62" s="20">
        <v>1.2463308965049272E-2</v>
      </c>
      <c r="L62" s="23">
        <v>389.94612480000001</v>
      </c>
      <c r="M62" s="20">
        <v>9.9271293720363703E-3</v>
      </c>
      <c r="N62" s="23">
        <v>417.41923584</v>
      </c>
      <c r="O62" s="20">
        <v>7.2928286154726012E-3</v>
      </c>
      <c r="P62" s="23">
        <v>410.80570080000001</v>
      </c>
      <c r="Q62" s="20">
        <v>7.8870095642287214E-3</v>
      </c>
      <c r="R62" s="23">
        <v>199.99316160000001</v>
      </c>
      <c r="S62" s="20">
        <v>3.8154869788553807E-3</v>
      </c>
      <c r="T62" s="23">
        <v>42.301188320000001</v>
      </c>
      <c r="U62" s="20">
        <v>5.6397379569074115E-3</v>
      </c>
      <c r="V62" s="23">
        <v>3262.7259611400004</v>
      </c>
      <c r="W62" s="20">
        <v>9.3780769554348414E-3</v>
      </c>
      <c r="X62" s="23">
        <f t="shared" si="0"/>
        <v>3220.4247728200003</v>
      </c>
      <c r="Y62" s="23">
        <f t="shared" si="1"/>
        <v>342.73936608000002</v>
      </c>
      <c r="Z62" s="23">
        <f t="shared" si="2"/>
        <v>1028.21809824</v>
      </c>
      <c r="AA62" s="23">
        <f t="shared" si="3"/>
        <v>4248.6428710600003</v>
      </c>
      <c r="AB62" s="36">
        <f t="shared" si="4"/>
        <v>8.4602457699323001E-3</v>
      </c>
    </row>
    <row r="63" spans="1:29" ht="14.55" hidden="1" outlineLevel="1" x14ac:dyDescent="0.3">
      <c r="A63" s="22" t="s">
        <v>124</v>
      </c>
      <c r="B63" s="23">
        <v>193.85849999999999</v>
      </c>
      <c r="C63" s="20">
        <v>1.0761464335768984E-2</v>
      </c>
      <c r="D63" s="23">
        <v>175.05600000000001</v>
      </c>
      <c r="E63" s="20">
        <v>6.7516289991585562E-3</v>
      </c>
      <c r="F63" s="23">
        <v>195.42089999999999</v>
      </c>
      <c r="G63" s="20">
        <v>5.4295638249687661E-3</v>
      </c>
      <c r="H63" s="23">
        <v>194.09405000000001</v>
      </c>
      <c r="I63" s="20">
        <v>7.2142634968103986E-3</v>
      </c>
      <c r="J63" s="23">
        <v>211.64940000000001</v>
      </c>
      <c r="K63" s="20">
        <v>6.5021436587277088E-3</v>
      </c>
      <c r="L63" s="23">
        <v>225.75745000000001</v>
      </c>
      <c r="M63" s="20">
        <v>5.747264225283647E-3</v>
      </c>
      <c r="N63" s="23">
        <v>326.65320000000003</v>
      </c>
      <c r="O63" s="20">
        <v>5.7070340793034758E-3</v>
      </c>
      <c r="P63" s="23">
        <v>321.47775000000001</v>
      </c>
      <c r="Q63" s="20">
        <v>6.1720129102374177E-3</v>
      </c>
      <c r="R63" s="23">
        <v>313.01100000000002</v>
      </c>
      <c r="S63" s="20">
        <v>5.9716511563888477E-3</v>
      </c>
      <c r="T63" s="23">
        <v>66.205950000000001</v>
      </c>
      <c r="U63" s="20">
        <v>8.8268018941580935E-3</v>
      </c>
      <c r="V63" s="23">
        <v>2223.1842000000001</v>
      </c>
      <c r="W63" s="20">
        <v>6.3901145122289438E-3</v>
      </c>
      <c r="X63" s="23">
        <f t="shared" si="0"/>
        <v>2156.9782500000001</v>
      </c>
      <c r="Y63" s="23">
        <f t="shared" si="1"/>
        <v>320.38065</v>
      </c>
      <c r="Z63" s="23">
        <f t="shared" si="2"/>
        <v>961.14194999999995</v>
      </c>
      <c r="AA63" s="23">
        <f t="shared" si="3"/>
        <v>3118.1202000000003</v>
      </c>
      <c r="AB63" s="36">
        <f t="shared" si="4"/>
        <v>6.2090564052536754E-3</v>
      </c>
    </row>
    <row r="64" spans="1:29" ht="14.55" hidden="1" outlineLevel="1" x14ac:dyDescent="0.3">
      <c r="A64" s="22" t="s">
        <v>123</v>
      </c>
      <c r="B64" s="23">
        <v>15.33958894623656</v>
      </c>
      <c r="C64" s="20">
        <v>8.5153057188764431E-4</v>
      </c>
      <c r="D64" s="23">
        <v>14.60079979354836</v>
      </c>
      <c r="E64" s="20">
        <v>5.6312941742659123E-4</v>
      </c>
      <c r="F64" s="23">
        <v>16.299363840000002</v>
      </c>
      <c r="G64" s="20">
        <v>4.5286065244642726E-4</v>
      </c>
      <c r="H64" s="23">
        <v>16.18869598967737</v>
      </c>
      <c r="I64" s="20">
        <v>6.0171611926944867E-4</v>
      </c>
      <c r="J64" s="23">
        <v>17.652925440000001</v>
      </c>
      <c r="K64" s="20">
        <v>5.4232073045181817E-4</v>
      </c>
      <c r="L64" s="23">
        <v>17.588459203440898</v>
      </c>
      <c r="M64" s="20">
        <v>4.4776162362658144E-4</v>
      </c>
      <c r="N64" s="23">
        <v>21.190543359999999</v>
      </c>
      <c r="O64" s="20">
        <v>3.7022491472447834E-4</v>
      </c>
      <c r="P64" s="23">
        <v>20.854803199999999</v>
      </c>
      <c r="Q64" s="20">
        <v>4.0038887478483534E-4</v>
      </c>
      <c r="R64" s="23">
        <v>17.508702965677401</v>
      </c>
      <c r="S64" s="20">
        <v>3.3403256215230865E-4</v>
      </c>
      <c r="T64" s="23">
        <v>3.68133557677419</v>
      </c>
      <c r="U64" s="20">
        <v>4.9080815005451918E-4</v>
      </c>
      <c r="V64" s="23">
        <v>160.90521831535477</v>
      </c>
      <c r="W64" s="20">
        <v>4.6249103904674873E-4</v>
      </c>
      <c r="X64" s="23">
        <f t="shared" si="0"/>
        <v>157.22388273858058</v>
      </c>
      <c r="Y64" s="23">
        <f t="shared" si="1"/>
        <v>19.851349841892468</v>
      </c>
      <c r="Z64" s="23">
        <f t="shared" si="2"/>
        <v>59.554049525677399</v>
      </c>
      <c r="AA64" s="23">
        <f t="shared" si="3"/>
        <v>216.77793226425797</v>
      </c>
      <c r="AB64" s="36">
        <f t="shared" si="4"/>
        <v>4.3166597902256562E-4</v>
      </c>
    </row>
    <row r="65" spans="1:29" collapsed="1" x14ac:dyDescent="0.3">
      <c r="A65" s="19" t="s">
        <v>102</v>
      </c>
      <c r="B65" s="23">
        <v>505.87532509538147</v>
      </c>
      <c r="C65" s="20">
        <v>2.8082128301619422E-2</v>
      </c>
      <c r="D65" s="23">
        <v>479.20705455850634</v>
      </c>
      <c r="E65" s="20">
        <v>1.8482247087552368E-2</v>
      </c>
      <c r="F65" s="23">
        <v>546.92011469879026</v>
      </c>
      <c r="G65" s="20">
        <v>1.519559919085584E-2</v>
      </c>
      <c r="H65" s="23">
        <v>568.03640228239919</v>
      </c>
      <c r="I65" s="20">
        <v>2.1113291632821406E-2</v>
      </c>
      <c r="J65" s="23">
        <v>626.91668312986747</v>
      </c>
      <c r="K65" s="20">
        <v>1.9259692376937879E-2</v>
      </c>
      <c r="L65" s="23">
        <v>626.69865031035295</v>
      </c>
      <c r="M65" s="20">
        <v>1.5954302872229632E-2</v>
      </c>
      <c r="N65" s="23">
        <v>673.41320271048232</v>
      </c>
      <c r="O65" s="20">
        <v>1.1765358788224399E-2</v>
      </c>
      <c r="P65" s="23">
        <v>577.49437988487</v>
      </c>
      <c r="Q65" s="20">
        <v>1.1087245597055999E-2</v>
      </c>
      <c r="R65" s="23">
        <v>514.21894507828711</v>
      </c>
      <c r="S65" s="20">
        <v>9.810313880386971E-3</v>
      </c>
      <c r="T65" s="23">
        <v>110.73261520528699</v>
      </c>
      <c r="U65" s="20">
        <v>1.4763247980568309E-2</v>
      </c>
      <c r="V65" s="23">
        <v>5229.513372954224</v>
      </c>
      <c r="W65" s="20">
        <v>1.503122831495929E-2</v>
      </c>
      <c r="X65" s="23">
        <f t="shared" si="0"/>
        <v>5118.7807577489375</v>
      </c>
      <c r="Y65" s="23">
        <f t="shared" si="1"/>
        <v>588.37550922454648</v>
      </c>
      <c r="Z65" s="23">
        <f t="shared" si="2"/>
        <v>1765.1265276736394</v>
      </c>
      <c r="AA65" s="23">
        <f t="shared" si="3"/>
        <v>6883.9072854225769</v>
      </c>
      <c r="AB65" s="36">
        <f t="shared" si="4"/>
        <v>1.3707800175158574E-2</v>
      </c>
      <c r="AC65" t="s">
        <v>260</v>
      </c>
    </row>
    <row r="66" spans="1:29" ht="14.55" hidden="1" outlineLevel="1" x14ac:dyDescent="0.3">
      <c r="A66" s="22" t="s">
        <v>166</v>
      </c>
      <c r="B66" s="23">
        <v>478.60825156590579</v>
      </c>
      <c r="C66" s="20">
        <v>2.6568479741828424E-2</v>
      </c>
      <c r="D66" s="23">
        <v>449.95660365850637</v>
      </c>
      <c r="E66" s="20">
        <v>1.7354104135954576E-2</v>
      </c>
      <c r="F66" s="23">
        <v>515.01776088859378</v>
      </c>
      <c r="G66" s="20">
        <v>1.4309225900285603E-2</v>
      </c>
      <c r="H66" s="23">
        <v>532.27966233736026</v>
      </c>
      <c r="I66" s="20">
        <v>1.9784252727453433E-2</v>
      </c>
      <c r="J66" s="23">
        <v>578.654382104305</v>
      </c>
      <c r="K66" s="20">
        <v>1.7777011988668559E-2</v>
      </c>
      <c r="L66" s="23">
        <v>576.50543229895129</v>
      </c>
      <c r="M66" s="20">
        <v>1.4676499254990016E-2</v>
      </c>
      <c r="N66" s="23">
        <v>623.92912333194897</v>
      </c>
      <c r="O66" s="20">
        <v>1.0900810920956457E-2</v>
      </c>
      <c r="P66" s="23">
        <v>541.14596228487005</v>
      </c>
      <c r="Q66" s="20">
        <v>1.0389396670671822E-2</v>
      </c>
      <c r="R66" s="23">
        <v>479.93607173185097</v>
      </c>
      <c r="S66" s="20">
        <v>9.1562622327976597E-3</v>
      </c>
      <c r="T66" s="23">
        <v>104.09588524528699</v>
      </c>
      <c r="U66" s="20">
        <v>1.387841662353856E-2</v>
      </c>
      <c r="V66" s="23">
        <v>4880.1291354475798</v>
      </c>
      <c r="W66" s="20">
        <v>1.4026990660501665E-2</v>
      </c>
      <c r="X66" s="23">
        <f t="shared" si="0"/>
        <v>4776.0332502022929</v>
      </c>
      <c r="Y66" s="23">
        <f t="shared" si="1"/>
        <v>548.33705244955661</v>
      </c>
      <c r="Z66" s="23">
        <f t="shared" si="2"/>
        <v>1645.0111573486697</v>
      </c>
      <c r="AA66" s="23">
        <f t="shared" si="3"/>
        <v>6421.0444075509622</v>
      </c>
      <c r="AB66" s="36">
        <f t="shared" si="4"/>
        <v>1.2786109691064055E-2</v>
      </c>
    </row>
    <row r="67" spans="1:29" ht="14.55" hidden="1" outlineLevel="1" x14ac:dyDescent="0.3">
      <c r="A67" s="22" t="s">
        <v>165</v>
      </c>
      <c r="B67" s="23">
        <v>27.26707352947566</v>
      </c>
      <c r="C67" s="20">
        <v>1.5136485597909961E-3</v>
      </c>
      <c r="D67" s="23">
        <v>29.250450900000001</v>
      </c>
      <c r="E67" s="20">
        <v>1.1281429515977942E-3</v>
      </c>
      <c r="F67" s="23">
        <v>31.902353810196502</v>
      </c>
      <c r="G67" s="20">
        <v>8.8637329057023799E-4</v>
      </c>
      <c r="H67" s="23">
        <v>35.756739945038902</v>
      </c>
      <c r="I67" s="20">
        <v>1.3290389053679718E-3</v>
      </c>
      <c r="J67" s="23">
        <v>48.2623010255625</v>
      </c>
      <c r="K67" s="20">
        <v>1.4826803882693218E-3</v>
      </c>
      <c r="L67" s="23">
        <v>50.185919028094496</v>
      </c>
      <c r="M67" s="20">
        <v>1.2776178019513833E-3</v>
      </c>
      <c r="N67" s="23">
        <v>49.484079378533302</v>
      </c>
      <c r="O67" s="20">
        <v>8.645478672679401E-4</v>
      </c>
      <c r="P67" s="23">
        <v>36.348417599999998</v>
      </c>
      <c r="Q67" s="20">
        <v>6.9784892638417731E-4</v>
      </c>
      <c r="R67" s="23">
        <v>34.282873346436098</v>
      </c>
      <c r="S67" s="20">
        <v>6.5405164758930998E-4</v>
      </c>
      <c r="T67" s="23">
        <v>6.6367299600000003</v>
      </c>
      <c r="U67" s="20">
        <v>8.8483135702974993E-4</v>
      </c>
      <c r="V67" s="23">
        <v>349.37693852333746</v>
      </c>
      <c r="W67" s="20">
        <v>1.0042166749368306E-3</v>
      </c>
      <c r="X67" s="23">
        <f t="shared" si="0"/>
        <v>342.74020856333743</v>
      </c>
      <c r="Y67" s="23">
        <f t="shared" si="1"/>
        <v>40.038456774989804</v>
      </c>
      <c r="Z67" s="23">
        <f t="shared" si="2"/>
        <v>120.1153703249694</v>
      </c>
      <c r="AA67" s="23">
        <f t="shared" si="3"/>
        <v>462.85557888830681</v>
      </c>
      <c r="AB67" s="36">
        <f t="shared" si="4"/>
        <v>9.2167594976096145E-4</v>
      </c>
    </row>
    <row r="68" spans="1:29" ht="14.55" hidden="1" outlineLevel="1" x14ac:dyDescent="0.3">
      <c r="A68" s="22" t="s">
        <v>174</v>
      </c>
      <c r="B68" s="23"/>
      <c r="C68" s="20">
        <v>0</v>
      </c>
      <c r="D68" s="23"/>
      <c r="E68" s="20">
        <v>0</v>
      </c>
      <c r="F68" s="23"/>
      <c r="G68" s="20">
        <v>0</v>
      </c>
      <c r="H68" s="23"/>
      <c r="I68" s="20">
        <v>0</v>
      </c>
      <c r="J68" s="23"/>
      <c r="K68" s="20">
        <v>0</v>
      </c>
      <c r="L68" s="23">
        <v>7.2989833071069998E-3</v>
      </c>
      <c r="M68" s="20">
        <v>1.8581528823026031E-7</v>
      </c>
      <c r="N68" s="23"/>
      <c r="O68" s="20">
        <v>0</v>
      </c>
      <c r="P68" s="23"/>
      <c r="Q68" s="20">
        <v>0</v>
      </c>
      <c r="R68" s="23"/>
      <c r="S68" s="20">
        <v>0</v>
      </c>
      <c r="T68" s="23"/>
      <c r="U68" s="20">
        <v>0</v>
      </c>
      <c r="V68" s="23">
        <v>7.2989833071069998E-3</v>
      </c>
      <c r="W68" s="20">
        <v>2.0979520795110565E-8</v>
      </c>
      <c r="X68" s="23">
        <f t="shared" si="0"/>
        <v>7.2989833071069998E-3</v>
      </c>
      <c r="Y68" s="23">
        <f t="shared" si="1"/>
        <v>0</v>
      </c>
      <c r="Z68" s="23">
        <f t="shared" si="2"/>
        <v>0</v>
      </c>
      <c r="AA68" s="23">
        <f t="shared" si="3"/>
        <v>7.2989833071069998E-3</v>
      </c>
      <c r="AB68" s="36">
        <f t="shared" si="4"/>
        <v>1.4534333556106132E-8</v>
      </c>
    </row>
    <row r="69" spans="1:29" collapsed="1" x14ac:dyDescent="0.3">
      <c r="A69" s="19" t="s">
        <v>95</v>
      </c>
      <c r="B69" s="23">
        <v>439.98125160000001</v>
      </c>
      <c r="C69" s="20">
        <v>2.4424219456461289E-2</v>
      </c>
      <c r="D69" s="23">
        <v>397.30709760000002</v>
      </c>
      <c r="E69" s="20">
        <v>1.5323497176490258E-2</v>
      </c>
      <c r="F69" s="23">
        <v>443.52727463999997</v>
      </c>
      <c r="G69" s="20">
        <v>1.2322938057149112E-2</v>
      </c>
      <c r="H69" s="23">
        <v>441.12853439999998</v>
      </c>
      <c r="I69" s="20">
        <v>1.6396265022670144E-2</v>
      </c>
      <c r="J69" s="23">
        <v>480.35947823999999</v>
      </c>
      <c r="K69" s="20">
        <v>1.4757265247848407E-2</v>
      </c>
      <c r="L69" s="23">
        <v>461.71834560000002</v>
      </c>
      <c r="M69" s="20">
        <v>1.1754284652949575E-2</v>
      </c>
      <c r="N69" s="23">
        <v>494.24806847999997</v>
      </c>
      <c r="O69" s="20">
        <v>8.6351230309247781E-3</v>
      </c>
      <c r="P69" s="23">
        <v>486.4172676</v>
      </c>
      <c r="Q69" s="20">
        <v>9.3386670007165624E-3</v>
      </c>
      <c r="R69" s="23">
        <v>473.60651039999999</v>
      </c>
      <c r="S69" s="20">
        <v>9.0355063096934172E-3</v>
      </c>
      <c r="T69" s="23">
        <v>100.83742015999999</v>
      </c>
      <c r="U69" s="20">
        <v>1.3443987002230214E-2</v>
      </c>
      <c r="V69" s="23">
        <v>4219.1312487200003</v>
      </c>
      <c r="W69" s="20">
        <v>1.2127079628149703E-2</v>
      </c>
      <c r="X69" s="23">
        <f t="shared" ref="X69:X117" si="5">B69+D69+F69+H69+J69+L69+N69+P69+R69</f>
        <v>4118.2938285600003</v>
      </c>
      <c r="Y69" s="23">
        <f t="shared" ref="Y69:Y117" si="6">IFERROR(AVERAGE(N69,P69,R69),0)</f>
        <v>484.75728215999999</v>
      </c>
      <c r="Z69" s="23">
        <f t="shared" ref="Z69:Z117" si="7">Y69*3</f>
        <v>1454.27184648</v>
      </c>
      <c r="AA69" s="23">
        <f t="shared" ref="AA69:AA119" si="8">X69+Z69</f>
        <v>5572.5656750400003</v>
      </c>
      <c r="AB69" s="36">
        <f t="shared" ref="AB69:AB117" si="9">AA69/$AA$118</f>
        <v>1.1096549324270399E-2</v>
      </c>
      <c r="AC69" t="s">
        <v>263</v>
      </c>
    </row>
    <row r="70" spans="1:29" ht="14.55" hidden="1" outlineLevel="1" x14ac:dyDescent="0.3">
      <c r="A70" s="22" t="s">
        <v>138</v>
      </c>
      <c r="B70" s="23">
        <v>439.98125160000001</v>
      </c>
      <c r="C70" s="20">
        <v>2.4424219456461289E-2</v>
      </c>
      <c r="D70" s="23">
        <v>397.30709760000002</v>
      </c>
      <c r="E70" s="20">
        <v>1.5323497176490258E-2</v>
      </c>
      <c r="F70" s="23">
        <v>443.52727463999997</v>
      </c>
      <c r="G70" s="20">
        <v>1.2322938057149112E-2</v>
      </c>
      <c r="H70" s="23">
        <v>441.12853439999998</v>
      </c>
      <c r="I70" s="20">
        <v>1.6396265022670144E-2</v>
      </c>
      <c r="J70" s="23">
        <v>480.35947823999999</v>
      </c>
      <c r="K70" s="20">
        <v>1.4757265247848407E-2</v>
      </c>
      <c r="L70" s="23">
        <v>461.71834560000002</v>
      </c>
      <c r="M70" s="20">
        <v>1.1754284652949575E-2</v>
      </c>
      <c r="N70" s="23">
        <v>494.24806847999997</v>
      </c>
      <c r="O70" s="20">
        <v>8.6351230309247781E-3</v>
      </c>
      <c r="P70" s="23">
        <v>486.4172676</v>
      </c>
      <c r="Q70" s="20">
        <v>9.3386670007165624E-3</v>
      </c>
      <c r="R70" s="23">
        <v>473.60651039999999</v>
      </c>
      <c r="S70" s="20">
        <v>9.0355063096934172E-3</v>
      </c>
      <c r="T70" s="23">
        <v>100.83742015999999</v>
      </c>
      <c r="U70" s="20">
        <v>1.3443987002230214E-2</v>
      </c>
      <c r="V70" s="23">
        <v>4219.1312487200003</v>
      </c>
      <c r="W70" s="20">
        <v>1.2127079628149703E-2</v>
      </c>
      <c r="X70" s="23">
        <f t="shared" si="5"/>
        <v>4118.2938285600003</v>
      </c>
      <c r="Y70" s="23">
        <f t="shared" si="6"/>
        <v>484.75728215999999</v>
      </c>
      <c r="Z70" s="23">
        <f t="shared" si="7"/>
        <v>1454.27184648</v>
      </c>
      <c r="AA70" s="23">
        <f t="shared" si="8"/>
        <v>5572.5656750400003</v>
      </c>
      <c r="AB70" s="36">
        <f t="shared" si="9"/>
        <v>1.1096549324270399E-2</v>
      </c>
    </row>
    <row r="71" spans="1:29" collapsed="1" x14ac:dyDescent="0.3">
      <c r="A71" s="19" t="s">
        <v>72</v>
      </c>
      <c r="B71" s="23">
        <v>265.93062798189862</v>
      </c>
      <c r="C71" s="20">
        <v>1.4762329063806083E-2</v>
      </c>
      <c r="D71" s="23">
        <v>312.48196223999997</v>
      </c>
      <c r="E71" s="20">
        <v>1.2051927828657986E-2</v>
      </c>
      <c r="F71" s="23">
        <v>348.834123336</v>
      </c>
      <c r="G71" s="20">
        <v>9.6919886101222465E-3</v>
      </c>
      <c r="H71" s="23">
        <v>346.94751456</v>
      </c>
      <c r="I71" s="20">
        <v>1.2895659550611172E-2</v>
      </c>
      <c r="J71" s="23">
        <v>377.80264497600001</v>
      </c>
      <c r="K71" s="20">
        <v>1.1606586516575309E-2</v>
      </c>
      <c r="L71" s="23">
        <v>363.10355771611103</v>
      </c>
      <c r="M71" s="20">
        <v>9.2437794958041067E-3</v>
      </c>
      <c r="N71" s="23">
        <v>388.72601875200002</v>
      </c>
      <c r="O71" s="20">
        <v>6.7915227419465844E-3</v>
      </c>
      <c r="P71" s="23">
        <v>382.56709524000001</v>
      </c>
      <c r="Q71" s="20">
        <v>7.3448599501934669E-3</v>
      </c>
      <c r="R71" s="23">
        <v>186.24571847999999</v>
      </c>
      <c r="S71" s="20">
        <v>3.5532120600667823E-3</v>
      </c>
      <c r="T71" s="23">
        <v>40.176073784000003</v>
      </c>
      <c r="U71" s="20">
        <v>5.3564104763461073E-3</v>
      </c>
      <c r="V71" s="23">
        <v>3012.8153370660098</v>
      </c>
      <c r="W71" s="20">
        <v>8.6597570314018261E-3</v>
      </c>
      <c r="X71" s="23">
        <f t="shared" si="5"/>
        <v>2972.6392632820098</v>
      </c>
      <c r="Y71" s="23">
        <f t="shared" si="6"/>
        <v>319.17961082400001</v>
      </c>
      <c r="Z71" s="23">
        <f t="shared" si="7"/>
        <v>957.53883247199997</v>
      </c>
      <c r="AA71" s="23">
        <f t="shared" si="8"/>
        <v>3930.1780957540095</v>
      </c>
      <c r="AB71" s="36">
        <f t="shared" si="9"/>
        <v>7.8260926179911615E-3</v>
      </c>
      <c r="AC71" t="s">
        <v>260</v>
      </c>
    </row>
    <row r="72" spans="1:29" ht="14.55" hidden="1" outlineLevel="1" x14ac:dyDescent="0.3">
      <c r="A72" s="22" t="s">
        <v>116</v>
      </c>
      <c r="B72" s="23">
        <v>265.93062798189862</v>
      </c>
      <c r="C72" s="20">
        <v>1.4762329063806083E-2</v>
      </c>
      <c r="D72" s="23">
        <v>312.48196223999997</v>
      </c>
      <c r="E72" s="20">
        <v>1.2051927828657986E-2</v>
      </c>
      <c r="F72" s="23">
        <v>348.834123336</v>
      </c>
      <c r="G72" s="20">
        <v>9.6919886101222465E-3</v>
      </c>
      <c r="H72" s="23">
        <v>346.94751456</v>
      </c>
      <c r="I72" s="20">
        <v>1.2895659550611172E-2</v>
      </c>
      <c r="J72" s="23">
        <v>377.80264497600001</v>
      </c>
      <c r="K72" s="20">
        <v>1.1606586516575309E-2</v>
      </c>
      <c r="L72" s="23">
        <v>363.10355771611103</v>
      </c>
      <c r="M72" s="20">
        <v>9.2437794958041067E-3</v>
      </c>
      <c r="N72" s="23">
        <v>388.72601875200002</v>
      </c>
      <c r="O72" s="20">
        <v>6.7915227419465844E-3</v>
      </c>
      <c r="P72" s="23">
        <v>382.56709524000001</v>
      </c>
      <c r="Q72" s="20">
        <v>7.3448599501934669E-3</v>
      </c>
      <c r="R72" s="23">
        <v>186.24571847999999</v>
      </c>
      <c r="S72" s="20">
        <v>3.5532120600667823E-3</v>
      </c>
      <c r="T72" s="23">
        <v>40.176073784000003</v>
      </c>
      <c r="U72" s="20">
        <v>5.3564104763461073E-3</v>
      </c>
      <c r="V72" s="23">
        <v>3012.8153370660098</v>
      </c>
      <c r="W72" s="20">
        <v>8.6597570314018261E-3</v>
      </c>
      <c r="X72" s="23">
        <f t="shared" si="5"/>
        <v>2972.6392632820098</v>
      </c>
      <c r="Y72" s="23">
        <f t="shared" si="6"/>
        <v>319.17961082400001</v>
      </c>
      <c r="Z72" s="23">
        <f t="shared" si="7"/>
        <v>957.53883247199997</v>
      </c>
      <c r="AA72" s="23">
        <f t="shared" si="8"/>
        <v>3930.1780957540095</v>
      </c>
      <c r="AB72" s="36">
        <f t="shared" si="9"/>
        <v>7.8260926179911615E-3</v>
      </c>
      <c r="AC72" t="s">
        <v>260</v>
      </c>
    </row>
    <row r="73" spans="1:29" collapsed="1" x14ac:dyDescent="0.3">
      <c r="A73" s="19" t="s">
        <v>81</v>
      </c>
      <c r="B73" s="23">
        <v>314.85981039768637</v>
      </c>
      <c r="C73" s="20">
        <v>1.7478483638126194E-2</v>
      </c>
      <c r="D73" s="23">
        <v>247.64512337826741</v>
      </c>
      <c r="E73" s="20">
        <v>9.5512750005764362E-3</v>
      </c>
      <c r="F73" s="23">
        <v>269.85880402725832</v>
      </c>
      <c r="G73" s="20">
        <v>7.4977425658961632E-3</v>
      </c>
      <c r="H73" s="23">
        <v>262.38906786145549</v>
      </c>
      <c r="I73" s="20">
        <v>9.7527145949863215E-3</v>
      </c>
      <c r="J73" s="23">
        <v>304.89190962864751</v>
      </c>
      <c r="K73" s="20">
        <v>9.3666743056644245E-3</v>
      </c>
      <c r="L73" s="23">
        <v>302.79189078925384</v>
      </c>
      <c r="M73" s="20">
        <v>7.7083834958229349E-3</v>
      </c>
      <c r="N73" s="23">
        <v>715.8400453368281</v>
      </c>
      <c r="O73" s="20">
        <v>1.2506608029761909E-2</v>
      </c>
      <c r="P73" s="23">
        <v>222.9615021763841</v>
      </c>
      <c r="Q73" s="20">
        <v>4.2806112395603448E-3</v>
      </c>
      <c r="R73" s="23">
        <v>212.28933081745399</v>
      </c>
      <c r="S73" s="20">
        <v>4.0500743675623658E-3</v>
      </c>
      <c r="T73" s="23">
        <v>32.457292334609697</v>
      </c>
      <c r="U73" s="20">
        <v>4.3273163432950637E-3</v>
      </c>
      <c r="V73" s="23">
        <v>2885.9847767478445</v>
      </c>
      <c r="W73" s="20">
        <v>8.295207029614643E-3</v>
      </c>
      <c r="X73" s="23">
        <f t="shared" si="5"/>
        <v>2853.527484413235</v>
      </c>
      <c r="Y73" s="23">
        <f t="shared" si="6"/>
        <v>383.69695944355539</v>
      </c>
      <c r="Z73" s="23">
        <f t="shared" si="7"/>
        <v>1151.0908783306661</v>
      </c>
      <c r="AA73" s="23">
        <f t="shared" si="8"/>
        <v>4004.6183627439013</v>
      </c>
      <c r="AB73" s="36">
        <f t="shared" si="9"/>
        <v>7.9743241764033031E-3</v>
      </c>
      <c r="AC73" t="s">
        <v>260</v>
      </c>
    </row>
    <row r="74" spans="1:29" hidden="1" outlineLevel="1" x14ac:dyDescent="0.3">
      <c r="A74" s="22" t="s">
        <v>81</v>
      </c>
      <c r="B74" s="23">
        <v>314.85981039768637</v>
      </c>
      <c r="C74" s="20">
        <v>1.7478483638126194E-2</v>
      </c>
      <c r="D74" s="23">
        <v>247.64512337826741</v>
      </c>
      <c r="E74" s="20">
        <v>9.5512750005764362E-3</v>
      </c>
      <c r="F74" s="23">
        <v>269.85880402725832</v>
      </c>
      <c r="G74" s="20">
        <v>7.4977425658961632E-3</v>
      </c>
      <c r="H74" s="23">
        <v>262.38906786145549</v>
      </c>
      <c r="I74" s="20">
        <v>9.7527145949863215E-3</v>
      </c>
      <c r="J74" s="23">
        <v>304.89190962864751</v>
      </c>
      <c r="K74" s="20">
        <v>9.3666743056644245E-3</v>
      </c>
      <c r="L74" s="23">
        <v>302.79189078925384</v>
      </c>
      <c r="M74" s="20">
        <v>7.7083834958229349E-3</v>
      </c>
      <c r="N74" s="23">
        <v>715.8400453368281</v>
      </c>
      <c r="O74" s="20">
        <v>1.2506608029761909E-2</v>
      </c>
      <c r="P74" s="23">
        <v>222.9615021763841</v>
      </c>
      <c r="Q74" s="20">
        <v>4.2806112395603448E-3</v>
      </c>
      <c r="R74" s="23">
        <v>212.28933081745399</v>
      </c>
      <c r="S74" s="20">
        <v>4.0500743675623658E-3</v>
      </c>
      <c r="T74" s="23">
        <v>32.457292334609697</v>
      </c>
      <c r="U74" s="20">
        <v>4.3273163432950637E-3</v>
      </c>
      <c r="V74" s="23">
        <v>2885.9847767478445</v>
      </c>
      <c r="W74" s="20">
        <v>8.295207029614643E-3</v>
      </c>
      <c r="X74" s="23">
        <f t="shared" si="5"/>
        <v>2853.527484413235</v>
      </c>
      <c r="Y74" s="23">
        <f t="shared" si="6"/>
        <v>383.69695944355539</v>
      </c>
      <c r="Z74" s="23">
        <f t="shared" si="7"/>
        <v>1151.0908783306661</v>
      </c>
      <c r="AA74" s="23">
        <f t="shared" si="8"/>
        <v>4004.6183627439013</v>
      </c>
      <c r="AB74" s="36">
        <f t="shared" si="9"/>
        <v>7.9743241764033031E-3</v>
      </c>
      <c r="AC74" t="s">
        <v>260</v>
      </c>
    </row>
    <row r="75" spans="1:29" collapsed="1" x14ac:dyDescent="0.3">
      <c r="A75" s="19" t="s">
        <v>90</v>
      </c>
      <c r="B75" s="23">
        <v>133.31476074740488</v>
      </c>
      <c r="C75" s="20">
        <v>7.4005630045356407E-3</v>
      </c>
      <c r="D75" s="23">
        <v>145.48037994653288</v>
      </c>
      <c r="E75" s="20">
        <v>5.6109447951262232E-3</v>
      </c>
      <c r="F75" s="23">
        <v>181.64677418358372</v>
      </c>
      <c r="G75" s="20">
        <v>5.0468642505968227E-3</v>
      </c>
      <c r="H75" s="23">
        <v>232.04116448750321</v>
      </c>
      <c r="I75" s="20">
        <v>8.6247162276204339E-3</v>
      </c>
      <c r="J75" s="23">
        <v>313.33886545548813</v>
      </c>
      <c r="K75" s="20">
        <v>9.6261757276625247E-3</v>
      </c>
      <c r="L75" s="23">
        <v>310.57019491146048</v>
      </c>
      <c r="M75" s="20">
        <v>7.9064011869996141E-3</v>
      </c>
      <c r="N75" s="23">
        <v>362.72964766535137</v>
      </c>
      <c r="O75" s="20">
        <v>6.3373340925480066E-3</v>
      </c>
      <c r="P75" s="23">
        <v>380.10771253020698</v>
      </c>
      <c r="Q75" s="20">
        <v>7.2976425554093574E-3</v>
      </c>
      <c r="R75" s="23">
        <v>314.05299893785701</v>
      </c>
      <c r="S75" s="20">
        <v>5.9915305030003394E-3</v>
      </c>
      <c r="T75" s="23">
        <v>60.058495587368803</v>
      </c>
      <c r="U75" s="20">
        <v>8.0072024132403878E-3</v>
      </c>
      <c r="V75" s="23">
        <v>2433.3409944527575</v>
      </c>
      <c r="W75" s="20">
        <v>6.9941697147065792E-3</v>
      </c>
      <c r="X75" s="23">
        <f t="shared" si="5"/>
        <v>2373.2824988653888</v>
      </c>
      <c r="Y75" s="23">
        <f t="shared" si="6"/>
        <v>352.29678637780512</v>
      </c>
      <c r="Z75" s="23">
        <f t="shared" si="7"/>
        <v>1056.8903591334154</v>
      </c>
      <c r="AA75" s="23">
        <f t="shared" si="8"/>
        <v>3430.1728579988039</v>
      </c>
      <c r="AB75" s="36">
        <f t="shared" si="9"/>
        <v>6.8304412238773789E-3</v>
      </c>
      <c r="AC75" t="s">
        <v>260</v>
      </c>
    </row>
    <row r="76" spans="1:29" ht="14.55" hidden="1" outlineLevel="1" x14ac:dyDescent="0.3">
      <c r="A76" s="22" t="s">
        <v>90</v>
      </c>
      <c r="B76" s="23">
        <v>133.31476074740488</v>
      </c>
      <c r="C76" s="20">
        <v>7.4005630045356407E-3</v>
      </c>
      <c r="D76" s="23">
        <v>145.48037994653288</v>
      </c>
      <c r="E76" s="20">
        <v>5.6109447951262232E-3</v>
      </c>
      <c r="F76" s="23">
        <v>181.64677418358372</v>
      </c>
      <c r="G76" s="20">
        <v>5.0468642505968227E-3</v>
      </c>
      <c r="H76" s="23">
        <v>232.04116448750321</v>
      </c>
      <c r="I76" s="20">
        <v>8.6247162276204339E-3</v>
      </c>
      <c r="J76" s="23">
        <v>313.33886545548813</v>
      </c>
      <c r="K76" s="20">
        <v>9.6261757276625247E-3</v>
      </c>
      <c r="L76" s="23">
        <v>310.57019491146048</v>
      </c>
      <c r="M76" s="20">
        <v>7.9064011869996141E-3</v>
      </c>
      <c r="N76" s="23">
        <v>362.72964766535137</v>
      </c>
      <c r="O76" s="20">
        <v>6.3373340925480066E-3</v>
      </c>
      <c r="P76" s="23">
        <v>380.10771253020698</v>
      </c>
      <c r="Q76" s="20">
        <v>7.2976425554093574E-3</v>
      </c>
      <c r="R76" s="23">
        <v>314.05299893785701</v>
      </c>
      <c r="S76" s="20">
        <v>5.9915305030003394E-3</v>
      </c>
      <c r="T76" s="23">
        <v>60.058495587368803</v>
      </c>
      <c r="U76" s="20">
        <v>8.0072024132403878E-3</v>
      </c>
      <c r="V76" s="23">
        <v>2433.3409944527575</v>
      </c>
      <c r="W76" s="20">
        <v>6.9941697147065792E-3</v>
      </c>
      <c r="X76" s="23">
        <f t="shared" si="5"/>
        <v>2373.2824988653888</v>
      </c>
      <c r="Y76" s="23">
        <f t="shared" si="6"/>
        <v>352.29678637780512</v>
      </c>
      <c r="Z76" s="23">
        <f t="shared" si="7"/>
        <v>1056.8903591334154</v>
      </c>
      <c r="AA76" s="23">
        <f t="shared" si="8"/>
        <v>3430.1728579988039</v>
      </c>
      <c r="AB76" s="36">
        <f t="shared" si="9"/>
        <v>6.8304412238773789E-3</v>
      </c>
      <c r="AC76" t="s">
        <v>260</v>
      </c>
    </row>
    <row r="77" spans="1:29" collapsed="1" x14ac:dyDescent="0.3">
      <c r="A77" s="66" t="s">
        <v>100</v>
      </c>
      <c r="B77" s="23">
        <v>245.03714400000001</v>
      </c>
      <c r="C77" s="20">
        <v>1.3602490920411997E-2</v>
      </c>
      <c r="D77" s="23">
        <v>221.27078399999999</v>
      </c>
      <c r="E77" s="20">
        <v>8.5340590549364131E-3</v>
      </c>
      <c r="F77" s="23">
        <v>247.01201760000001</v>
      </c>
      <c r="G77" s="20">
        <v>6.8629686747605214E-3</v>
      </c>
      <c r="H77" s="23">
        <v>246.053301432604</v>
      </c>
      <c r="I77" s="20">
        <v>9.1455320283899515E-3</v>
      </c>
      <c r="J77" s="23">
        <v>267.740366926359</v>
      </c>
      <c r="K77" s="20">
        <v>8.2253308017677124E-3</v>
      </c>
      <c r="L77" s="23">
        <v>257.14527329457798</v>
      </c>
      <c r="M77" s="20">
        <v>6.5463258461978301E-3</v>
      </c>
      <c r="N77" s="23">
        <v>275.25976320000001</v>
      </c>
      <c r="O77" s="20">
        <v>4.809127384159729E-3</v>
      </c>
      <c r="P77" s="23">
        <v>270.89858400000003</v>
      </c>
      <c r="Q77" s="20">
        <v>5.2009495456933974E-3</v>
      </c>
      <c r="R77" s="23">
        <v>263.763936</v>
      </c>
      <c r="S77" s="20">
        <v>5.032111374450335E-3</v>
      </c>
      <c r="T77" s="23">
        <v>56.159014399999997</v>
      </c>
      <c r="U77" s="20">
        <v>7.487310350202234E-3</v>
      </c>
      <c r="V77" s="23">
        <v>2350.3401848535409</v>
      </c>
      <c r="W77" s="20">
        <v>6.755599884124522E-3</v>
      </c>
      <c r="X77" s="23">
        <f t="shared" si="5"/>
        <v>2294.1811704535407</v>
      </c>
      <c r="Y77" s="23">
        <f t="shared" si="6"/>
        <v>269.97409440000001</v>
      </c>
      <c r="Z77" s="23">
        <f t="shared" si="7"/>
        <v>809.92228320000004</v>
      </c>
      <c r="AA77" s="23">
        <f t="shared" si="8"/>
        <v>3104.1034536535408</v>
      </c>
      <c r="AB77" s="36">
        <f t="shared" si="9"/>
        <v>6.1811451115571401E-3</v>
      </c>
      <c r="AC77" t="s">
        <v>260</v>
      </c>
    </row>
    <row r="78" spans="1:29" ht="14.55" hidden="1" outlineLevel="1" x14ac:dyDescent="0.3">
      <c r="A78" s="22" t="s">
        <v>100</v>
      </c>
      <c r="B78" s="23">
        <v>245.03714400000001</v>
      </c>
      <c r="C78" s="20">
        <v>1.3602490920411997E-2</v>
      </c>
      <c r="D78" s="23">
        <v>221.27078399999999</v>
      </c>
      <c r="E78" s="20">
        <v>8.5340590549364131E-3</v>
      </c>
      <c r="F78" s="23">
        <v>247.01201760000001</v>
      </c>
      <c r="G78" s="20">
        <v>6.8629686747605214E-3</v>
      </c>
      <c r="H78" s="23">
        <v>246.053301432604</v>
      </c>
      <c r="I78" s="20">
        <v>9.1455320283899515E-3</v>
      </c>
      <c r="J78" s="23">
        <v>267.740366926359</v>
      </c>
      <c r="K78" s="20">
        <v>8.2253308017677124E-3</v>
      </c>
      <c r="L78" s="23">
        <v>257.14527329457798</v>
      </c>
      <c r="M78" s="20">
        <v>6.5463258461978301E-3</v>
      </c>
      <c r="N78" s="23">
        <v>275.25976320000001</v>
      </c>
      <c r="O78" s="20">
        <v>4.809127384159729E-3</v>
      </c>
      <c r="P78" s="23">
        <v>270.89858400000003</v>
      </c>
      <c r="Q78" s="20">
        <v>5.2009495456933974E-3</v>
      </c>
      <c r="R78" s="23">
        <v>263.763936</v>
      </c>
      <c r="S78" s="20">
        <v>5.032111374450335E-3</v>
      </c>
      <c r="T78" s="23">
        <v>56.159014399999997</v>
      </c>
      <c r="U78" s="20">
        <v>7.487310350202234E-3</v>
      </c>
      <c r="V78" s="23">
        <v>2350.3401848535409</v>
      </c>
      <c r="W78" s="20">
        <v>6.755599884124522E-3</v>
      </c>
      <c r="X78" s="23">
        <f t="shared" si="5"/>
        <v>2294.1811704535407</v>
      </c>
      <c r="Y78" s="23">
        <f t="shared" si="6"/>
        <v>269.97409440000001</v>
      </c>
      <c r="Z78" s="23">
        <f t="shared" si="7"/>
        <v>809.92228320000004</v>
      </c>
      <c r="AA78" s="23">
        <f t="shared" si="8"/>
        <v>3104.1034536535408</v>
      </c>
      <c r="AB78" s="36">
        <f t="shared" si="9"/>
        <v>6.1811451115571401E-3</v>
      </c>
      <c r="AC78" t="s">
        <v>260</v>
      </c>
    </row>
    <row r="79" spans="1:29" collapsed="1" x14ac:dyDescent="0.3">
      <c r="A79" s="19" t="s">
        <v>89</v>
      </c>
      <c r="B79" s="23">
        <v>0.37421413012499999</v>
      </c>
      <c r="C79" s="20">
        <v>2.0773357966150576E-5</v>
      </c>
      <c r="D79" s="23">
        <v>0.4706940114</v>
      </c>
      <c r="E79" s="20">
        <v>1.8153912674221436E-5</v>
      </c>
      <c r="F79" s="23">
        <v>0.63289671431549999</v>
      </c>
      <c r="G79" s="20">
        <v>1.7584368432388913E-5</v>
      </c>
      <c r="H79" s="23">
        <v>0.73556213555999994</v>
      </c>
      <c r="I79" s="20">
        <v>2.7340039863181843E-5</v>
      </c>
      <c r="J79" s="23">
        <v>140.81514466291202</v>
      </c>
      <c r="K79" s="20">
        <v>4.3260236028204108E-3</v>
      </c>
      <c r="L79" s="23">
        <v>292.27444724233203</v>
      </c>
      <c r="M79" s="20">
        <v>7.4406336295896654E-3</v>
      </c>
      <c r="N79" s="23">
        <v>496.80130274461203</v>
      </c>
      <c r="O79" s="20">
        <v>8.6797311809768407E-3</v>
      </c>
      <c r="P79" s="23">
        <v>517.27821715135406</v>
      </c>
      <c r="Q79" s="20">
        <v>9.9311626837090636E-3</v>
      </c>
      <c r="R79" s="23">
        <v>299.68674333506698</v>
      </c>
      <c r="S79" s="20">
        <v>5.7174498256970536E-3</v>
      </c>
      <c r="T79" s="23">
        <v>63.995142130223996</v>
      </c>
      <c r="U79" s="20">
        <v>8.5320494875759292E-3</v>
      </c>
      <c r="V79" s="23">
        <v>1813.0643642579014</v>
      </c>
      <c r="W79" s="20">
        <v>5.211304086116462E-3</v>
      </c>
      <c r="X79" s="23">
        <f t="shared" si="5"/>
        <v>1749.0692221276774</v>
      </c>
      <c r="Y79" s="23">
        <f t="shared" si="6"/>
        <v>437.92208774367765</v>
      </c>
      <c r="Z79" s="23">
        <f t="shared" si="7"/>
        <v>1313.766263231033</v>
      </c>
      <c r="AA79" s="23">
        <f t="shared" si="8"/>
        <v>3062.8354853587107</v>
      </c>
      <c r="AB79" s="36">
        <f t="shared" si="9"/>
        <v>6.0989689520643724E-3</v>
      </c>
      <c r="AC79" t="s">
        <v>260</v>
      </c>
    </row>
    <row r="80" spans="1:29" ht="14.55" hidden="1" outlineLevel="1" x14ac:dyDescent="0.3">
      <c r="A80" s="22" t="s">
        <v>89</v>
      </c>
      <c r="B80" s="23">
        <v>0.37421413012499999</v>
      </c>
      <c r="C80" s="20">
        <v>2.0773357966150576E-5</v>
      </c>
      <c r="D80" s="23">
        <v>0.4706940114</v>
      </c>
      <c r="E80" s="20">
        <v>1.8153912674221436E-5</v>
      </c>
      <c r="F80" s="23">
        <v>0.63289671431549999</v>
      </c>
      <c r="G80" s="20">
        <v>1.7584368432388913E-5</v>
      </c>
      <c r="H80" s="23">
        <v>0.73556213555999994</v>
      </c>
      <c r="I80" s="20">
        <v>2.7340039863181843E-5</v>
      </c>
      <c r="J80" s="23">
        <v>140.81514466291202</v>
      </c>
      <c r="K80" s="20">
        <v>4.3260236028204108E-3</v>
      </c>
      <c r="L80" s="23">
        <v>292.27444724233203</v>
      </c>
      <c r="M80" s="20">
        <v>7.4406336295896654E-3</v>
      </c>
      <c r="N80" s="23">
        <v>496.80130274461203</v>
      </c>
      <c r="O80" s="20">
        <v>8.6797311809768407E-3</v>
      </c>
      <c r="P80" s="23">
        <v>517.27821715135406</v>
      </c>
      <c r="Q80" s="20">
        <v>9.9311626837090636E-3</v>
      </c>
      <c r="R80" s="23">
        <v>299.68674333506698</v>
      </c>
      <c r="S80" s="20">
        <v>5.7174498256970536E-3</v>
      </c>
      <c r="T80" s="23">
        <v>63.995142130223996</v>
      </c>
      <c r="U80" s="20">
        <v>8.5320494875759292E-3</v>
      </c>
      <c r="V80" s="23">
        <v>1813.0643642579014</v>
      </c>
      <c r="W80" s="20">
        <v>5.211304086116462E-3</v>
      </c>
      <c r="X80" s="23">
        <f t="shared" si="5"/>
        <v>1749.0692221276774</v>
      </c>
      <c r="Y80" s="23">
        <f t="shared" si="6"/>
        <v>437.92208774367765</v>
      </c>
      <c r="Z80" s="23">
        <f t="shared" si="7"/>
        <v>1313.766263231033</v>
      </c>
      <c r="AA80" s="23">
        <f t="shared" si="8"/>
        <v>3062.8354853587107</v>
      </c>
      <c r="AB80" s="36">
        <f t="shared" si="9"/>
        <v>6.0989689520643724E-3</v>
      </c>
      <c r="AC80" t="s">
        <v>260</v>
      </c>
    </row>
    <row r="81" spans="1:29" collapsed="1" x14ac:dyDescent="0.3">
      <c r="A81" s="19" t="s">
        <v>85</v>
      </c>
      <c r="B81" s="23">
        <v>105.63471708000421</v>
      </c>
      <c r="C81" s="20">
        <v>5.8639896650160405E-3</v>
      </c>
      <c r="D81" s="23">
        <v>103.9551111575804</v>
      </c>
      <c r="E81" s="20">
        <v>4.0093818155462878E-3</v>
      </c>
      <c r="F81" s="23">
        <v>121.65988593342499</v>
      </c>
      <c r="G81" s="20">
        <v>3.3801917584759399E-3</v>
      </c>
      <c r="H81" s="23">
        <v>136.32560644552609</v>
      </c>
      <c r="I81" s="20">
        <v>5.0670736494008925E-3</v>
      </c>
      <c r="J81" s="23">
        <v>164.04699578221249</v>
      </c>
      <c r="K81" s="20">
        <v>5.0397361549744252E-3</v>
      </c>
      <c r="L81" s="23">
        <v>168.40679446738011</v>
      </c>
      <c r="M81" s="20">
        <v>4.2872487492088066E-3</v>
      </c>
      <c r="N81" s="23">
        <v>188.4323627648206</v>
      </c>
      <c r="O81" s="20">
        <v>3.2921456637880981E-3</v>
      </c>
      <c r="P81" s="23">
        <v>193.23632216016219</v>
      </c>
      <c r="Q81" s="20">
        <v>3.7099210601645614E-3</v>
      </c>
      <c r="R81" s="23">
        <v>167.483060363992</v>
      </c>
      <c r="S81" s="20">
        <v>3.1952564321962354E-3</v>
      </c>
      <c r="T81" s="23">
        <v>36.936105642597603</v>
      </c>
      <c r="U81" s="20">
        <v>4.9244469303575279E-3</v>
      </c>
      <c r="V81" s="23">
        <v>1386.1169617977007</v>
      </c>
      <c r="W81" s="20">
        <v>3.984126062622332E-3</v>
      </c>
      <c r="X81" s="23">
        <f t="shared" si="5"/>
        <v>1349.1808561551031</v>
      </c>
      <c r="Y81" s="23">
        <f t="shared" si="6"/>
        <v>183.05058176299158</v>
      </c>
      <c r="Z81" s="23">
        <f t="shared" si="7"/>
        <v>549.15174528897478</v>
      </c>
      <c r="AA81" s="23">
        <f t="shared" si="8"/>
        <v>1898.3326014440779</v>
      </c>
      <c r="AB81" s="36">
        <f t="shared" si="9"/>
        <v>3.7801154036006127E-3</v>
      </c>
      <c r="AC81" t="s">
        <v>260</v>
      </c>
    </row>
    <row r="82" spans="1:29" hidden="1" outlineLevel="1" x14ac:dyDescent="0.3">
      <c r="A82" s="22" t="s">
        <v>85</v>
      </c>
      <c r="B82" s="23">
        <v>105.63471708000421</v>
      </c>
      <c r="C82" s="20">
        <v>5.8639896650160405E-3</v>
      </c>
      <c r="D82" s="23">
        <v>103.9551111575804</v>
      </c>
      <c r="E82" s="20">
        <v>4.0093818155462878E-3</v>
      </c>
      <c r="F82" s="23">
        <v>121.65988593342499</v>
      </c>
      <c r="G82" s="20">
        <v>3.3801917584759399E-3</v>
      </c>
      <c r="H82" s="23">
        <v>136.32560644552609</v>
      </c>
      <c r="I82" s="20">
        <v>5.0670736494008925E-3</v>
      </c>
      <c r="J82" s="23">
        <v>164.04699578221249</v>
      </c>
      <c r="K82" s="20">
        <v>5.0397361549744252E-3</v>
      </c>
      <c r="L82" s="23">
        <v>168.40679446738011</v>
      </c>
      <c r="M82" s="20">
        <v>4.2872487492088066E-3</v>
      </c>
      <c r="N82" s="23">
        <v>188.4323627648206</v>
      </c>
      <c r="O82" s="20">
        <v>3.2921456637880981E-3</v>
      </c>
      <c r="P82" s="23">
        <v>193.23632216016219</v>
      </c>
      <c r="Q82" s="20">
        <v>3.7099210601645614E-3</v>
      </c>
      <c r="R82" s="23">
        <v>167.483060363992</v>
      </c>
      <c r="S82" s="20">
        <v>3.1952564321962354E-3</v>
      </c>
      <c r="T82" s="23">
        <v>36.936105642597603</v>
      </c>
      <c r="U82" s="20">
        <v>4.9244469303575279E-3</v>
      </c>
      <c r="V82" s="23">
        <v>1386.1169617977007</v>
      </c>
      <c r="W82" s="20">
        <v>3.984126062622332E-3</v>
      </c>
      <c r="X82" s="23">
        <f t="shared" si="5"/>
        <v>1349.1808561551031</v>
      </c>
      <c r="Y82" s="23">
        <f t="shared" si="6"/>
        <v>183.05058176299158</v>
      </c>
      <c r="Z82" s="23">
        <f t="shared" si="7"/>
        <v>549.15174528897478</v>
      </c>
      <c r="AA82" s="23">
        <f t="shared" si="8"/>
        <v>1898.3326014440779</v>
      </c>
      <c r="AB82" s="36">
        <f t="shared" si="9"/>
        <v>3.7801154036006127E-3</v>
      </c>
    </row>
    <row r="83" spans="1:29" collapsed="1" x14ac:dyDescent="0.3">
      <c r="A83" s="19" t="s">
        <v>76</v>
      </c>
      <c r="B83" s="23">
        <v>138.80268599999999</v>
      </c>
      <c r="C83" s="20">
        <v>7.7052084644105932E-3</v>
      </c>
      <c r="D83" s="23">
        <v>125.340096</v>
      </c>
      <c r="E83" s="20">
        <v>4.8341663633975256E-3</v>
      </c>
      <c r="F83" s="23">
        <v>139.92136439999999</v>
      </c>
      <c r="G83" s="20">
        <v>3.8875676986776363E-3</v>
      </c>
      <c r="H83" s="23">
        <v>139.164624</v>
      </c>
      <c r="I83" s="20">
        <v>5.1725968259745438E-3</v>
      </c>
      <c r="J83" s="23">
        <v>151.54097039999999</v>
      </c>
      <c r="K83" s="20">
        <v>4.6555348596490388E-3</v>
      </c>
      <c r="L83" s="23">
        <v>145.66017600000001</v>
      </c>
      <c r="M83" s="20">
        <v>3.7081722821254389E-3</v>
      </c>
      <c r="N83" s="23">
        <v>155.92246080000001</v>
      </c>
      <c r="O83" s="20">
        <v>2.7241576005208592E-3</v>
      </c>
      <c r="P83" s="23">
        <v>153.452046</v>
      </c>
      <c r="Q83" s="20">
        <v>2.9461074958199939E-3</v>
      </c>
      <c r="R83" s="23">
        <v>149.410584</v>
      </c>
      <c r="S83" s="20">
        <v>2.8504681519829428E-3</v>
      </c>
      <c r="T83" s="23">
        <v>31.811593599999998</v>
      </c>
      <c r="U83" s="20">
        <v>4.2412295971082275E-3</v>
      </c>
      <c r="V83" s="23">
        <v>1331.0266012</v>
      </c>
      <c r="W83" s="20">
        <v>3.8257794385597402E-3</v>
      </c>
      <c r="X83" s="23">
        <f t="shared" si="5"/>
        <v>1299.2150076</v>
      </c>
      <c r="Y83" s="23">
        <f t="shared" si="6"/>
        <v>152.92836360000001</v>
      </c>
      <c r="Z83" s="23">
        <f t="shared" si="7"/>
        <v>458.78509080000003</v>
      </c>
      <c r="AA83" s="23">
        <f t="shared" si="8"/>
        <v>1758.0000984000001</v>
      </c>
      <c r="AB83" s="36">
        <f t="shared" si="9"/>
        <v>3.5006738263031398E-3</v>
      </c>
      <c r="AC83" t="s">
        <v>264</v>
      </c>
    </row>
    <row r="84" spans="1:29" ht="14.55" hidden="1" outlineLevel="1" x14ac:dyDescent="0.3">
      <c r="A84" s="22" t="s">
        <v>122</v>
      </c>
      <c r="B84" s="23">
        <v>138.80268599999999</v>
      </c>
      <c r="C84" s="20">
        <v>7.7052084644105932E-3</v>
      </c>
      <c r="D84" s="23">
        <v>125.340096</v>
      </c>
      <c r="E84" s="20">
        <v>4.8341663633975256E-3</v>
      </c>
      <c r="F84" s="23">
        <v>139.92136439999999</v>
      </c>
      <c r="G84" s="20">
        <v>3.8875676986776363E-3</v>
      </c>
      <c r="H84" s="23">
        <v>139.164624</v>
      </c>
      <c r="I84" s="20">
        <v>5.1725968259745438E-3</v>
      </c>
      <c r="J84" s="23">
        <v>151.54097039999999</v>
      </c>
      <c r="K84" s="20">
        <v>4.6555348596490388E-3</v>
      </c>
      <c r="L84" s="23">
        <v>145.66017600000001</v>
      </c>
      <c r="M84" s="20">
        <v>3.7081722821254389E-3</v>
      </c>
      <c r="N84" s="23">
        <v>155.92246080000001</v>
      </c>
      <c r="O84" s="20">
        <v>2.7241576005208592E-3</v>
      </c>
      <c r="P84" s="23">
        <v>153.452046</v>
      </c>
      <c r="Q84" s="20">
        <v>2.9461074958199939E-3</v>
      </c>
      <c r="R84" s="23">
        <v>149.410584</v>
      </c>
      <c r="S84" s="20">
        <v>2.8504681519829428E-3</v>
      </c>
      <c r="T84" s="23">
        <v>31.811593599999998</v>
      </c>
      <c r="U84" s="20">
        <v>4.2412295971082275E-3</v>
      </c>
      <c r="V84" s="23">
        <v>1331.0266012</v>
      </c>
      <c r="W84" s="20">
        <v>3.8257794385597402E-3</v>
      </c>
      <c r="X84" s="23">
        <f t="shared" si="5"/>
        <v>1299.2150076</v>
      </c>
      <c r="Y84" s="23">
        <f t="shared" si="6"/>
        <v>152.92836360000001</v>
      </c>
      <c r="Z84" s="23">
        <f t="shared" si="7"/>
        <v>458.78509080000003</v>
      </c>
      <c r="AA84" s="23">
        <f t="shared" si="8"/>
        <v>1758.0000984000001</v>
      </c>
      <c r="AB84" s="36">
        <f t="shared" si="9"/>
        <v>3.5006738263031398E-3</v>
      </c>
      <c r="AC84" t="s">
        <v>265</v>
      </c>
    </row>
    <row r="85" spans="1:29" collapsed="1" x14ac:dyDescent="0.3">
      <c r="A85" s="66" t="s">
        <v>97</v>
      </c>
      <c r="B85" s="23">
        <v>122.77705</v>
      </c>
      <c r="C85" s="20">
        <v>6.815594079320357E-3</v>
      </c>
      <c r="D85" s="23">
        <v>110.86879999999999</v>
      </c>
      <c r="E85" s="20">
        <v>4.2760316994670845E-3</v>
      </c>
      <c r="F85" s="23">
        <v>123.76657</v>
      </c>
      <c r="G85" s="20">
        <v>3.4387237558135522E-3</v>
      </c>
      <c r="H85" s="23">
        <v>123.0972</v>
      </c>
      <c r="I85" s="20">
        <v>4.5753882538880969E-3</v>
      </c>
      <c r="J85" s="23">
        <v>134.04462000000001</v>
      </c>
      <c r="K85" s="20">
        <v>4.1180243171942158E-3</v>
      </c>
      <c r="L85" s="23">
        <v>128.84280000000001</v>
      </c>
      <c r="M85" s="20">
        <v>3.2800406592357234E-3</v>
      </c>
      <c r="N85" s="23">
        <v>137.92024000000001</v>
      </c>
      <c r="O85" s="20">
        <v>2.4096366112614674E-3</v>
      </c>
      <c r="P85" s="23">
        <v>135.73505</v>
      </c>
      <c r="Q85" s="20">
        <v>2.6059610065446875E-3</v>
      </c>
      <c r="R85" s="23">
        <v>132.1602</v>
      </c>
      <c r="S85" s="20">
        <v>2.5213638215864022E-3</v>
      </c>
      <c r="T85" s="23">
        <v>26.65776</v>
      </c>
      <c r="U85" s="20">
        <v>3.5541030143365036E-3</v>
      </c>
      <c r="V85" s="23">
        <v>1175.8702900000001</v>
      </c>
      <c r="W85" s="20">
        <v>3.3798125250385715E-3</v>
      </c>
      <c r="X85" s="23">
        <f t="shared" si="5"/>
        <v>1149.21253</v>
      </c>
      <c r="Y85" s="23">
        <f t="shared" si="6"/>
        <v>135.27183000000002</v>
      </c>
      <c r="Z85" s="23">
        <f t="shared" si="7"/>
        <v>405.81549000000007</v>
      </c>
      <c r="AA85" s="23">
        <f t="shared" si="8"/>
        <v>1555.0280200000002</v>
      </c>
      <c r="AB85" s="36">
        <f t="shared" si="9"/>
        <v>3.0964991945884386E-3</v>
      </c>
      <c r="AC85" t="s">
        <v>260</v>
      </c>
    </row>
    <row r="86" spans="1:29" ht="14.55" hidden="1" outlineLevel="1" x14ac:dyDescent="0.3">
      <c r="A86" s="22" t="s">
        <v>97</v>
      </c>
      <c r="B86" s="23">
        <v>122.77705</v>
      </c>
      <c r="C86" s="20">
        <v>6.815594079320357E-3</v>
      </c>
      <c r="D86" s="23">
        <v>110.86879999999999</v>
      </c>
      <c r="E86" s="20">
        <v>4.2760316994670845E-3</v>
      </c>
      <c r="F86" s="23">
        <v>123.76657</v>
      </c>
      <c r="G86" s="20">
        <v>3.4387237558135522E-3</v>
      </c>
      <c r="H86" s="23">
        <v>123.0972</v>
      </c>
      <c r="I86" s="20">
        <v>4.5753882538880969E-3</v>
      </c>
      <c r="J86" s="23">
        <v>134.04462000000001</v>
      </c>
      <c r="K86" s="20">
        <v>4.1180243171942158E-3</v>
      </c>
      <c r="L86" s="23">
        <v>128.84280000000001</v>
      </c>
      <c r="M86" s="20">
        <v>3.2800406592357234E-3</v>
      </c>
      <c r="N86" s="23">
        <v>137.92024000000001</v>
      </c>
      <c r="O86" s="20">
        <v>2.4096366112614674E-3</v>
      </c>
      <c r="P86" s="23">
        <v>135.73505</v>
      </c>
      <c r="Q86" s="20">
        <v>2.6059610065446875E-3</v>
      </c>
      <c r="R86" s="23">
        <v>132.1602</v>
      </c>
      <c r="S86" s="20">
        <v>2.5213638215864022E-3</v>
      </c>
      <c r="T86" s="23">
        <v>26.65776</v>
      </c>
      <c r="U86" s="20">
        <v>3.5541030143365036E-3</v>
      </c>
      <c r="V86" s="23">
        <v>1175.8702900000001</v>
      </c>
      <c r="W86" s="20">
        <v>3.3798125250385715E-3</v>
      </c>
      <c r="X86" s="23">
        <f t="shared" si="5"/>
        <v>1149.21253</v>
      </c>
      <c r="Y86" s="23">
        <f t="shared" si="6"/>
        <v>135.27183000000002</v>
      </c>
      <c r="Z86" s="23">
        <f t="shared" si="7"/>
        <v>405.81549000000007</v>
      </c>
      <c r="AA86" s="23">
        <f t="shared" si="8"/>
        <v>1555.0280200000002</v>
      </c>
      <c r="AB86" s="36">
        <f t="shared" si="9"/>
        <v>3.0964991945884386E-3</v>
      </c>
      <c r="AC86" t="s">
        <v>260</v>
      </c>
    </row>
    <row r="87" spans="1:29" collapsed="1" x14ac:dyDescent="0.3">
      <c r="A87" s="19" t="s">
        <v>82</v>
      </c>
      <c r="B87" s="23">
        <v>43.954852852427997</v>
      </c>
      <c r="C87" s="20">
        <v>2.4400198152537936E-3</v>
      </c>
      <c r="D87" s="23">
        <v>55.601360879070498</v>
      </c>
      <c r="E87" s="20">
        <v>2.1444552629090829E-3</v>
      </c>
      <c r="F87" s="23">
        <v>72.252276702327904</v>
      </c>
      <c r="G87" s="20">
        <v>2.0074533883253694E-3</v>
      </c>
      <c r="H87" s="23">
        <v>80.992077751112106</v>
      </c>
      <c r="I87" s="20">
        <v>3.0103869235078443E-3</v>
      </c>
      <c r="J87" s="23">
        <v>99.496792432738999</v>
      </c>
      <c r="K87" s="20">
        <v>3.0566703141151402E-3</v>
      </c>
      <c r="L87" s="23">
        <v>104.64781121107499</v>
      </c>
      <c r="M87" s="20">
        <v>2.6640920227777565E-3</v>
      </c>
      <c r="N87" s="23">
        <v>121.456874415946</v>
      </c>
      <c r="O87" s="20">
        <v>2.1220013196181341E-3</v>
      </c>
      <c r="P87" s="23">
        <v>128.955766272685</v>
      </c>
      <c r="Q87" s="20">
        <v>2.4758063482918204E-3</v>
      </c>
      <c r="R87" s="23">
        <v>134.606193696704</v>
      </c>
      <c r="S87" s="20">
        <v>2.5680287026526977E-3</v>
      </c>
      <c r="T87" s="23">
        <v>29.683095736074002</v>
      </c>
      <c r="U87" s="20">
        <v>3.9574510397880252E-3</v>
      </c>
      <c r="V87" s="23">
        <v>871.64710195016153</v>
      </c>
      <c r="W87" s="20">
        <v>2.5053816034290043E-3</v>
      </c>
      <c r="X87" s="23">
        <f t="shared" si="5"/>
        <v>841.96400621408748</v>
      </c>
      <c r="Y87" s="23">
        <f t="shared" si="6"/>
        <v>128.33961146177833</v>
      </c>
      <c r="Z87" s="23">
        <f t="shared" si="7"/>
        <v>385.01883438533503</v>
      </c>
      <c r="AA87" s="23">
        <f t="shared" si="8"/>
        <v>1226.9828405994226</v>
      </c>
      <c r="AB87" s="36">
        <f t="shared" si="9"/>
        <v>2.4432687571057056E-3</v>
      </c>
      <c r="AC87" t="s">
        <v>260</v>
      </c>
    </row>
    <row r="88" spans="1:29" ht="14.55" hidden="1" outlineLevel="1" x14ac:dyDescent="0.3">
      <c r="A88" s="22" t="s">
        <v>82</v>
      </c>
      <c r="B88" s="23">
        <v>43.954852852427997</v>
      </c>
      <c r="C88" s="20">
        <v>2.4400198152537936E-3</v>
      </c>
      <c r="D88" s="23">
        <v>55.601360879070498</v>
      </c>
      <c r="E88" s="20">
        <v>2.1444552629090829E-3</v>
      </c>
      <c r="F88" s="23">
        <v>72.252276702327904</v>
      </c>
      <c r="G88" s="20">
        <v>2.0074533883253694E-3</v>
      </c>
      <c r="H88" s="23">
        <v>80.992077751112106</v>
      </c>
      <c r="I88" s="20">
        <v>3.0103869235078443E-3</v>
      </c>
      <c r="J88" s="23">
        <v>99.496792432738999</v>
      </c>
      <c r="K88" s="20">
        <v>3.0566703141151402E-3</v>
      </c>
      <c r="L88" s="23">
        <v>104.64781121107499</v>
      </c>
      <c r="M88" s="20">
        <v>2.6640920227777565E-3</v>
      </c>
      <c r="N88" s="23">
        <v>121.456874415946</v>
      </c>
      <c r="O88" s="20">
        <v>2.1220013196181341E-3</v>
      </c>
      <c r="P88" s="23">
        <v>128.955766272685</v>
      </c>
      <c r="Q88" s="20">
        <v>2.4758063482918204E-3</v>
      </c>
      <c r="R88" s="23">
        <v>134.606193696704</v>
      </c>
      <c r="S88" s="20">
        <v>2.5680287026526977E-3</v>
      </c>
      <c r="T88" s="23">
        <v>29.683095736074002</v>
      </c>
      <c r="U88" s="20">
        <v>3.9574510397880252E-3</v>
      </c>
      <c r="V88" s="23">
        <v>871.64710195016153</v>
      </c>
      <c r="W88" s="20">
        <v>2.5053816034290043E-3</v>
      </c>
      <c r="X88" s="23">
        <f t="shared" si="5"/>
        <v>841.96400621408748</v>
      </c>
      <c r="Y88" s="23">
        <f t="shared" si="6"/>
        <v>128.33961146177833</v>
      </c>
      <c r="Z88" s="23">
        <f t="shared" si="7"/>
        <v>385.01883438533503</v>
      </c>
      <c r="AA88" s="23">
        <f t="shared" si="8"/>
        <v>1226.9828405994226</v>
      </c>
      <c r="AB88" s="36">
        <f t="shared" si="9"/>
        <v>2.4432687571057056E-3</v>
      </c>
      <c r="AC88" t="s">
        <v>260</v>
      </c>
    </row>
    <row r="89" spans="1:29" collapsed="1" x14ac:dyDescent="0.3">
      <c r="A89" s="19" t="s">
        <v>71</v>
      </c>
      <c r="B89" s="23">
        <v>57.557214000000002</v>
      </c>
      <c r="C89" s="20">
        <v>3.195113475690895E-3</v>
      </c>
      <c r="D89" s="23">
        <v>61.969823999999996</v>
      </c>
      <c r="E89" s="20">
        <v>2.3900766657021285E-3</v>
      </c>
      <c r="F89" s="23">
        <v>69.1789986</v>
      </c>
      <c r="G89" s="20">
        <v>1.9220655940389434E-3</v>
      </c>
      <c r="H89" s="23">
        <v>68.804856000000001</v>
      </c>
      <c r="I89" s="20">
        <v>2.557401224015347E-3</v>
      </c>
      <c r="J89" s="23">
        <v>74.9238876</v>
      </c>
      <c r="K89" s="20">
        <v>2.3017588551896089E-3</v>
      </c>
      <c r="L89" s="23">
        <v>80.818341599999997</v>
      </c>
      <c r="M89" s="20">
        <v>2.0574486619353342E-3</v>
      </c>
      <c r="N89" s="23">
        <v>102.78687360000001</v>
      </c>
      <c r="O89" s="20">
        <v>1.7958133902874938E-3</v>
      </c>
      <c r="P89" s="23">
        <v>101.158332</v>
      </c>
      <c r="Q89" s="20">
        <v>1.9421267290880408E-3</v>
      </c>
      <c r="R89" s="23">
        <v>73.870596000000006</v>
      </c>
      <c r="S89" s="20">
        <v>1.409309672907768E-3</v>
      </c>
      <c r="T89" s="23">
        <v>17.3836656</v>
      </c>
      <c r="U89" s="20">
        <v>2.3176492814541727E-3</v>
      </c>
      <c r="V89" s="23">
        <v>708.45258899999999</v>
      </c>
      <c r="W89" s="20">
        <v>2.0363104281665313E-3</v>
      </c>
      <c r="X89" s="23">
        <f t="shared" si="5"/>
        <v>691.06892340000002</v>
      </c>
      <c r="Y89" s="23">
        <f t="shared" si="6"/>
        <v>92.6052672</v>
      </c>
      <c r="Z89" s="23">
        <f t="shared" si="7"/>
        <v>277.81580159999999</v>
      </c>
      <c r="AA89" s="23">
        <f t="shared" si="8"/>
        <v>968.884725</v>
      </c>
      <c r="AB89" s="36">
        <f t="shared" si="9"/>
        <v>1.9293226437241565E-3</v>
      </c>
      <c r="AC89" t="s">
        <v>260</v>
      </c>
    </row>
    <row r="90" spans="1:29" ht="14.55" hidden="1" outlineLevel="1" x14ac:dyDescent="0.3">
      <c r="A90" s="22" t="s">
        <v>71</v>
      </c>
      <c r="B90" s="23">
        <v>57.557214000000002</v>
      </c>
      <c r="C90" s="20">
        <v>3.195113475690895E-3</v>
      </c>
      <c r="D90" s="23">
        <v>61.969823999999996</v>
      </c>
      <c r="E90" s="20">
        <v>2.3900766657021285E-3</v>
      </c>
      <c r="F90" s="23">
        <v>69.1789986</v>
      </c>
      <c r="G90" s="20">
        <v>1.9220655940389434E-3</v>
      </c>
      <c r="H90" s="23">
        <v>68.804856000000001</v>
      </c>
      <c r="I90" s="20">
        <v>2.557401224015347E-3</v>
      </c>
      <c r="J90" s="23">
        <v>74.9238876</v>
      </c>
      <c r="K90" s="20">
        <v>2.3017588551896089E-3</v>
      </c>
      <c r="L90" s="23">
        <v>80.818341599999997</v>
      </c>
      <c r="M90" s="20">
        <v>2.0574486619353342E-3</v>
      </c>
      <c r="N90" s="23">
        <v>102.78687360000001</v>
      </c>
      <c r="O90" s="20">
        <v>1.7958133902874938E-3</v>
      </c>
      <c r="P90" s="23">
        <v>101.158332</v>
      </c>
      <c r="Q90" s="20">
        <v>1.9421267290880408E-3</v>
      </c>
      <c r="R90" s="23">
        <v>73.870596000000006</v>
      </c>
      <c r="S90" s="20">
        <v>1.409309672907768E-3</v>
      </c>
      <c r="T90" s="23">
        <v>17.3836656</v>
      </c>
      <c r="U90" s="20">
        <v>2.3176492814541727E-3</v>
      </c>
      <c r="V90" s="23">
        <v>708.45258899999999</v>
      </c>
      <c r="W90" s="20">
        <v>2.0363104281665313E-3</v>
      </c>
      <c r="X90" s="23">
        <f t="shared" si="5"/>
        <v>691.06892340000002</v>
      </c>
      <c r="Y90" s="23">
        <f t="shared" si="6"/>
        <v>92.6052672</v>
      </c>
      <c r="Z90" s="23">
        <f t="shared" si="7"/>
        <v>277.81580159999999</v>
      </c>
      <c r="AA90" s="23">
        <f t="shared" si="8"/>
        <v>968.884725</v>
      </c>
      <c r="AB90" s="36">
        <f t="shared" si="9"/>
        <v>1.9293226437241565E-3</v>
      </c>
      <c r="AC90" t="s">
        <v>260</v>
      </c>
    </row>
    <row r="91" spans="1:29" collapsed="1" x14ac:dyDescent="0.3">
      <c r="A91" s="19" t="s">
        <v>103</v>
      </c>
      <c r="B91" s="23">
        <v>15.3015944809364</v>
      </c>
      <c r="C91" s="20">
        <v>8.494214248382021E-4</v>
      </c>
      <c r="D91" s="23">
        <v>27.688023999999999</v>
      </c>
      <c r="E91" s="20">
        <v>1.0678826533669114E-3</v>
      </c>
      <c r="F91" s="23">
        <v>34.535374065534576</v>
      </c>
      <c r="G91" s="20">
        <v>9.5952898440233901E-4</v>
      </c>
      <c r="H91" s="23">
        <v>61.483812</v>
      </c>
      <c r="I91" s="20">
        <v>2.2852860278630548E-3</v>
      </c>
      <c r="J91" s="23">
        <v>66.951760199999995</v>
      </c>
      <c r="K91" s="20">
        <v>2.0568447773775317E-3</v>
      </c>
      <c r="L91" s="23">
        <v>64.353588000000002</v>
      </c>
      <c r="M91" s="20">
        <v>1.6382939924287903E-3</v>
      </c>
      <c r="N91" s="23">
        <v>68.887530400000003</v>
      </c>
      <c r="O91" s="20">
        <v>1.2035500758353329E-3</v>
      </c>
      <c r="P91" s="23">
        <v>33.898042750000002</v>
      </c>
      <c r="Q91" s="20">
        <v>6.5080447242392328E-4</v>
      </c>
      <c r="R91" s="23">
        <v>33.005271</v>
      </c>
      <c r="S91" s="20">
        <v>6.2967743860144621E-4</v>
      </c>
      <c r="T91" s="23">
        <v>6.6574248000000003</v>
      </c>
      <c r="U91" s="20">
        <v>8.8759046331719532E-4</v>
      </c>
      <c r="V91" s="23">
        <v>412.76242169647099</v>
      </c>
      <c r="W91" s="20">
        <v>1.186406030137036E-3</v>
      </c>
      <c r="X91" s="23">
        <f t="shared" si="5"/>
        <v>406.10499689647099</v>
      </c>
      <c r="Y91" s="23">
        <f t="shared" si="6"/>
        <v>45.263614716666666</v>
      </c>
      <c r="Z91" s="23">
        <f t="shared" si="7"/>
        <v>135.79084415</v>
      </c>
      <c r="AA91" s="23">
        <f t="shared" si="8"/>
        <v>541.89584104647099</v>
      </c>
      <c r="AB91" s="36">
        <f t="shared" si="9"/>
        <v>1.0790673954230237E-3</v>
      </c>
      <c r="AC91" t="s">
        <v>260</v>
      </c>
    </row>
    <row r="92" spans="1:29" ht="14.55" hidden="1" outlineLevel="1" x14ac:dyDescent="0.3">
      <c r="A92" s="22" t="s">
        <v>103</v>
      </c>
      <c r="B92" s="23">
        <v>15.3015944809364</v>
      </c>
      <c r="C92" s="20">
        <v>8.494214248382021E-4</v>
      </c>
      <c r="D92" s="23">
        <v>27.688023999999999</v>
      </c>
      <c r="E92" s="20">
        <v>1.0678826533669114E-3</v>
      </c>
      <c r="F92" s="23">
        <v>34.535374065534576</v>
      </c>
      <c r="G92" s="20">
        <v>9.5952898440233901E-4</v>
      </c>
      <c r="H92" s="23">
        <v>61.483812</v>
      </c>
      <c r="I92" s="20">
        <v>2.2852860278630548E-3</v>
      </c>
      <c r="J92" s="23">
        <v>66.951760199999995</v>
      </c>
      <c r="K92" s="20">
        <v>2.0568447773775317E-3</v>
      </c>
      <c r="L92" s="23">
        <v>64.353588000000002</v>
      </c>
      <c r="M92" s="20">
        <v>1.6382939924287903E-3</v>
      </c>
      <c r="N92" s="23">
        <v>68.887530400000003</v>
      </c>
      <c r="O92" s="20">
        <v>1.2035500758353329E-3</v>
      </c>
      <c r="P92" s="23">
        <v>33.898042750000002</v>
      </c>
      <c r="Q92" s="20">
        <v>6.5080447242392328E-4</v>
      </c>
      <c r="R92" s="23">
        <v>33.005271</v>
      </c>
      <c r="S92" s="20">
        <v>6.2967743860144621E-4</v>
      </c>
      <c r="T92" s="23">
        <v>6.6574248000000003</v>
      </c>
      <c r="U92" s="20">
        <v>8.8759046331719532E-4</v>
      </c>
      <c r="V92" s="23">
        <v>412.76242169647099</v>
      </c>
      <c r="W92" s="20">
        <v>1.186406030137036E-3</v>
      </c>
      <c r="X92" s="23">
        <f t="shared" si="5"/>
        <v>406.10499689647099</v>
      </c>
      <c r="Y92" s="23">
        <f t="shared" si="6"/>
        <v>45.263614716666666</v>
      </c>
      <c r="Z92" s="23">
        <f t="shared" si="7"/>
        <v>135.79084415</v>
      </c>
      <c r="AA92" s="23">
        <f t="shared" si="8"/>
        <v>541.89584104647099</v>
      </c>
      <c r="AB92" s="36">
        <f t="shared" si="9"/>
        <v>1.0790673954230237E-3</v>
      </c>
      <c r="AC92" t="s">
        <v>260</v>
      </c>
    </row>
    <row r="93" spans="1:29" collapsed="1" x14ac:dyDescent="0.3">
      <c r="A93" s="19" t="s">
        <v>83</v>
      </c>
      <c r="B93" s="23">
        <v>24.564138582056064</v>
      </c>
      <c r="C93" s="20">
        <v>1.3636033565187146E-3</v>
      </c>
      <c r="D93" s="23">
        <v>32.236184889856048</v>
      </c>
      <c r="E93" s="20">
        <v>1.2432979202346046E-3</v>
      </c>
      <c r="F93" s="23">
        <v>35.235072914092655</v>
      </c>
      <c r="G93" s="20">
        <v>9.7896937975669083E-4</v>
      </c>
      <c r="H93" s="23">
        <v>50.550181684548939</v>
      </c>
      <c r="I93" s="20">
        <v>1.8788949505869706E-3</v>
      </c>
      <c r="J93" s="23">
        <v>65.384795568742945</v>
      </c>
      <c r="K93" s="20">
        <v>2.0087055946509157E-3</v>
      </c>
      <c r="L93" s="23">
        <v>64.387205620900559</v>
      </c>
      <c r="M93" s="20">
        <v>1.6391498195562711E-3</v>
      </c>
      <c r="N93" s="23">
        <v>82.820735334426217</v>
      </c>
      <c r="O93" s="20">
        <v>1.4469803419239241E-3</v>
      </c>
      <c r="P93" s="23">
        <v>4.4788127962047497</v>
      </c>
      <c r="Q93" s="20">
        <v>8.5988191719993889E-5</v>
      </c>
      <c r="R93" s="23">
        <v>2.361169880280714</v>
      </c>
      <c r="S93" s="20">
        <v>4.5046604898897616E-5</v>
      </c>
      <c r="T93" s="23">
        <v>0.86987984254036999</v>
      </c>
      <c r="U93" s="20">
        <v>1.1597533215406292E-4</v>
      </c>
      <c r="V93" s="23">
        <v>362.88817711364925</v>
      </c>
      <c r="W93" s="20">
        <v>1.0430521262656675E-3</v>
      </c>
      <c r="X93" s="23">
        <f t="shared" si="5"/>
        <v>362.01829727110891</v>
      </c>
      <c r="Y93" s="23">
        <f t="shared" si="6"/>
        <v>29.886906003637225</v>
      </c>
      <c r="Z93" s="23">
        <f t="shared" si="7"/>
        <v>89.66071801091168</v>
      </c>
      <c r="AA93" s="23">
        <f t="shared" si="8"/>
        <v>451.6790152820206</v>
      </c>
      <c r="AB93" s="36">
        <f t="shared" si="9"/>
        <v>8.9942026062866422E-4</v>
      </c>
      <c r="AC93" t="s">
        <v>260</v>
      </c>
    </row>
    <row r="94" spans="1:29" ht="14.55" hidden="1" outlineLevel="1" x14ac:dyDescent="0.3">
      <c r="A94" s="22" t="s">
        <v>128</v>
      </c>
      <c r="B94" s="23">
        <v>23.860171699817727</v>
      </c>
      <c r="C94" s="20">
        <v>1.3245247786035324E-3</v>
      </c>
      <c r="D94" s="23">
        <v>30.99085925266705</v>
      </c>
      <c r="E94" s="20">
        <v>1.195267708842588E-3</v>
      </c>
      <c r="F94" s="23">
        <v>33.89244646934938</v>
      </c>
      <c r="G94" s="20">
        <v>9.416659184850228E-4</v>
      </c>
      <c r="H94" s="23">
        <v>48.113254989941183</v>
      </c>
      <c r="I94" s="20">
        <v>1.7883170513813456E-3</v>
      </c>
      <c r="J94" s="23">
        <v>63.467760479679733</v>
      </c>
      <c r="K94" s="20">
        <v>1.9498117941113872E-3</v>
      </c>
      <c r="L94" s="23">
        <v>63.431720903705234</v>
      </c>
      <c r="M94" s="20">
        <v>1.6148253813907003E-3</v>
      </c>
      <c r="N94" s="23">
        <v>81.187996024643041</v>
      </c>
      <c r="O94" s="20">
        <v>1.4184543734547615E-3</v>
      </c>
      <c r="P94" s="23">
        <v>3.8508970354848202</v>
      </c>
      <c r="Q94" s="20">
        <v>7.3932912056922468E-5</v>
      </c>
      <c r="R94" s="23">
        <v>1.61362426327418</v>
      </c>
      <c r="S94" s="20">
        <v>3.0784864422523038E-5</v>
      </c>
      <c r="T94" s="23">
        <v>0.423569226335688</v>
      </c>
      <c r="U94" s="20">
        <v>5.6471686447017665E-5</v>
      </c>
      <c r="V94" s="23">
        <v>350.83230034489804</v>
      </c>
      <c r="W94" s="20">
        <v>1.0083998320033923E-3</v>
      </c>
      <c r="X94" s="23">
        <f t="shared" si="5"/>
        <v>350.40873111856234</v>
      </c>
      <c r="Y94" s="23">
        <f t="shared" si="6"/>
        <v>28.884172441134012</v>
      </c>
      <c r="Z94" s="23">
        <f t="shared" si="7"/>
        <v>86.652517323402037</v>
      </c>
      <c r="AA94" s="23">
        <f t="shared" si="8"/>
        <v>437.06124844196438</v>
      </c>
      <c r="AB94" s="36">
        <f t="shared" si="9"/>
        <v>8.703121656845514E-4</v>
      </c>
      <c r="AC94" t="s">
        <v>260</v>
      </c>
    </row>
    <row r="95" spans="1:29" ht="14.55" hidden="1" outlineLevel="1" x14ac:dyDescent="0.3">
      <c r="A95" s="22" t="s">
        <v>127</v>
      </c>
      <c r="B95" s="23">
        <v>0.70396688223833837</v>
      </c>
      <c r="C95" s="20">
        <v>3.9078577915182277E-5</v>
      </c>
      <c r="D95" s="23">
        <v>1.2453256371889958</v>
      </c>
      <c r="E95" s="20">
        <v>4.803021139201644E-5</v>
      </c>
      <c r="F95" s="23">
        <v>1.3426264447432763</v>
      </c>
      <c r="G95" s="20">
        <v>3.7303461271668077E-5</v>
      </c>
      <c r="H95" s="23">
        <v>2.4369266946077559</v>
      </c>
      <c r="I95" s="20">
        <v>9.0577899205625077E-5</v>
      </c>
      <c r="J95" s="23">
        <v>1.9170350890632191</v>
      </c>
      <c r="K95" s="20">
        <v>5.8893800539528663E-5</v>
      </c>
      <c r="L95" s="23">
        <v>0.95548471719532602</v>
      </c>
      <c r="M95" s="20">
        <v>2.432443816557088E-5</v>
      </c>
      <c r="N95" s="23">
        <v>1.6327393097831702</v>
      </c>
      <c r="O95" s="20">
        <v>2.8525968469162361E-5</v>
      </c>
      <c r="P95" s="23">
        <v>0.62791576071992994</v>
      </c>
      <c r="Q95" s="20">
        <v>1.2055279663071415E-5</v>
      </c>
      <c r="R95" s="23">
        <v>0.74754561700653399</v>
      </c>
      <c r="S95" s="20">
        <v>1.4261740476374577E-5</v>
      </c>
      <c r="T95" s="23">
        <v>0.44631061620468199</v>
      </c>
      <c r="U95" s="20">
        <v>5.9503645707045256E-5</v>
      </c>
      <c r="V95" s="23">
        <v>12.055876768751228</v>
      </c>
      <c r="W95" s="20">
        <v>3.4652294262275252E-5</v>
      </c>
      <c r="X95" s="23">
        <f t="shared" si="5"/>
        <v>11.609566152546545</v>
      </c>
      <c r="Y95" s="23">
        <f t="shared" si="6"/>
        <v>1.0027335625032114</v>
      </c>
      <c r="Z95" s="23">
        <f t="shared" si="7"/>
        <v>3.0082006875096345</v>
      </c>
      <c r="AA95" s="23">
        <f t="shared" si="8"/>
        <v>14.617766840056181</v>
      </c>
      <c r="AB95" s="36">
        <f t="shared" si="9"/>
        <v>2.9108094944112674E-5</v>
      </c>
      <c r="AC95" t="s">
        <v>260</v>
      </c>
    </row>
    <row r="96" spans="1:29" collapsed="1" x14ac:dyDescent="0.3">
      <c r="A96" s="19" t="s">
        <v>91</v>
      </c>
      <c r="B96" s="23">
        <v>20.077948676141499</v>
      </c>
      <c r="C96" s="20">
        <v>1.1145661841688492E-3</v>
      </c>
      <c r="D96" s="23">
        <v>20.702818812446822</v>
      </c>
      <c r="E96" s="20">
        <v>7.9847449878005467E-4</v>
      </c>
      <c r="F96" s="23">
        <v>42.294975722998103</v>
      </c>
      <c r="G96" s="20">
        <v>1.1751213414917376E-3</v>
      </c>
      <c r="H96" s="23">
        <v>26.1553485403773</v>
      </c>
      <c r="I96" s="20">
        <v>9.7216569091735218E-4</v>
      </c>
      <c r="J96" s="23">
        <v>37.893762674504799</v>
      </c>
      <c r="K96" s="20">
        <v>1.1641454626347351E-3</v>
      </c>
      <c r="L96" s="23">
        <v>35.1705881313746</v>
      </c>
      <c r="M96" s="20">
        <v>8.953620930323002E-4</v>
      </c>
      <c r="N96" s="23">
        <v>35.382449011785198</v>
      </c>
      <c r="O96" s="20">
        <v>6.1817500125354869E-4</v>
      </c>
      <c r="P96" s="23">
        <v>34.259437219434396</v>
      </c>
      <c r="Q96" s="20">
        <v>6.5774284166110215E-4</v>
      </c>
      <c r="R96" s="23">
        <v>27.374529758924002</v>
      </c>
      <c r="S96" s="20">
        <v>5.2225366613467073E-4</v>
      </c>
      <c r="T96" s="23">
        <v>3.7294501871050798</v>
      </c>
      <c r="U96" s="20">
        <v>4.9722295315915519E-4</v>
      </c>
      <c r="V96" s="23">
        <v>283.04130873509177</v>
      </c>
      <c r="W96" s="20">
        <v>8.1354769186843924E-4</v>
      </c>
      <c r="X96" s="23">
        <f t="shared" si="5"/>
        <v>279.31185854798667</v>
      </c>
      <c r="Y96" s="23">
        <f t="shared" si="6"/>
        <v>32.338805330047862</v>
      </c>
      <c r="Z96" s="23">
        <f t="shared" si="7"/>
        <v>97.016415990143585</v>
      </c>
      <c r="AA96" s="23">
        <f t="shared" si="8"/>
        <v>376.32827453813024</v>
      </c>
      <c r="AB96" s="36">
        <f t="shared" si="9"/>
        <v>7.493756922837808E-4</v>
      </c>
      <c r="AC96" t="s">
        <v>260</v>
      </c>
    </row>
    <row r="97" spans="1:29" ht="14.55" hidden="1" outlineLevel="1" x14ac:dyDescent="0.3">
      <c r="A97" s="22" t="s">
        <v>91</v>
      </c>
      <c r="B97" s="23">
        <v>20.077948676141499</v>
      </c>
      <c r="C97" s="20">
        <v>1.1145661841688492E-3</v>
      </c>
      <c r="D97" s="23">
        <v>20.702818812446822</v>
      </c>
      <c r="E97" s="20">
        <v>7.9847449878005467E-4</v>
      </c>
      <c r="F97" s="23">
        <v>42.294975722998103</v>
      </c>
      <c r="G97" s="20">
        <v>1.1751213414917376E-3</v>
      </c>
      <c r="H97" s="23">
        <v>26.1553485403773</v>
      </c>
      <c r="I97" s="20">
        <v>9.7216569091735218E-4</v>
      </c>
      <c r="J97" s="23">
        <v>37.893762674504799</v>
      </c>
      <c r="K97" s="20">
        <v>1.1641454626347351E-3</v>
      </c>
      <c r="L97" s="23">
        <v>35.1705881313746</v>
      </c>
      <c r="M97" s="20">
        <v>8.953620930323002E-4</v>
      </c>
      <c r="N97" s="23">
        <v>35.382449011785198</v>
      </c>
      <c r="O97" s="20">
        <v>6.1817500125354869E-4</v>
      </c>
      <c r="P97" s="23">
        <v>34.259437219434396</v>
      </c>
      <c r="Q97" s="20">
        <v>6.5774284166110215E-4</v>
      </c>
      <c r="R97" s="23">
        <v>27.374529758924002</v>
      </c>
      <c r="S97" s="20">
        <v>5.2225366613467073E-4</v>
      </c>
      <c r="T97" s="23">
        <v>3.7294501871050798</v>
      </c>
      <c r="U97" s="20">
        <v>4.9722295315915519E-4</v>
      </c>
      <c r="V97" s="23">
        <v>283.04130873509177</v>
      </c>
      <c r="W97" s="20">
        <v>8.1354769186843924E-4</v>
      </c>
      <c r="X97" s="23">
        <f t="shared" si="5"/>
        <v>279.31185854798667</v>
      </c>
      <c r="Y97" s="23">
        <f t="shared" si="6"/>
        <v>32.338805330047862</v>
      </c>
      <c r="Z97" s="23">
        <f t="shared" si="7"/>
        <v>97.016415990143585</v>
      </c>
      <c r="AA97" s="23">
        <f t="shared" si="8"/>
        <v>376.32827453813024</v>
      </c>
      <c r="AB97" s="36">
        <f t="shared" si="9"/>
        <v>7.493756922837808E-4</v>
      </c>
      <c r="AC97" t="s">
        <v>260</v>
      </c>
    </row>
    <row r="98" spans="1:29" collapsed="1" x14ac:dyDescent="0.3">
      <c r="A98" s="19" t="s">
        <v>94</v>
      </c>
      <c r="B98" s="23">
        <v>31.075035513112599</v>
      </c>
      <c r="C98" s="20">
        <v>1.7250359742137481E-3</v>
      </c>
      <c r="D98" s="23">
        <v>30.449335892058201</v>
      </c>
      <c r="E98" s="20">
        <v>1.1743820218326683E-3</v>
      </c>
      <c r="F98" s="23">
        <v>31.141996797080601</v>
      </c>
      <c r="G98" s="20">
        <v>8.6524757201876577E-4</v>
      </c>
      <c r="H98" s="23">
        <v>29.476224399496498</v>
      </c>
      <c r="I98" s="20">
        <v>1.0955990135147347E-3</v>
      </c>
      <c r="J98" s="23">
        <v>28.718007213105199</v>
      </c>
      <c r="K98" s="20">
        <v>8.8225437205108337E-4</v>
      </c>
      <c r="L98" s="23">
        <v>26.682052985204901</v>
      </c>
      <c r="M98" s="20">
        <v>6.7926355732220959E-4</v>
      </c>
      <c r="N98" s="23">
        <v>27.440910667789701</v>
      </c>
      <c r="O98" s="20">
        <v>4.7942653660885037E-4</v>
      </c>
      <c r="P98" s="23">
        <v>20.8601121675668</v>
      </c>
      <c r="Q98" s="20">
        <v>4.0049080101880438E-4</v>
      </c>
      <c r="R98" s="23">
        <v>19.959118371868101</v>
      </c>
      <c r="S98" s="20">
        <v>3.8078180097781875E-4</v>
      </c>
      <c r="T98" s="23">
        <v>4.3051580879999998</v>
      </c>
      <c r="U98" s="20">
        <v>5.7397828391267608E-4</v>
      </c>
      <c r="V98" s="23">
        <v>250.1079520952826</v>
      </c>
      <c r="W98" s="20">
        <v>7.188871053995106E-4</v>
      </c>
      <c r="X98" s="23">
        <f t="shared" si="5"/>
        <v>245.80279400728259</v>
      </c>
      <c r="Y98" s="23">
        <f t="shared" si="6"/>
        <v>22.753380402408201</v>
      </c>
      <c r="Z98" s="23">
        <f t="shared" si="7"/>
        <v>68.260141207224606</v>
      </c>
      <c r="AA98" s="23">
        <f t="shared" si="8"/>
        <v>314.06293521450721</v>
      </c>
      <c r="AB98" s="36">
        <f t="shared" si="9"/>
        <v>6.253878473146756E-4</v>
      </c>
      <c r="AC98" t="s">
        <v>260</v>
      </c>
    </row>
    <row r="99" spans="1:29" ht="14.55" hidden="1" outlineLevel="1" x14ac:dyDescent="0.3">
      <c r="A99" s="22" t="s">
        <v>94</v>
      </c>
      <c r="B99" s="23">
        <v>31.075035513112599</v>
      </c>
      <c r="C99" s="20">
        <v>1.7250359742137481E-3</v>
      </c>
      <c r="D99" s="23">
        <v>30.449335892058201</v>
      </c>
      <c r="E99" s="20">
        <v>1.1743820218326683E-3</v>
      </c>
      <c r="F99" s="23">
        <v>31.141996797080601</v>
      </c>
      <c r="G99" s="20">
        <v>8.6524757201876577E-4</v>
      </c>
      <c r="H99" s="23">
        <v>29.476224399496498</v>
      </c>
      <c r="I99" s="20">
        <v>1.0955990135147347E-3</v>
      </c>
      <c r="J99" s="23">
        <v>28.718007213105199</v>
      </c>
      <c r="K99" s="20">
        <v>8.8225437205108337E-4</v>
      </c>
      <c r="L99" s="23">
        <v>26.682052985204901</v>
      </c>
      <c r="M99" s="20">
        <v>6.7926355732220959E-4</v>
      </c>
      <c r="N99" s="23">
        <v>27.440910667789701</v>
      </c>
      <c r="O99" s="20">
        <v>4.7942653660885037E-4</v>
      </c>
      <c r="P99" s="23">
        <v>20.8601121675668</v>
      </c>
      <c r="Q99" s="20">
        <v>4.0049080101880438E-4</v>
      </c>
      <c r="R99" s="23">
        <v>19.959118371868101</v>
      </c>
      <c r="S99" s="20">
        <v>3.8078180097781875E-4</v>
      </c>
      <c r="T99" s="23">
        <v>4.3051580879999998</v>
      </c>
      <c r="U99" s="20">
        <v>5.7397828391267608E-4</v>
      </c>
      <c r="V99" s="23">
        <v>250.1079520952826</v>
      </c>
      <c r="W99" s="20">
        <v>7.188871053995106E-4</v>
      </c>
      <c r="X99" s="23">
        <f t="shared" si="5"/>
        <v>245.80279400728259</v>
      </c>
      <c r="Y99" s="23">
        <f t="shared" si="6"/>
        <v>22.753380402408201</v>
      </c>
      <c r="Z99" s="23">
        <f t="shared" si="7"/>
        <v>68.260141207224606</v>
      </c>
      <c r="AA99" s="23">
        <f t="shared" si="8"/>
        <v>314.06293521450721</v>
      </c>
      <c r="AB99" s="36">
        <f t="shared" si="9"/>
        <v>6.253878473146756E-4</v>
      </c>
      <c r="AC99" t="s">
        <v>260</v>
      </c>
    </row>
    <row r="100" spans="1:29" collapsed="1" x14ac:dyDescent="0.3">
      <c r="A100" s="19" t="s">
        <v>75</v>
      </c>
      <c r="B100" s="23">
        <v>135.1394147659897</v>
      </c>
      <c r="C100" s="20">
        <v>7.5018531163755561E-3</v>
      </c>
      <c r="D100" s="23">
        <v>108.0621180362802</v>
      </c>
      <c r="E100" s="20">
        <v>4.1677824801448918E-3</v>
      </c>
      <c r="F100" s="23"/>
      <c r="G100" s="20">
        <v>0</v>
      </c>
      <c r="H100" s="23"/>
      <c r="I100" s="20">
        <v>0</v>
      </c>
      <c r="J100" s="23"/>
      <c r="K100" s="20">
        <v>0</v>
      </c>
      <c r="L100" s="23"/>
      <c r="M100" s="20">
        <v>0</v>
      </c>
      <c r="N100" s="23"/>
      <c r="O100" s="20">
        <v>0</v>
      </c>
      <c r="P100" s="23"/>
      <c r="Q100" s="20">
        <v>0</v>
      </c>
      <c r="R100" s="23"/>
      <c r="S100" s="20">
        <v>0</v>
      </c>
      <c r="T100" s="23"/>
      <c r="U100" s="20">
        <v>0</v>
      </c>
      <c r="V100" s="23">
        <v>243.2015328022699</v>
      </c>
      <c r="W100" s="20">
        <v>6.990359342046908E-4</v>
      </c>
      <c r="X100" s="23">
        <f t="shared" si="5"/>
        <v>243.2015328022699</v>
      </c>
      <c r="Y100" s="23">
        <f t="shared" si="6"/>
        <v>0</v>
      </c>
      <c r="Z100" s="23">
        <f t="shared" si="7"/>
        <v>0</v>
      </c>
      <c r="AA100" s="23">
        <f t="shared" si="8"/>
        <v>243.2015328022699</v>
      </c>
      <c r="AB100" s="36">
        <f t="shared" si="9"/>
        <v>4.8428281726068339E-4</v>
      </c>
      <c r="AC100" t="s">
        <v>260</v>
      </c>
    </row>
    <row r="101" spans="1:29" ht="14.55" hidden="1" outlineLevel="1" x14ac:dyDescent="0.3">
      <c r="A101" s="22" t="s">
        <v>75</v>
      </c>
      <c r="B101" s="23">
        <v>135.1394147659897</v>
      </c>
      <c r="C101" s="20">
        <v>7.5018531163755561E-3</v>
      </c>
      <c r="D101" s="23">
        <v>108.0621180362802</v>
      </c>
      <c r="E101" s="20">
        <v>4.1677824801448918E-3</v>
      </c>
      <c r="F101" s="23"/>
      <c r="G101" s="20">
        <v>0</v>
      </c>
      <c r="H101" s="23"/>
      <c r="I101" s="20">
        <v>0</v>
      </c>
      <c r="J101" s="23"/>
      <c r="K101" s="20">
        <v>0</v>
      </c>
      <c r="L101" s="23"/>
      <c r="M101" s="20">
        <v>0</v>
      </c>
      <c r="N101" s="23"/>
      <c r="O101" s="20">
        <v>0</v>
      </c>
      <c r="P101" s="23"/>
      <c r="Q101" s="20">
        <v>0</v>
      </c>
      <c r="R101" s="23"/>
      <c r="S101" s="20">
        <v>0</v>
      </c>
      <c r="T101" s="23"/>
      <c r="U101" s="20">
        <v>0</v>
      </c>
      <c r="V101" s="23">
        <v>243.2015328022699</v>
      </c>
      <c r="W101" s="20">
        <v>6.990359342046908E-4</v>
      </c>
      <c r="X101" s="23">
        <f t="shared" si="5"/>
        <v>243.2015328022699</v>
      </c>
      <c r="Y101" s="23">
        <f t="shared" si="6"/>
        <v>0</v>
      </c>
      <c r="Z101" s="23">
        <f t="shared" si="7"/>
        <v>0</v>
      </c>
      <c r="AA101" s="23">
        <f t="shared" si="8"/>
        <v>243.2015328022699</v>
      </c>
      <c r="AB101" s="36">
        <f t="shared" si="9"/>
        <v>4.8428281726068339E-4</v>
      </c>
      <c r="AC101" t="s">
        <v>260</v>
      </c>
    </row>
    <row r="102" spans="1:29" collapsed="1" x14ac:dyDescent="0.3">
      <c r="A102" s="19" t="s">
        <v>88</v>
      </c>
      <c r="B102" s="23">
        <v>20.8715473342282</v>
      </c>
      <c r="C102" s="20">
        <v>1.158620397194918E-3</v>
      </c>
      <c r="D102" s="23">
        <v>22.28171180436</v>
      </c>
      <c r="E102" s="20">
        <v>8.5936986775209351E-4</v>
      </c>
      <c r="F102" s="23">
        <v>24.889796433029801</v>
      </c>
      <c r="G102" s="20">
        <v>6.9153677177628012E-4</v>
      </c>
      <c r="H102" s="23">
        <v>24.742830603795902</v>
      </c>
      <c r="I102" s="20">
        <v>9.1966394452961319E-4</v>
      </c>
      <c r="J102" s="23">
        <v>26.9582197668242</v>
      </c>
      <c r="K102" s="20">
        <v>8.2819142273705449E-4</v>
      </c>
      <c r="L102" s="23">
        <v>25.918291971274201</v>
      </c>
      <c r="M102" s="20">
        <v>6.598199626500059E-4</v>
      </c>
      <c r="N102" s="23">
        <v>27.738649935969001</v>
      </c>
      <c r="O102" s="20">
        <v>4.8462840865616579E-4</v>
      </c>
      <c r="P102" s="23">
        <v>27.285025426494002</v>
      </c>
      <c r="Q102" s="20">
        <v>5.2384194299131799E-4</v>
      </c>
      <c r="R102" s="23">
        <v>13.3047306335776</v>
      </c>
      <c r="S102" s="20">
        <v>2.5382881136268629E-4</v>
      </c>
      <c r="T102" s="23">
        <v>2.8470203283791999</v>
      </c>
      <c r="U102" s="20">
        <v>3.7957441026439644E-4</v>
      </c>
      <c r="V102" s="23">
        <v>216.8378242379321</v>
      </c>
      <c r="W102" s="20">
        <v>6.2325853497112774E-4</v>
      </c>
      <c r="X102" s="23">
        <f t="shared" si="5"/>
        <v>213.99080390955291</v>
      </c>
      <c r="Y102" s="23">
        <f t="shared" si="6"/>
        <v>22.776135332013535</v>
      </c>
      <c r="Z102" s="23">
        <f t="shared" si="7"/>
        <v>68.328405996040601</v>
      </c>
      <c r="AA102" s="23">
        <f t="shared" si="8"/>
        <v>282.31920990559354</v>
      </c>
      <c r="AB102" s="36">
        <f t="shared" si="9"/>
        <v>5.6217714076272057E-4</v>
      </c>
      <c r="AC102" t="s">
        <v>260</v>
      </c>
    </row>
    <row r="103" spans="1:29" hidden="1" outlineLevel="1" x14ac:dyDescent="0.3">
      <c r="A103" s="22" t="s">
        <v>88</v>
      </c>
      <c r="B103" s="23">
        <v>20.8715473342282</v>
      </c>
      <c r="C103" s="20">
        <v>1.158620397194918E-3</v>
      </c>
      <c r="D103" s="23">
        <v>22.28171180436</v>
      </c>
      <c r="E103" s="20">
        <v>8.5936986775209351E-4</v>
      </c>
      <c r="F103" s="23">
        <v>24.889796433029801</v>
      </c>
      <c r="G103" s="20">
        <v>6.9153677177628012E-4</v>
      </c>
      <c r="H103" s="23">
        <v>24.742830603795902</v>
      </c>
      <c r="I103" s="20">
        <v>9.1966394452961319E-4</v>
      </c>
      <c r="J103" s="23">
        <v>26.9582197668242</v>
      </c>
      <c r="K103" s="20">
        <v>8.2819142273705449E-4</v>
      </c>
      <c r="L103" s="23">
        <v>25.918291971274201</v>
      </c>
      <c r="M103" s="20">
        <v>6.598199626500059E-4</v>
      </c>
      <c r="N103" s="23">
        <v>27.738649935969001</v>
      </c>
      <c r="O103" s="20">
        <v>4.8462840865616579E-4</v>
      </c>
      <c r="P103" s="23">
        <v>27.285025426494002</v>
      </c>
      <c r="Q103" s="20">
        <v>5.2384194299131799E-4</v>
      </c>
      <c r="R103" s="23">
        <v>13.3047306335776</v>
      </c>
      <c r="S103" s="20">
        <v>2.5382881136268629E-4</v>
      </c>
      <c r="T103" s="23">
        <v>2.8470203283791999</v>
      </c>
      <c r="U103" s="20">
        <v>3.7957441026439644E-4</v>
      </c>
      <c r="V103" s="23">
        <v>216.8378242379321</v>
      </c>
      <c r="W103" s="20">
        <v>6.2325853497112774E-4</v>
      </c>
      <c r="X103" s="23">
        <f t="shared" si="5"/>
        <v>213.99080390955291</v>
      </c>
      <c r="Y103" s="23">
        <f t="shared" si="6"/>
        <v>22.776135332013535</v>
      </c>
      <c r="Z103" s="23">
        <f t="shared" si="7"/>
        <v>68.328405996040601</v>
      </c>
      <c r="AA103" s="23">
        <f t="shared" si="8"/>
        <v>282.31920990559354</v>
      </c>
      <c r="AB103" s="36">
        <f t="shared" si="9"/>
        <v>5.6217714076272057E-4</v>
      </c>
      <c r="AC103" t="s">
        <v>260</v>
      </c>
    </row>
    <row r="104" spans="1:29" collapsed="1" x14ac:dyDescent="0.3">
      <c r="A104" s="19" t="s">
        <v>87</v>
      </c>
      <c r="B104" s="23">
        <v>0.98678538532475002</v>
      </c>
      <c r="C104" s="20">
        <v>5.4778385942480485E-5</v>
      </c>
      <c r="D104" s="23">
        <v>1.3832438808179999</v>
      </c>
      <c r="E104" s="20">
        <v>5.3349496724701973E-5</v>
      </c>
      <c r="F104" s="23">
        <v>0.58479455741209996</v>
      </c>
      <c r="G104" s="20">
        <v>1.6247900679831883E-5</v>
      </c>
      <c r="H104" s="23">
        <v>2.8839852369794001</v>
      </c>
      <c r="I104" s="20">
        <v>1.0719457613708702E-4</v>
      </c>
      <c r="J104" s="23">
        <v>6.2831281174938001</v>
      </c>
      <c r="K104" s="20">
        <v>1.9302583256147231E-4</v>
      </c>
      <c r="L104" s="23">
        <v>7.1286216174304</v>
      </c>
      <c r="M104" s="20">
        <v>1.8147827235575785E-4</v>
      </c>
      <c r="N104" s="23">
        <v>180.51963328248939</v>
      </c>
      <c r="O104" s="20">
        <v>3.1539005254702323E-3</v>
      </c>
      <c r="P104" s="23">
        <v>1.4439384268017501</v>
      </c>
      <c r="Q104" s="20">
        <v>2.7722001326089622E-5</v>
      </c>
      <c r="R104" s="23">
        <v>5.3543070938685</v>
      </c>
      <c r="S104" s="20">
        <v>1.0214993769791105E-4</v>
      </c>
      <c r="T104" s="23">
        <v>0.4443338668804</v>
      </c>
      <c r="U104" s="20">
        <v>5.9240098779920911E-5</v>
      </c>
      <c r="V104" s="23">
        <v>207.0127714654985</v>
      </c>
      <c r="W104" s="20">
        <v>5.9501831434319102E-4</v>
      </c>
      <c r="X104" s="23">
        <f t="shared" si="5"/>
        <v>206.56843759861809</v>
      </c>
      <c r="Y104" s="23">
        <f t="shared" si="6"/>
        <v>62.439292934386543</v>
      </c>
      <c r="Z104" s="23">
        <f t="shared" si="7"/>
        <v>187.31787880315963</v>
      </c>
      <c r="AA104" s="23">
        <f t="shared" si="8"/>
        <v>393.88631640177772</v>
      </c>
      <c r="AB104" s="36">
        <f t="shared" si="9"/>
        <v>7.8433870374728775E-4</v>
      </c>
      <c r="AC104" t="s">
        <v>260</v>
      </c>
    </row>
    <row r="105" spans="1:29" ht="14.55" hidden="1" outlineLevel="1" x14ac:dyDescent="0.3">
      <c r="A105" s="22" t="s">
        <v>87</v>
      </c>
      <c r="B105" s="23">
        <v>0.98678538532475002</v>
      </c>
      <c r="C105" s="20">
        <v>5.4778385942480485E-5</v>
      </c>
      <c r="D105" s="23">
        <v>1.3832438808179999</v>
      </c>
      <c r="E105" s="20">
        <v>5.3349496724701973E-5</v>
      </c>
      <c r="F105" s="23">
        <v>0.58479455741209996</v>
      </c>
      <c r="G105" s="20">
        <v>1.6247900679831883E-5</v>
      </c>
      <c r="H105" s="23">
        <v>2.8839852369794001</v>
      </c>
      <c r="I105" s="20">
        <v>1.0719457613708702E-4</v>
      </c>
      <c r="J105" s="23">
        <v>6.2831281174938001</v>
      </c>
      <c r="K105" s="20">
        <v>1.9302583256147231E-4</v>
      </c>
      <c r="L105" s="23">
        <v>7.1286216174304</v>
      </c>
      <c r="M105" s="20">
        <v>1.8147827235575785E-4</v>
      </c>
      <c r="N105" s="23">
        <v>180.51963328248939</v>
      </c>
      <c r="O105" s="20">
        <v>3.1539005254702323E-3</v>
      </c>
      <c r="P105" s="23">
        <v>1.4439384268017501</v>
      </c>
      <c r="Q105" s="20">
        <v>2.7722001326089622E-5</v>
      </c>
      <c r="R105" s="23">
        <v>5.3543070938685</v>
      </c>
      <c r="S105" s="20">
        <v>1.0214993769791105E-4</v>
      </c>
      <c r="T105" s="23">
        <v>0.4443338668804</v>
      </c>
      <c r="U105" s="20">
        <v>5.9240098779920911E-5</v>
      </c>
      <c r="V105" s="23">
        <v>207.0127714654985</v>
      </c>
      <c r="W105" s="20">
        <v>5.9501831434319102E-4</v>
      </c>
      <c r="X105" s="23">
        <f t="shared" si="5"/>
        <v>206.56843759861809</v>
      </c>
      <c r="Y105" s="23">
        <f t="shared" si="6"/>
        <v>62.439292934386543</v>
      </c>
      <c r="Z105" s="23">
        <f t="shared" si="7"/>
        <v>187.31787880315963</v>
      </c>
      <c r="AA105" s="23">
        <f t="shared" si="8"/>
        <v>393.88631640177772</v>
      </c>
      <c r="AB105" s="36">
        <f t="shared" si="9"/>
        <v>7.8433870374728775E-4</v>
      </c>
      <c r="AC105" t="s">
        <v>260</v>
      </c>
    </row>
    <row r="106" spans="1:29" collapsed="1" x14ac:dyDescent="0.3">
      <c r="A106" s="66" t="s">
        <v>96</v>
      </c>
      <c r="B106" s="23">
        <v>25.794958607673749</v>
      </c>
      <c r="C106" s="20">
        <v>1.4319285824408951E-3</v>
      </c>
      <c r="D106" s="23">
        <v>25.170701872943997</v>
      </c>
      <c r="E106" s="20">
        <v>9.7079357859509671E-4</v>
      </c>
      <c r="F106" s="23">
        <v>28.412421639296451</v>
      </c>
      <c r="G106" s="20">
        <v>7.894092019455636E-4</v>
      </c>
      <c r="H106" s="23">
        <v>28.324468129557602</v>
      </c>
      <c r="I106" s="20">
        <v>1.052789492999074E-3</v>
      </c>
      <c r="J106" s="23">
        <v>29.5974478428273</v>
      </c>
      <c r="K106" s="20">
        <v>9.0927192709151848E-4</v>
      </c>
      <c r="L106" s="23">
        <v>9.7800561621269999</v>
      </c>
      <c r="M106" s="20">
        <v>2.4897768335821203E-4</v>
      </c>
      <c r="N106" s="23">
        <v>7.0930224551183993</v>
      </c>
      <c r="O106" s="20">
        <v>1.2392384607475302E-4</v>
      </c>
      <c r="P106" s="23">
        <v>6.9759167164995004</v>
      </c>
      <c r="Q106" s="20">
        <v>1.3392979151737852E-4</v>
      </c>
      <c r="R106" s="23">
        <v>6.7879282358940003</v>
      </c>
      <c r="S106" s="20">
        <v>1.2950068687477727E-4</v>
      </c>
      <c r="T106" s="23">
        <v>1.4522710565964001</v>
      </c>
      <c r="U106" s="20">
        <v>1.9362170489504462E-4</v>
      </c>
      <c r="V106" s="23">
        <v>169.38919271853442</v>
      </c>
      <c r="W106" s="20">
        <v>4.8687658836611561E-4</v>
      </c>
      <c r="X106" s="23">
        <f t="shared" si="5"/>
        <v>167.93692166193802</v>
      </c>
      <c r="Y106" s="23">
        <f t="shared" si="6"/>
        <v>6.9522891358373</v>
      </c>
      <c r="Z106" s="23">
        <f t="shared" si="7"/>
        <v>20.856867407511899</v>
      </c>
      <c r="AA106" s="23">
        <f t="shared" si="8"/>
        <v>188.79378906944993</v>
      </c>
      <c r="AB106" s="36">
        <f t="shared" si="9"/>
        <v>3.7594166039326495E-4</v>
      </c>
      <c r="AC106" t="s">
        <v>260</v>
      </c>
    </row>
    <row r="107" spans="1:29" hidden="1" outlineLevel="1" x14ac:dyDescent="0.3">
      <c r="A107" s="22" t="s">
        <v>96</v>
      </c>
      <c r="B107" s="23">
        <v>25.794958607673749</v>
      </c>
      <c r="C107" s="20">
        <v>1.4319285824408951E-3</v>
      </c>
      <c r="D107" s="23">
        <v>25.170701872943997</v>
      </c>
      <c r="E107" s="20">
        <v>9.7079357859509671E-4</v>
      </c>
      <c r="F107" s="23">
        <v>28.412421639296451</v>
      </c>
      <c r="G107" s="20">
        <v>7.894092019455636E-4</v>
      </c>
      <c r="H107" s="23">
        <v>28.324468129557602</v>
      </c>
      <c r="I107" s="20">
        <v>1.052789492999074E-3</v>
      </c>
      <c r="J107" s="23">
        <v>29.5974478428273</v>
      </c>
      <c r="K107" s="20">
        <v>9.0927192709151848E-4</v>
      </c>
      <c r="L107" s="23">
        <v>9.7800561621269999</v>
      </c>
      <c r="M107" s="20">
        <v>2.4897768335821203E-4</v>
      </c>
      <c r="N107" s="23">
        <v>7.0930224551183993</v>
      </c>
      <c r="O107" s="20">
        <v>1.2392384607475302E-4</v>
      </c>
      <c r="P107" s="23">
        <v>6.9759167164995004</v>
      </c>
      <c r="Q107" s="20">
        <v>1.3392979151737852E-4</v>
      </c>
      <c r="R107" s="23">
        <v>6.7879282358940003</v>
      </c>
      <c r="S107" s="20">
        <v>1.2950068687477727E-4</v>
      </c>
      <c r="T107" s="23">
        <v>1.4522710565964001</v>
      </c>
      <c r="U107" s="20">
        <v>1.9362170489504462E-4</v>
      </c>
      <c r="V107" s="23">
        <v>169.38919271853442</v>
      </c>
      <c r="W107" s="20">
        <v>4.8687658836611561E-4</v>
      </c>
      <c r="X107" s="23">
        <f t="shared" si="5"/>
        <v>167.93692166193802</v>
      </c>
      <c r="Y107" s="23">
        <f t="shared" si="6"/>
        <v>6.9522891358373</v>
      </c>
      <c r="Z107" s="23">
        <f t="shared" si="7"/>
        <v>20.856867407511899</v>
      </c>
      <c r="AA107" s="23">
        <f t="shared" si="8"/>
        <v>188.79378906944993</v>
      </c>
      <c r="AB107" s="36">
        <f t="shared" si="9"/>
        <v>3.7594166039326495E-4</v>
      </c>
      <c r="AC107" t="s">
        <v>260</v>
      </c>
    </row>
    <row r="108" spans="1:29" collapsed="1" x14ac:dyDescent="0.3">
      <c r="A108" s="19" t="s">
        <v>74</v>
      </c>
      <c r="B108" s="23">
        <v>2.3859186999999999</v>
      </c>
      <c r="C108" s="20">
        <v>1.3244701159915247E-4</v>
      </c>
      <c r="D108" s="23">
        <v>3.3603864379999999</v>
      </c>
      <c r="E108" s="20">
        <v>1.29604712338794E-4</v>
      </c>
      <c r="F108" s="23">
        <v>16.086348650034999</v>
      </c>
      <c r="G108" s="20">
        <v>4.469422498108707E-4</v>
      </c>
      <c r="H108" s="23">
        <v>9.0214632612199992</v>
      </c>
      <c r="I108" s="20">
        <v>3.3531791980864707E-4</v>
      </c>
      <c r="J108" s="23">
        <v>0.87948291000000001</v>
      </c>
      <c r="K108" s="20">
        <v>2.7018853945326053E-5</v>
      </c>
      <c r="L108" s="23">
        <v>0.18670903999999999</v>
      </c>
      <c r="M108" s="20">
        <v>4.7531817272433458E-6</v>
      </c>
      <c r="N108" s="23">
        <v>0.73221831999999998</v>
      </c>
      <c r="O108" s="20">
        <v>1.2792756678123273E-5</v>
      </c>
      <c r="P108" s="23">
        <v>41.551056799999998</v>
      </c>
      <c r="Q108" s="20">
        <v>7.9773377474368979E-4</v>
      </c>
      <c r="R108" s="23">
        <v>18.104039887780001</v>
      </c>
      <c r="S108" s="20">
        <v>3.4539045187284551E-4</v>
      </c>
      <c r="T108" s="23">
        <v>2.4488894000000001</v>
      </c>
      <c r="U108" s="20">
        <v>3.2649424401437753E-4</v>
      </c>
      <c r="V108" s="23">
        <v>94.756513407035001</v>
      </c>
      <c r="W108" s="20">
        <v>2.7235933551997661E-4</v>
      </c>
      <c r="X108" s="23">
        <f t="shared" si="5"/>
        <v>92.307624007035002</v>
      </c>
      <c r="Y108" s="23">
        <f t="shared" si="6"/>
        <v>20.129105002593334</v>
      </c>
      <c r="Z108" s="23">
        <f t="shared" si="7"/>
        <v>60.387315007780003</v>
      </c>
      <c r="AA108" s="23">
        <f t="shared" si="8"/>
        <v>152.69493901481502</v>
      </c>
      <c r="AB108" s="36">
        <f t="shared" si="9"/>
        <v>3.0405867263864824E-4</v>
      </c>
      <c r="AC108" t="s">
        <v>260</v>
      </c>
    </row>
    <row r="109" spans="1:29" ht="14.55" hidden="1" outlineLevel="1" x14ac:dyDescent="0.3">
      <c r="A109" s="22" t="s">
        <v>121</v>
      </c>
      <c r="B109" s="23">
        <v>2.3859186999999999</v>
      </c>
      <c r="C109" s="20">
        <v>1.3244701159915247E-4</v>
      </c>
      <c r="D109" s="23">
        <v>3.3603864379999999</v>
      </c>
      <c r="E109" s="20">
        <v>1.29604712338794E-4</v>
      </c>
      <c r="F109" s="23">
        <v>16.086348650034999</v>
      </c>
      <c r="G109" s="20">
        <v>4.469422498108707E-4</v>
      </c>
      <c r="H109" s="23">
        <v>9.0214632612199992</v>
      </c>
      <c r="I109" s="20">
        <v>3.3531791980864707E-4</v>
      </c>
      <c r="J109" s="23">
        <v>0.87948291000000001</v>
      </c>
      <c r="K109" s="20">
        <v>2.7018853945326053E-5</v>
      </c>
      <c r="L109" s="23">
        <v>0.18670903999999999</v>
      </c>
      <c r="M109" s="20">
        <v>4.7531817272433458E-6</v>
      </c>
      <c r="N109" s="23">
        <v>0.73221831999999998</v>
      </c>
      <c r="O109" s="20">
        <v>1.2792756678123273E-5</v>
      </c>
      <c r="P109" s="23">
        <v>41.551056799999998</v>
      </c>
      <c r="Q109" s="20">
        <v>7.9773377474368979E-4</v>
      </c>
      <c r="R109" s="23">
        <v>18.104039887780001</v>
      </c>
      <c r="S109" s="20">
        <v>3.4539045187284551E-4</v>
      </c>
      <c r="T109" s="23">
        <v>2.4488894000000001</v>
      </c>
      <c r="U109" s="20">
        <v>3.2649424401437753E-4</v>
      </c>
      <c r="V109" s="23">
        <v>94.756513407035001</v>
      </c>
      <c r="W109" s="20">
        <v>2.7235933551997661E-4</v>
      </c>
      <c r="X109" s="23">
        <f t="shared" si="5"/>
        <v>92.307624007035002</v>
      </c>
      <c r="Y109" s="23">
        <f t="shared" si="6"/>
        <v>20.129105002593334</v>
      </c>
      <c r="Z109" s="23">
        <f t="shared" si="7"/>
        <v>60.387315007780003</v>
      </c>
      <c r="AA109" s="23">
        <f t="shared" si="8"/>
        <v>152.69493901481502</v>
      </c>
      <c r="AB109" s="36">
        <f t="shared" si="9"/>
        <v>3.0405867263864824E-4</v>
      </c>
      <c r="AC109" t="s">
        <v>260</v>
      </c>
    </row>
    <row r="110" spans="1:29" collapsed="1" x14ac:dyDescent="0.3">
      <c r="A110" s="66" t="s">
        <v>92</v>
      </c>
      <c r="B110" s="23"/>
      <c r="C110" s="20">
        <v>0</v>
      </c>
      <c r="D110" s="23"/>
      <c r="E110" s="20">
        <v>0</v>
      </c>
      <c r="F110" s="23"/>
      <c r="G110" s="20">
        <v>0</v>
      </c>
      <c r="H110" s="23"/>
      <c r="I110" s="20">
        <v>0</v>
      </c>
      <c r="J110" s="23"/>
      <c r="K110" s="20">
        <v>0</v>
      </c>
      <c r="L110" s="23"/>
      <c r="M110" s="20">
        <v>0</v>
      </c>
      <c r="N110" s="23">
        <v>0.18563326230521299</v>
      </c>
      <c r="O110" s="20">
        <v>3.2432419282227504E-6</v>
      </c>
      <c r="P110" s="23">
        <v>13.3694674665338</v>
      </c>
      <c r="Q110" s="20">
        <v>2.5667880842903046E-4</v>
      </c>
      <c r="R110" s="23">
        <v>5.5256252328369202</v>
      </c>
      <c r="S110" s="20">
        <v>1.0541836009418834E-4</v>
      </c>
      <c r="T110" s="23">
        <v>1.3822046154574199</v>
      </c>
      <c r="U110" s="20">
        <v>1.8428020922339478E-4</v>
      </c>
      <c r="V110" s="23">
        <v>20.462930577133356</v>
      </c>
      <c r="W110" s="20">
        <v>5.8816750156677635E-5</v>
      </c>
      <c r="X110" s="23">
        <f t="shared" si="5"/>
        <v>19.080725961675935</v>
      </c>
      <c r="Y110" s="23">
        <f t="shared" si="6"/>
        <v>6.3602419872253115</v>
      </c>
      <c r="Z110" s="23">
        <f t="shared" si="7"/>
        <v>19.080725961675935</v>
      </c>
      <c r="AA110" s="23">
        <f t="shared" si="8"/>
        <v>38.161451923351869</v>
      </c>
      <c r="AB110" s="36">
        <f t="shared" si="9"/>
        <v>7.5990209581551125E-5</v>
      </c>
      <c r="AC110" t="s">
        <v>260</v>
      </c>
    </row>
    <row r="111" spans="1:29" hidden="1" outlineLevel="1" x14ac:dyDescent="0.3">
      <c r="A111" s="22" t="s">
        <v>92</v>
      </c>
      <c r="B111" s="23"/>
      <c r="C111" s="20">
        <v>0</v>
      </c>
      <c r="D111" s="23"/>
      <c r="E111" s="20">
        <v>0</v>
      </c>
      <c r="F111" s="23"/>
      <c r="G111" s="20">
        <v>0</v>
      </c>
      <c r="H111" s="23"/>
      <c r="I111" s="20">
        <v>0</v>
      </c>
      <c r="J111" s="23"/>
      <c r="K111" s="20">
        <v>0</v>
      </c>
      <c r="L111" s="23"/>
      <c r="M111" s="20">
        <v>0</v>
      </c>
      <c r="N111" s="23">
        <v>0.18563326230521299</v>
      </c>
      <c r="O111" s="20">
        <v>3.2432419282227504E-6</v>
      </c>
      <c r="P111" s="23">
        <v>13.3694674665338</v>
      </c>
      <c r="Q111" s="20">
        <v>2.5667880842903046E-4</v>
      </c>
      <c r="R111" s="23">
        <v>5.5256252328369202</v>
      </c>
      <c r="S111" s="20">
        <v>1.0541836009418834E-4</v>
      </c>
      <c r="T111" s="23">
        <v>1.3822046154574199</v>
      </c>
      <c r="U111" s="20">
        <v>1.8428020922339478E-4</v>
      </c>
      <c r="V111" s="23">
        <v>20.462930577133356</v>
      </c>
      <c r="W111" s="20">
        <v>5.8816750156677635E-5</v>
      </c>
      <c r="X111" s="23">
        <f t="shared" si="5"/>
        <v>19.080725961675935</v>
      </c>
      <c r="Y111" s="23">
        <f t="shared" si="6"/>
        <v>6.3602419872253115</v>
      </c>
      <c r="Z111" s="23">
        <f t="shared" si="7"/>
        <v>19.080725961675935</v>
      </c>
      <c r="AA111" s="23">
        <f t="shared" si="8"/>
        <v>38.161451923351869</v>
      </c>
      <c r="AB111" s="36">
        <f t="shared" si="9"/>
        <v>7.5990209581551125E-5</v>
      </c>
      <c r="AC111" t="s">
        <v>260</v>
      </c>
    </row>
    <row r="112" spans="1:29" collapsed="1" x14ac:dyDescent="0.3">
      <c r="A112" s="19" t="s">
        <v>77</v>
      </c>
      <c r="B112" s="23">
        <v>2.1187702396208299</v>
      </c>
      <c r="C112" s="20">
        <v>1.1761707827806502E-4</v>
      </c>
      <c r="D112" s="23">
        <v>3.6424456785000001</v>
      </c>
      <c r="E112" s="20">
        <v>1.4048328461075519E-4</v>
      </c>
      <c r="F112" s="23">
        <v>4.2371971690450003</v>
      </c>
      <c r="G112" s="20">
        <v>1.1772605933299254E-4</v>
      </c>
      <c r="H112" s="23">
        <v>4.3365488766499993</v>
      </c>
      <c r="I112" s="20">
        <v>1.6118477749807494E-4</v>
      </c>
      <c r="J112" s="23">
        <v>0.76209638740000007</v>
      </c>
      <c r="K112" s="20">
        <v>2.34125879528702E-5</v>
      </c>
      <c r="L112" s="23">
        <v>9.7355427999999992E-4</v>
      </c>
      <c r="M112" s="20">
        <v>2.4784447577768875E-8</v>
      </c>
      <c r="N112" s="23">
        <v>8.8418815999999996E-4</v>
      </c>
      <c r="O112" s="20">
        <v>1.5447857120752631E-8</v>
      </c>
      <c r="P112" s="23">
        <v>8.4298610000000003E-4</v>
      </c>
      <c r="Q112" s="20">
        <v>1.6184389409067008E-8</v>
      </c>
      <c r="R112" s="23">
        <v>6.7714713000000004E-4</v>
      </c>
      <c r="S112" s="20">
        <v>1.2918672001654539E-8</v>
      </c>
      <c r="T112" s="23">
        <v>1.4486387999999999E-4</v>
      </c>
      <c r="U112" s="20">
        <v>1.9313744012118105E-8</v>
      </c>
      <c r="V112" s="23">
        <v>15.100581090765829</v>
      </c>
      <c r="W112" s="20">
        <v>4.3403710034999659E-5</v>
      </c>
      <c r="X112" s="23">
        <f t="shared" si="5"/>
        <v>15.100436226885829</v>
      </c>
      <c r="Y112" s="23">
        <f t="shared" si="6"/>
        <v>8.0144046333333345E-4</v>
      </c>
      <c r="Z112" s="23">
        <f t="shared" si="7"/>
        <v>2.4043213900000002E-3</v>
      </c>
      <c r="AA112" s="23">
        <f t="shared" si="8"/>
        <v>15.102840548275829</v>
      </c>
      <c r="AB112" s="36">
        <f t="shared" si="9"/>
        <v>3.0074013453296945E-5</v>
      </c>
      <c r="AC112" t="s">
        <v>260</v>
      </c>
    </row>
    <row r="113" spans="1:29" hidden="1" outlineLevel="1" x14ac:dyDescent="0.3">
      <c r="A113" s="22" t="s">
        <v>77</v>
      </c>
      <c r="B113" s="23">
        <v>2.1187702396208299</v>
      </c>
      <c r="C113" s="20">
        <v>1.1761707827806502E-4</v>
      </c>
      <c r="D113" s="23">
        <v>3.6424456785000001</v>
      </c>
      <c r="E113" s="20">
        <v>1.4048328461075519E-4</v>
      </c>
      <c r="F113" s="23">
        <v>4.2371971690450003</v>
      </c>
      <c r="G113" s="20">
        <v>1.1772605933299254E-4</v>
      </c>
      <c r="H113" s="23">
        <v>4.3365488766499993</v>
      </c>
      <c r="I113" s="20">
        <v>1.6118477749807494E-4</v>
      </c>
      <c r="J113" s="23">
        <v>0.76209638740000007</v>
      </c>
      <c r="K113" s="20">
        <v>2.34125879528702E-5</v>
      </c>
      <c r="L113" s="23">
        <v>9.7355427999999992E-4</v>
      </c>
      <c r="M113" s="20">
        <v>2.4784447577768875E-8</v>
      </c>
      <c r="N113" s="23">
        <v>8.8418815999999996E-4</v>
      </c>
      <c r="O113" s="20">
        <v>1.5447857120752631E-8</v>
      </c>
      <c r="P113" s="23">
        <v>8.4298610000000003E-4</v>
      </c>
      <c r="Q113" s="20">
        <v>1.6184389409067008E-8</v>
      </c>
      <c r="R113" s="23">
        <v>6.7714713000000004E-4</v>
      </c>
      <c r="S113" s="20">
        <v>1.2918672001654539E-8</v>
      </c>
      <c r="T113" s="23">
        <v>1.4486387999999999E-4</v>
      </c>
      <c r="U113" s="20">
        <v>1.9313744012118105E-8</v>
      </c>
      <c r="V113" s="23">
        <v>15.100581090765829</v>
      </c>
      <c r="W113" s="20">
        <v>4.3403710034999659E-5</v>
      </c>
      <c r="X113" s="23">
        <f t="shared" si="5"/>
        <v>15.100436226885829</v>
      </c>
      <c r="Y113" s="23">
        <f t="shared" si="6"/>
        <v>8.0144046333333345E-4</v>
      </c>
      <c r="Z113" s="23">
        <f t="shared" si="7"/>
        <v>2.4043213900000002E-3</v>
      </c>
      <c r="AA113" s="23">
        <f t="shared" si="8"/>
        <v>15.102840548275829</v>
      </c>
      <c r="AB113" s="36">
        <f t="shared" si="9"/>
        <v>3.0074013453296945E-5</v>
      </c>
      <c r="AC113" t="s">
        <v>260</v>
      </c>
    </row>
    <row r="114" spans="1:29" collapsed="1" x14ac:dyDescent="0.3">
      <c r="A114" s="66" t="s">
        <v>80</v>
      </c>
      <c r="B114" s="23">
        <v>0.80719827555453894</v>
      </c>
      <c r="C114" s="20">
        <v>4.480915437947986E-5</v>
      </c>
      <c r="D114" s="23">
        <v>0.858239710007484</v>
      </c>
      <c r="E114" s="20">
        <v>3.3100928356160078E-5</v>
      </c>
      <c r="F114" s="23">
        <v>0.9582362464787999</v>
      </c>
      <c r="G114" s="20">
        <v>2.6623584579004326E-5</v>
      </c>
      <c r="H114" s="23">
        <v>0.95824249211450407</v>
      </c>
      <c r="I114" s="20">
        <v>3.5616825100791563E-5</v>
      </c>
      <c r="J114" s="23">
        <v>1.0602573324816</v>
      </c>
      <c r="K114" s="20">
        <v>3.2572478310899025E-5</v>
      </c>
      <c r="L114" s="23">
        <v>1.0287332716056261</v>
      </c>
      <c r="M114" s="20">
        <v>2.6189177496725003E-5</v>
      </c>
      <c r="N114" s="23">
        <v>1.1174770613840002</v>
      </c>
      <c r="O114" s="20">
        <v>1.9523701810232964E-5</v>
      </c>
      <c r="P114" s="23">
        <v>1.089465718055</v>
      </c>
      <c r="Q114" s="20">
        <v>2.0916522145301E-5</v>
      </c>
      <c r="R114" s="23">
        <v>0.70496784670460599</v>
      </c>
      <c r="S114" s="20">
        <v>1.3449438061251891E-5</v>
      </c>
      <c r="T114" s="23">
        <v>0.15007033976973799</v>
      </c>
      <c r="U114" s="20">
        <v>2.0007886894402571E-5</v>
      </c>
      <c r="V114" s="23">
        <v>8.732888294155897</v>
      </c>
      <c r="W114" s="20">
        <v>2.5101004326209163E-5</v>
      </c>
      <c r="X114" s="23">
        <f t="shared" si="5"/>
        <v>8.5828179543861598</v>
      </c>
      <c r="Y114" s="23">
        <f t="shared" si="6"/>
        <v>0.97063687538120202</v>
      </c>
      <c r="Z114" s="23">
        <f t="shared" si="7"/>
        <v>2.9119106261436061</v>
      </c>
      <c r="AA114" s="23">
        <f t="shared" si="8"/>
        <v>11.494728580529767</v>
      </c>
      <c r="AB114" s="36">
        <f t="shared" si="9"/>
        <v>2.2889245295800603E-5</v>
      </c>
      <c r="AC114" t="s">
        <v>260</v>
      </c>
    </row>
    <row r="115" spans="1:29" ht="14.55" hidden="1" outlineLevel="1" x14ac:dyDescent="0.3">
      <c r="A115" s="22" t="s">
        <v>80</v>
      </c>
      <c r="B115" s="23">
        <v>0.80719827555453894</v>
      </c>
      <c r="C115" s="20">
        <v>4.480915437947986E-5</v>
      </c>
      <c r="D115" s="23">
        <v>0.858239710007484</v>
      </c>
      <c r="E115" s="20">
        <v>3.3100928356160078E-5</v>
      </c>
      <c r="F115" s="23">
        <v>0.9582362464787999</v>
      </c>
      <c r="G115" s="20">
        <v>2.6623584579004326E-5</v>
      </c>
      <c r="H115" s="23">
        <v>0.95824249211450407</v>
      </c>
      <c r="I115" s="20">
        <v>3.5616825100791563E-5</v>
      </c>
      <c r="J115" s="23">
        <v>1.0602573324816</v>
      </c>
      <c r="K115" s="20">
        <v>3.2572478310899025E-5</v>
      </c>
      <c r="L115" s="23">
        <v>1.0287332716056261</v>
      </c>
      <c r="M115" s="20">
        <v>2.6189177496725003E-5</v>
      </c>
      <c r="N115" s="23">
        <v>1.1174770613840002</v>
      </c>
      <c r="O115" s="20">
        <v>1.9523701810232964E-5</v>
      </c>
      <c r="P115" s="23">
        <v>1.089465718055</v>
      </c>
      <c r="Q115" s="20">
        <v>2.0916522145301E-5</v>
      </c>
      <c r="R115" s="23">
        <v>0.70496784670460599</v>
      </c>
      <c r="S115" s="20">
        <v>1.3449438061251891E-5</v>
      </c>
      <c r="T115" s="23">
        <v>0.15007033976973799</v>
      </c>
      <c r="U115" s="20">
        <v>2.0007886894402571E-5</v>
      </c>
      <c r="V115" s="23">
        <v>8.732888294155897</v>
      </c>
      <c r="W115" s="20">
        <v>2.5101004326209163E-5</v>
      </c>
      <c r="X115" s="23">
        <f t="shared" si="5"/>
        <v>8.5828179543861598</v>
      </c>
      <c r="Y115" s="23">
        <f t="shared" si="6"/>
        <v>0.97063687538120202</v>
      </c>
      <c r="Z115" s="23">
        <f t="shared" si="7"/>
        <v>2.9119106261436061</v>
      </c>
      <c r="AA115" s="23">
        <f t="shared" si="8"/>
        <v>11.494728580529767</v>
      </c>
      <c r="AB115" s="36">
        <f t="shared" si="9"/>
        <v>2.2889245295800603E-5</v>
      </c>
      <c r="AC115" t="s">
        <v>260</v>
      </c>
    </row>
    <row r="116" spans="1:29" collapsed="1" x14ac:dyDescent="0.3">
      <c r="A116" s="66" t="s">
        <v>86</v>
      </c>
      <c r="B116" s="23">
        <v>2.2155569502400399E-3</v>
      </c>
      <c r="C116" s="20">
        <v>1.2298989780625193E-7</v>
      </c>
      <c r="D116" s="23"/>
      <c r="E116" s="20">
        <v>0</v>
      </c>
      <c r="F116" s="23"/>
      <c r="G116" s="20">
        <v>0</v>
      </c>
      <c r="H116" s="23">
        <v>3.77478418663635E-4</v>
      </c>
      <c r="I116" s="20">
        <v>1.4030459854893929E-8</v>
      </c>
      <c r="J116" s="23"/>
      <c r="K116" s="20">
        <v>0</v>
      </c>
      <c r="L116" s="23"/>
      <c r="M116" s="20">
        <v>0</v>
      </c>
      <c r="N116" s="23">
        <v>1.6576392289992799E-2</v>
      </c>
      <c r="O116" s="20">
        <v>2.8961000752753157E-7</v>
      </c>
      <c r="P116" s="23">
        <v>0.15780971869580601</v>
      </c>
      <c r="Q116" s="20">
        <v>3.0297699332269492E-6</v>
      </c>
      <c r="R116" s="23">
        <v>0.20390061743488599</v>
      </c>
      <c r="S116" s="20">
        <v>3.8900337620512915E-6</v>
      </c>
      <c r="T116" s="23">
        <v>4.6379654694416503E-2</v>
      </c>
      <c r="U116" s="20">
        <v>6.1834929323886132E-6</v>
      </c>
      <c r="V116" s="23">
        <v>0.427259418484005</v>
      </c>
      <c r="W116" s="20">
        <v>1.2280748534202157E-6</v>
      </c>
      <c r="X116" s="23">
        <f t="shared" si="5"/>
        <v>0.38087976378958849</v>
      </c>
      <c r="Y116" s="23">
        <f t="shared" si="6"/>
        <v>0.12609557614022826</v>
      </c>
      <c r="Z116" s="23">
        <f t="shared" si="7"/>
        <v>0.37828672842068478</v>
      </c>
      <c r="AA116" s="23">
        <f t="shared" si="8"/>
        <v>0.75916649221027321</v>
      </c>
      <c r="AB116" s="36">
        <f t="shared" si="9"/>
        <v>1.5117145166860986E-6</v>
      </c>
      <c r="AC116" t="s">
        <v>260</v>
      </c>
    </row>
    <row r="117" spans="1:29" ht="14.55" hidden="1" outlineLevel="1" x14ac:dyDescent="0.3">
      <c r="A117" s="22" t="s">
        <v>86</v>
      </c>
      <c r="B117" s="23">
        <v>2.2155569502400399E-3</v>
      </c>
      <c r="C117" s="20">
        <v>1.2298989780625193E-7</v>
      </c>
      <c r="D117" s="23"/>
      <c r="E117" s="20">
        <v>0</v>
      </c>
      <c r="F117" s="23"/>
      <c r="G117" s="20">
        <v>0</v>
      </c>
      <c r="H117" s="23">
        <v>3.77478418663635E-4</v>
      </c>
      <c r="I117" s="20">
        <v>1.4030459854893929E-8</v>
      </c>
      <c r="J117" s="23"/>
      <c r="K117" s="20">
        <v>0</v>
      </c>
      <c r="L117" s="23"/>
      <c r="M117" s="20">
        <v>0</v>
      </c>
      <c r="N117" s="23">
        <v>1.6576392289992799E-2</v>
      </c>
      <c r="O117" s="20">
        <v>2.8961000752753157E-7</v>
      </c>
      <c r="P117" s="23">
        <v>0.15780971869580601</v>
      </c>
      <c r="Q117" s="20">
        <v>3.0297699332269492E-6</v>
      </c>
      <c r="R117" s="23">
        <v>0.20390061743488599</v>
      </c>
      <c r="S117" s="20">
        <v>3.8900337620512915E-6</v>
      </c>
      <c r="T117" s="23">
        <v>4.6379654694416503E-2</v>
      </c>
      <c r="U117" s="20">
        <v>6.1834929323886132E-6</v>
      </c>
      <c r="V117" s="23">
        <v>0.427259418484005</v>
      </c>
      <c r="W117" s="20">
        <v>1.2280748534202157E-6</v>
      </c>
      <c r="X117" s="23">
        <f t="shared" si="5"/>
        <v>0.38087976378958849</v>
      </c>
      <c r="Y117" s="23">
        <f t="shared" si="6"/>
        <v>0.12609557614022826</v>
      </c>
      <c r="Z117" s="23">
        <f t="shared" si="7"/>
        <v>0.37828672842068478</v>
      </c>
      <c r="AA117" s="23">
        <f t="shared" si="8"/>
        <v>0.75916649221027321</v>
      </c>
      <c r="AB117" s="36">
        <f t="shared" si="9"/>
        <v>1.5117145166860986E-6</v>
      </c>
    </row>
    <row r="118" spans="1:29" collapsed="1" x14ac:dyDescent="0.3">
      <c r="A118" s="19" t="s">
        <v>104</v>
      </c>
      <c r="B118" s="23">
        <v>18014.137662999317</v>
      </c>
      <c r="C118" s="20">
        <v>1</v>
      </c>
      <c r="D118" s="23">
        <v>25927.964943248058</v>
      </c>
      <c r="E118" s="20">
        <v>1</v>
      </c>
      <c r="F118" s="23">
        <v>35992.007148221368</v>
      </c>
      <c r="G118" s="20">
        <v>1</v>
      </c>
      <c r="H118" s="23">
        <v>26904.208598121444</v>
      </c>
      <c r="I118" s="20">
        <v>1</v>
      </c>
      <c r="J118" s="23">
        <v>32550.711135996953</v>
      </c>
      <c r="K118" s="20">
        <v>1</v>
      </c>
      <c r="L118" s="23">
        <v>39280.854533681741</v>
      </c>
      <c r="M118" s="20">
        <v>1</v>
      </c>
      <c r="N118" s="23">
        <v>57236.945751665626</v>
      </c>
      <c r="O118" s="20">
        <v>1</v>
      </c>
      <c r="P118" s="23">
        <v>52086.370309882223</v>
      </c>
      <c r="Q118" s="20">
        <v>1</v>
      </c>
      <c r="R118" s="23">
        <v>52416.156235971888</v>
      </c>
      <c r="S118" s="20">
        <v>1</v>
      </c>
      <c r="T118" s="23">
        <v>7500.559182575239</v>
      </c>
      <c r="U118" s="20">
        <v>1</v>
      </c>
      <c r="V118" s="23">
        <v>347909.91550236376</v>
      </c>
      <c r="W118" s="20">
        <v>1</v>
      </c>
      <c r="X118" s="33">
        <f>SUM(X4:X117)/2</f>
        <v>340409.35631978884</v>
      </c>
      <c r="Y118" s="33"/>
      <c r="Z118" s="33">
        <f>SUM(Z4:Z117)/2</f>
        <v>161779.70373797874</v>
      </c>
      <c r="AA118" s="33">
        <f>SUM(AA4:AA117)/2</f>
        <v>502189.06005776691</v>
      </c>
      <c r="AB118" s="37">
        <f>AA118/$AA$118</f>
        <v>1</v>
      </c>
    </row>
    <row r="119" spans="1:29" x14ac:dyDescent="0.3">
      <c r="A119" s="34" t="s">
        <v>224</v>
      </c>
      <c r="V119" s="24">
        <f>SUM(V120:V133)</f>
        <v>58345.517599999999</v>
      </c>
      <c r="W119" s="36">
        <f>V119/$V$134</f>
        <v>0.14361781491620995</v>
      </c>
      <c r="X119" s="23">
        <v>58345.517599999999</v>
      </c>
      <c r="Z119" s="23">
        <f>V119/3</f>
        <v>19448.505866666666</v>
      </c>
      <c r="AA119" s="23">
        <f t="shared" si="8"/>
        <v>77794.023466666666</v>
      </c>
      <c r="AC119" t="s">
        <v>342</v>
      </c>
    </row>
    <row r="120" spans="1:29" ht="14.55" hidden="1" outlineLevel="1" x14ac:dyDescent="0.3">
      <c r="A120" s="22" t="s">
        <v>225</v>
      </c>
      <c r="V120" s="57">
        <v>1437.5879999999997</v>
      </c>
    </row>
    <row r="121" spans="1:29" ht="14.55" hidden="1" outlineLevel="1" x14ac:dyDescent="0.3">
      <c r="A121" s="22" t="s">
        <v>226</v>
      </c>
      <c r="V121" s="57">
        <v>1935.0075999999997</v>
      </c>
    </row>
    <row r="122" spans="1:29" ht="14.55" hidden="1" outlineLevel="1" x14ac:dyDescent="0.3">
      <c r="A122" s="22" t="s">
        <v>227</v>
      </c>
      <c r="V122" s="57">
        <v>6667.5639999999994</v>
      </c>
    </row>
    <row r="123" spans="1:29" ht="14.55" hidden="1" outlineLevel="1" x14ac:dyDescent="0.3">
      <c r="A123" s="22" t="s">
        <v>228</v>
      </c>
      <c r="V123" s="57">
        <v>5902.4744000000001</v>
      </c>
    </row>
    <row r="124" spans="1:29" ht="14.55" hidden="1" outlineLevel="1" x14ac:dyDescent="0.3">
      <c r="A124" s="22" t="s">
        <v>229</v>
      </c>
      <c r="V124" s="57">
        <v>1461.8783999999998</v>
      </c>
    </row>
    <row r="125" spans="1:29" ht="14.55" hidden="1" outlineLevel="1" x14ac:dyDescent="0.3">
      <c r="A125" s="22" t="s">
        <v>230</v>
      </c>
      <c r="V125" s="57">
        <v>1510.8072</v>
      </c>
    </row>
    <row r="126" spans="1:29" ht="14.55" hidden="1" outlineLevel="1" x14ac:dyDescent="0.3">
      <c r="A126" s="22" t="s">
        <v>231</v>
      </c>
      <c r="V126" s="57">
        <v>2375.7844</v>
      </c>
    </row>
    <row r="127" spans="1:29" ht="14.55" hidden="1" outlineLevel="1" x14ac:dyDescent="0.3">
      <c r="A127" s="22" t="s">
        <v>232</v>
      </c>
      <c r="V127" s="57">
        <v>1603.4099999999999</v>
      </c>
    </row>
    <row r="128" spans="1:29" ht="14.55" hidden="1" outlineLevel="1" x14ac:dyDescent="0.3">
      <c r="A128" s="22" t="s">
        <v>233</v>
      </c>
      <c r="V128" s="57">
        <v>1267.1608000000001</v>
      </c>
    </row>
    <row r="129" spans="1:28" ht="14.55" hidden="1" outlineLevel="1" x14ac:dyDescent="0.3">
      <c r="A129" s="22" t="s">
        <v>230</v>
      </c>
      <c r="V129" s="57">
        <v>1510.32</v>
      </c>
    </row>
    <row r="130" spans="1:28" ht="14.55" hidden="1" outlineLevel="1" x14ac:dyDescent="0.3">
      <c r="A130" s="22" t="s">
        <v>234</v>
      </c>
      <c r="V130" s="57">
        <v>1713.6679999999999</v>
      </c>
    </row>
    <row r="131" spans="1:28" ht="14.55" hidden="1" outlineLevel="1" x14ac:dyDescent="0.3">
      <c r="A131" s="22" t="s">
        <v>235</v>
      </c>
      <c r="V131" s="57">
        <v>3358.0144</v>
      </c>
    </row>
    <row r="132" spans="1:28" ht="14.55" hidden="1" outlineLevel="1" x14ac:dyDescent="0.3">
      <c r="A132" s="22" t="s">
        <v>236</v>
      </c>
      <c r="V132" s="57">
        <v>0.25519999999999998</v>
      </c>
    </row>
    <row r="133" spans="1:28" ht="14.55" hidden="1" outlineLevel="1" x14ac:dyDescent="0.3">
      <c r="A133" s="22" t="s">
        <v>237</v>
      </c>
      <c r="V133" s="57">
        <v>27601.585199999998</v>
      </c>
    </row>
    <row r="134" spans="1:28" collapsed="1" x14ac:dyDescent="0.3">
      <c r="A134" s="35" t="s">
        <v>238</v>
      </c>
      <c r="B134" s="33"/>
      <c r="C134" s="58"/>
      <c r="D134" s="33"/>
      <c r="E134" s="58"/>
      <c r="F134" s="33"/>
      <c r="G134" s="58"/>
      <c r="H134" s="33"/>
      <c r="I134" s="58"/>
      <c r="J134" s="33"/>
      <c r="K134" s="58"/>
      <c r="L134" s="33"/>
      <c r="M134" s="58"/>
      <c r="N134" s="33"/>
      <c r="O134" s="58"/>
      <c r="P134" s="33"/>
      <c r="Q134" s="58"/>
      <c r="R134" s="33"/>
      <c r="S134" s="58"/>
      <c r="T134" s="33"/>
      <c r="U134" s="58"/>
      <c r="V134" s="33">
        <f>V119+V118</f>
        <v>406255.43310236378</v>
      </c>
      <c r="W134" s="58"/>
      <c r="X134" s="33">
        <f t="shared" ref="X134:Z134" si="10">SUM(X118:X119)</f>
        <v>398754.87391978886</v>
      </c>
      <c r="Y134" s="33">
        <f t="shared" si="10"/>
        <v>0</v>
      </c>
      <c r="Z134" s="33">
        <f t="shared" si="10"/>
        <v>181228.20960464541</v>
      </c>
      <c r="AA134" s="33">
        <f>SUM(AA118:AA119)</f>
        <v>579983.08352443355</v>
      </c>
      <c r="AB134" s="33"/>
    </row>
  </sheetData>
  <conditionalFormatting pivot="1" sqref="V4 V8 V12 V29 V32 V38 V52 V61 V65 V69 V71 V73 V75 V77 V79 V81 V83 V85 V87 V89 V91 V93 V96 V98 V100 V102 V104 V106 V108 V110 V112 V114 V116">
    <cfRule type="colorScale" priority="2">
      <colorScale>
        <cfvo type="min"/>
        <cfvo type="percentile" val="50"/>
        <cfvo type="max"/>
        <color rgb="FF63BE7B"/>
        <color rgb="FFFCFCFF"/>
        <color rgb="FFF8696B"/>
      </colorScale>
    </cfRule>
  </conditionalFormatting>
  <conditionalFormatting pivot="1" sqref="W4 W8 W12 W29 W32 W38 W52 W61 W65 W69 W71 W73 W75 W77 W79 W81 W83 W85 W87 W89 W91 W93 W96 W98 W100 W102 W104 W106 W108 W110 W112 W114 W116">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5629-FF7D-4FD5-8064-3D42CB308E29}">
  <dimension ref="A1:T177"/>
  <sheetViews>
    <sheetView showGridLines="0" topLeftCell="A15" workbookViewId="0">
      <selection activeCell="K4" sqref="K4"/>
    </sheetView>
  </sheetViews>
  <sheetFormatPr defaultRowHeight="14.4" x14ac:dyDescent="0.3"/>
  <cols>
    <col min="1" max="1" width="19.88671875" bestFit="1" customWidth="1"/>
    <col min="2" max="2" width="14.33203125" bestFit="1" customWidth="1"/>
    <col min="3" max="3" width="13.77734375" customWidth="1"/>
    <col min="4" max="4" width="11.44140625" bestFit="1" customWidth="1"/>
    <col min="12" max="12" width="18.5546875" customWidth="1"/>
    <col min="13" max="13" width="17.5546875" customWidth="1"/>
    <col min="14" max="14" width="14.77734375" bestFit="1" customWidth="1"/>
    <col min="15" max="15" width="11" bestFit="1" customWidth="1"/>
    <col min="16" max="16" width="12.5546875" bestFit="1" customWidth="1"/>
  </cols>
  <sheetData>
    <row r="1" spans="1:16" x14ac:dyDescent="0.3">
      <c r="A1" s="51" t="s">
        <v>222</v>
      </c>
      <c r="B1" s="51" t="s">
        <v>213</v>
      </c>
      <c r="C1" s="52">
        <v>45658</v>
      </c>
      <c r="D1" s="52">
        <v>45689</v>
      </c>
      <c r="E1" s="52">
        <v>45717</v>
      </c>
      <c r="F1" s="52">
        <v>45748</v>
      </c>
      <c r="G1" s="52">
        <v>45778</v>
      </c>
      <c r="H1" s="52">
        <v>45809</v>
      </c>
      <c r="I1" s="52">
        <v>45839</v>
      </c>
      <c r="J1" s="52">
        <v>45870</v>
      </c>
      <c r="K1" s="52">
        <v>45901</v>
      </c>
      <c r="L1" s="52">
        <v>45931</v>
      </c>
      <c r="M1" s="53" t="s">
        <v>207</v>
      </c>
      <c r="N1" s="53" t="s">
        <v>223</v>
      </c>
      <c r="O1" s="53" t="s">
        <v>204</v>
      </c>
      <c r="P1" s="53" t="s">
        <v>205</v>
      </c>
    </row>
    <row r="2" spans="1:16" x14ac:dyDescent="0.3">
      <c r="A2" s="42" t="s">
        <v>216</v>
      </c>
      <c r="B2" s="42" t="s">
        <v>214</v>
      </c>
      <c r="C2" s="43">
        <v>1962</v>
      </c>
      <c r="D2" s="43">
        <v>1779</v>
      </c>
      <c r="E2" s="43">
        <v>1809</v>
      </c>
      <c r="F2" s="43">
        <v>4239</v>
      </c>
      <c r="G2" s="43">
        <v>3909</v>
      </c>
      <c r="H2" s="43">
        <v>4799</v>
      </c>
      <c r="I2" s="43">
        <v>6641</v>
      </c>
      <c r="J2" s="43">
        <v>5085</v>
      </c>
      <c r="K2" s="43">
        <v>6992</v>
      </c>
      <c r="L2" s="43">
        <v>1636</v>
      </c>
      <c r="M2" s="43">
        <f>SUM(C2:K2)</f>
        <v>37215</v>
      </c>
      <c r="N2" s="44">
        <f>AVERAGE(I2:K2)</f>
        <v>6239.333333333333</v>
      </c>
      <c r="O2" s="43">
        <f>N2*3</f>
        <v>18718</v>
      </c>
      <c r="P2" s="43">
        <f>M2+O2</f>
        <v>55933</v>
      </c>
    </row>
    <row r="3" spans="1:16" x14ac:dyDescent="0.3">
      <c r="A3" s="42" t="s">
        <v>216</v>
      </c>
      <c r="B3" s="42" t="s">
        <v>220</v>
      </c>
      <c r="C3" s="43">
        <v>65</v>
      </c>
      <c r="D3" s="43">
        <v>73</v>
      </c>
      <c r="E3" s="43">
        <v>93</v>
      </c>
      <c r="F3" s="43">
        <v>104</v>
      </c>
      <c r="G3" s="43">
        <v>152</v>
      </c>
      <c r="H3" s="43">
        <v>186</v>
      </c>
      <c r="I3" s="43">
        <v>183</v>
      </c>
      <c r="J3" s="43">
        <v>369</v>
      </c>
      <c r="K3" s="43">
        <v>632</v>
      </c>
      <c r="L3" s="43">
        <v>141</v>
      </c>
      <c r="M3" s="43">
        <f t="shared" ref="M3:M8" si="0">SUM(C3:K3)</f>
        <v>1857</v>
      </c>
      <c r="N3" s="44">
        <f>AVERAGE(I3:K3)</f>
        <v>394.66666666666669</v>
      </c>
      <c r="O3" s="43">
        <f t="shared" ref="O3:O8" si="1">N3*3</f>
        <v>1184</v>
      </c>
      <c r="P3" s="43">
        <f t="shared" ref="P3:P8" si="2">M3+O3</f>
        <v>3041</v>
      </c>
    </row>
    <row r="4" spans="1:16" x14ac:dyDescent="0.3">
      <c r="A4" s="42" t="s">
        <v>216</v>
      </c>
      <c r="B4" s="42" t="s">
        <v>215</v>
      </c>
      <c r="C4" s="55">
        <f>C2/C3</f>
        <v>30.184615384615384</v>
      </c>
      <c r="D4" s="55">
        <f t="shared" ref="D4:L4" si="3">D2/D3</f>
        <v>24.36986301369863</v>
      </c>
      <c r="E4" s="55">
        <f t="shared" si="3"/>
        <v>19.451612903225808</v>
      </c>
      <c r="F4" s="55">
        <f t="shared" si="3"/>
        <v>40.759615384615387</v>
      </c>
      <c r="G4" s="55">
        <f t="shared" si="3"/>
        <v>25.717105263157894</v>
      </c>
      <c r="H4" s="55">
        <f t="shared" si="3"/>
        <v>25.801075268817204</v>
      </c>
      <c r="I4" s="55">
        <f t="shared" si="3"/>
        <v>36.289617486338798</v>
      </c>
      <c r="J4" s="55">
        <f t="shared" si="3"/>
        <v>13.780487804878049</v>
      </c>
      <c r="K4" s="55">
        <f t="shared" si="3"/>
        <v>11.063291139240507</v>
      </c>
      <c r="L4" s="55">
        <f t="shared" si="3"/>
        <v>11.602836879432624</v>
      </c>
      <c r="M4" s="55">
        <f t="shared" ref="M4" si="4">M2/M3</f>
        <v>20.040387722132472</v>
      </c>
      <c r="N4" s="55">
        <f t="shared" ref="N4" si="5">N2/N3</f>
        <v>15.809121621621619</v>
      </c>
      <c r="O4" s="55">
        <f t="shared" ref="O4" si="6">O2/O3</f>
        <v>15.809121621621621</v>
      </c>
      <c r="P4" s="55">
        <f t="shared" ref="P4" si="7">P2/P3</f>
        <v>18.392962841170668</v>
      </c>
    </row>
    <row r="5" spans="1:16" x14ac:dyDescent="0.3">
      <c r="A5" s="45" t="s">
        <v>217</v>
      </c>
      <c r="B5" s="45" t="s">
        <v>214</v>
      </c>
      <c r="C5" s="46">
        <v>1420</v>
      </c>
      <c r="D5" s="46">
        <v>16918</v>
      </c>
      <c r="E5" s="46">
        <v>897</v>
      </c>
      <c r="F5" s="46">
        <v>8128</v>
      </c>
      <c r="G5" s="46">
        <v>4225</v>
      </c>
      <c r="H5" s="46">
        <v>5887</v>
      </c>
      <c r="I5" s="46">
        <v>5212</v>
      </c>
      <c r="J5" s="46">
        <v>4315</v>
      </c>
      <c r="K5" s="46">
        <v>6080</v>
      </c>
      <c r="L5" s="46">
        <v>1839</v>
      </c>
      <c r="M5" s="46">
        <f t="shared" si="0"/>
        <v>53082</v>
      </c>
      <c r="N5" s="47">
        <f t="shared" ref="N5:N8" si="8">AVERAGE(I5:K5)</f>
        <v>5202.333333333333</v>
      </c>
      <c r="O5" s="46">
        <f t="shared" si="1"/>
        <v>15607</v>
      </c>
      <c r="P5" s="46">
        <f t="shared" si="2"/>
        <v>68689</v>
      </c>
    </row>
    <row r="6" spans="1:16" x14ac:dyDescent="0.3">
      <c r="A6" s="45" t="s">
        <v>217</v>
      </c>
      <c r="B6" s="45" t="s">
        <v>220</v>
      </c>
      <c r="C6" s="46">
        <v>45</v>
      </c>
      <c r="D6" s="46">
        <v>38</v>
      </c>
      <c r="E6" s="46">
        <v>30</v>
      </c>
      <c r="F6" s="46">
        <v>67</v>
      </c>
      <c r="G6" s="46">
        <v>57</v>
      </c>
      <c r="H6" s="46">
        <v>71</v>
      </c>
      <c r="I6" s="46">
        <v>85</v>
      </c>
      <c r="J6" s="46">
        <v>61</v>
      </c>
      <c r="K6" s="46">
        <v>70</v>
      </c>
      <c r="L6" s="46">
        <v>41</v>
      </c>
      <c r="M6" s="46">
        <f t="shared" si="0"/>
        <v>524</v>
      </c>
      <c r="N6" s="47">
        <f t="shared" si="8"/>
        <v>72</v>
      </c>
      <c r="O6" s="46">
        <f t="shared" si="1"/>
        <v>216</v>
      </c>
      <c r="P6" s="46">
        <f t="shared" si="2"/>
        <v>740</v>
      </c>
    </row>
    <row r="7" spans="1:16" x14ac:dyDescent="0.3">
      <c r="A7" s="48" t="s">
        <v>218</v>
      </c>
      <c r="B7" s="48" t="s">
        <v>214</v>
      </c>
      <c r="C7" s="49">
        <v>164</v>
      </c>
      <c r="D7" s="49">
        <v>7411</v>
      </c>
      <c r="E7" s="49">
        <v>5481</v>
      </c>
      <c r="F7" s="49">
        <v>1338</v>
      </c>
      <c r="G7" s="49">
        <v>428</v>
      </c>
      <c r="H7" s="49">
        <v>30</v>
      </c>
      <c r="I7" s="49">
        <v>33</v>
      </c>
      <c r="J7" s="49">
        <v>1056</v>
      </c>
      <c r="K7" s="49">
        <v>3347</v>
      </c>
      <c r="L7" s="49">
        <v>180</v>
      </c>
      <c r="M7" s="49">
        <f t="shared" si="0"/>
        <v>19288</v>
      </c>
      <c r="N7" s="50">
        <f t="shared" si="8"/>
        <v>1478.6666666666667</v>
      </c>
      <c r="O7" s="49">
        <f t="shared" si="1"/>
        <v>4436</v>
      </c>
      <c r="P7" s="49">
        <f t="shared" si="2"/>
        <v>23724</v>
      </c>
    </row>
    <row r="8" spans="1:16" x14ac:dyDescent="0.3">
      <c r="A8" s="48" t="s">
        <v>218</v>
      </c>
      <c r="B8" s="48" t="s">
        <v>220</v>
      </c>
      <c r="C8" s="49">
        <v>4</v>
      </c>
      <c r="D8" s="49">
        <v>13</v>
      </c>
      <c r="E8" s="49">
        <v>30</v>
      </c>
      <c r="F8" s="49">
        <v>29</v>
      </c>
      <c r="G8" s="49">
        <v>13</v>
      </c>
      <c r="H8" s="49">
        <v>10</v>
      </c>
      <c r="I8" s="49">
        <v>11</v>
      </c>
      <c r="J8" s="49">
        <v>22</v>
      </c>
      <c r="K8" s="49">
        <v>26</v>
      </c>
      <c r="L8" s="49">
        <v>15</v>
      </c>
      <c r="M8" s="49">
        <f t="shared" si="0"/>
        <v>158</v>
      </c>
      <c r="N8" s="50">
        <f t="shared" si="8"/>
        <v>19.666666666666668</v>
      </c>
      <c r="O8" s="49">
        <f t="shared" si="1"/>
        <v>59</v>
      </c>
      <c r="P8" s="49">
        <f t="shared" si="2"/>
        <v>217</v>
      </c>
    </row>
    <row r="9" spans="1:16" x14ac:dyDescent="0.3">
      <c r="B9" s="1" t="s">
        <v>219</v>
      </c>
      <c r="C9" s="1">
        <f t="shared" ref="C9:L9" si="9">C2+C5+C7</f>
        <v>3546</v>
      </c>
      <c r="D9" s="1">
        <f t="shared" si="9"/>
        <v>26108</v>
      </c>
      <c r="E9" s="1">
        <f t="shared" si="9"/>
        <v>8187</v>
      </c>
      <c r="F9" s="1">
        <f t="shared" si="9"/>
        <v>13705</v>
      </c>
      <c r="G9" s="1">
        <f t="shared" si="9"/>
        <v>8562</v>
      </c>
      <c r="H9" s="1">
        <f t="shared" si="9"/>
        <v>10716</v>
      </c>
      <c r="I9" s="1">
        <f t="shared" si="9"/>
        <v>11886</v>
      </c>
      <c r="J9" s="1">
        <f t="shared" si="9"/>
        <v>10456</v>
      </c>
      <c r="K9" s="1">
        <f t="shared" si="9"/>
        <v>16419</v>
      </c>
      <c r="L9" s="1">
        <f t="shared" si="9"/>
        <v>3655</v>
      </c>
      <c r="M9" s="1">
        <f t="shared" ref="M9:P9" si="10">M2+M5+M7</f>
        <v>109585</v>
      </c>
      <c r="N9" s="54">
        <f t="shared" si="10"/>
        <v>12920.333333333332</v>
      </c>
      <c r="O9" s="1">
        <f t="shared" si="10"/>
        <v>38761</v>
      </c>
      <c r="P9" s="1">
        <f t="shared" si="10"/>
        <v>148346</v>
      </c>
    </row>
    <row r="10" spans="1:16" x14ac:dyDescent="0.3">
      <c r="B10" s="1" t="s">
        <v>220</v>
      </c>
      <c r="C10" s="1">
        <f t="shared" ref="C10:L10" si="11">C3+C6+C8</f>
        <v>114</v>
      </c>
      <c r="D10" s="1">
        <f t="shared" si="11"/>
        <v>124</v>
      </c>
      <c r="E10" s="1">
        <f t="shared" si="11"/>
        <v>153</v>
      </c>
      <c r="F10" s="1">
        <f t="shared" si="11"/>
        <v>200</v>
      </c>
      <c r="G10" s="1">
        <f t="shared" si="11"/>
        <v>222</v>
      </c>
      <c r="H10" s="1">
        <f t="shared" si="11"/>
        <v>267</v>
      </c>
      <c r="I10" s="1">
        <f t="shared" si="11"/>
        <v>279</v>
      </c>
      <c r="J10" s="1">
        <f t="shared" si="11"/>
        <v>452</v>
      </c>
      <c r="K10" s="1">
        <f t="shared" si="11"/>
        <v>728</v>
      </c>
      <c r="L10" s="1">
        <f t="shared" si="11"/>
        <v>197</v>
      </c>
      <c r="M10" s="1">
        <f t="shared" ref="M10:P10" si="12">M3+M6+M8</f>
        <v>2539</v>
      </c>
      <c r="N10" s="54">
        <f t="shared" si="12"/>
        <v>486.33333333333337</v>
      </c>
      <c r="O10" s="1">
        <f t="shared" si="12"/>
        <v>1459</v>
      </c>
      <c r="P10" s="1">
        <f t="shared" si="12"/>
        <v>3998</v>
      </c>
    </row>
    <row r="11" spans="1:16" x14ac:dyDescent="0.3">
      <c r="B11" s="40" t="s">
        <v>221</v>
      </c>
      <c r="C11" s="41">
        <f>C9/C10</f>
        <v>31.105263157894736</v>
      </c>
      <c r="D11" s="41">
        <f t="shared" ref="D11:L11" si="13">D9/D10</f>
        <v>210.54838709677421</v>
      </c>
      <c r="E11" s="41">
        <f t="shared" si="13"/>
        <v>53.509803921568626</v>
      </c>
      <c r="F11" s="41">
        <f t="shared" si="13"/>
        <v>68.525000000000006</v>
      </c>
      <c r="G11" s="41">
        <f t="shared" si="13"/>
        <v>38.567567567567565</v>
      </c>
      <c r="H11" s="41">
        <f t="shared" si="13"/>
        <v>40.134831460674157</v>
      </c>
      <c r="I11" s="41">
        <f t="shared" si="13"/>
        <v>42.602150537634408</v>
      </c>
      <c r="J11" s="41">
        <f t="shared" si="13"/>
        <v>23.13274336283186</v>
      </c>
      <c r="K11" s="41">
        <f t="shared" si="13"/>
        <v>22.553571428571427</v>
      </c>
      <c r="L11" s="41">
        <f t="shared" si="13"/>
        <v>18.553299492385786</v>
      </c>
      <c r="M11" s="41">
        <f t="shared" ref="M11" si="14">M9/M10</f>
        <v>43.16069318629382</v>
      </c>
      <c r="N11" s="41">
        <f t="shared" ref="N11" si="15">N9/N10</f>
        <v>26.566826593557227</v>
      </c>
      <c r="O11" s="41">
        <f t="shared" ref="O11" si="16">O9/O10</f>
        <v>26.566826593557231</v>
      </c>
      <c r="P11" s="41">
        <f t="shared" ref="P11" si="17">P9/P10</f>
        <v>37.10505252626313</v>
      </c>
    </row>
    <row r="12" spans="1:16" x14ac:dyDescent="0.3">
      <c r="B12" s="38"/>
      <c r="C12">
        <f t="shared" ref="C12:L12" si="18">C2/C9</f>
        <v>0.5532994923857868</v>
      </c>
      <c r="D12">
        <f t="shared" si="18"/>
        <v>6.8140033706143716E-2</v>
      </c>
      <c r="E12">
        <f t="shared" si="18"/>
        <v>0.22096005862953463</v>
      </c>
      <c r="F12">
        <f t="shared" si="18"/>
        <v>0.30930317402407881</v>
      </c>
      <c r="G12">
        <f t="shared" si="18"/>
        <v>0.45655220742817099</v>
      </c>
      <c r="H12">
        <f t="shared" si="18"/>
        <v>0.44783501306457635</v>
      </c>
      <c r="I12">
        <f t="shared" si="18"/>
        <v>0.55872454989062759</v>
      </c>
      <c r="J12">
        <f t="shared" si="18"/>
        <v>0.48632364192807959</v>
      </c>
      <c r="K12">
        <f t="shared" si="18"/>
        <v>0.42584810280772278</v>
      </c>
      <c r="L12">
        <f t="shared" si="18"/>
        <v>0.44760601915184678</v>
      </c>
      <c r="M12">
        <f>M2/M9</f>
        <v>0.33959939772779119</v>
      </c>
    </row>
    <row r="13" spans="1:16" x14ac:dyDescent="0.3">
      <c r="B13" s="38"/>
      <c r="F13" s="38"/>
    </row>
    <row r="14" spans="1:16" x14ac:dyDescent="0.3">
      <c r="B14" s="38"/>
      <c r="F14" s="38"/>
    </row>
    <row r="15" spans="1:16" x14ac:dyDescent="0.3">
      <c r="A15" t="s">
        <v>243</v>
      </c>
      <c r="B15" s="38"/>
      <c r="F15" s="38"/>
    </row>
    <row r="16" spans="1:16" x14ac:dyDescent="0.3">
      <c r="A16" t="s">
        <v>239</v>
      </c>
      <c r="B16" s="38" t="s">
        <v>283</v>
      </c>
      <c r="F16" s="38"/>
    </row>
    <row r="17" spans="1:14" x14ac:dyDescent="0.3">
      <c r="A17" t="s">
        <v>242</v>
      </c>
      <c r="B17">
        <v>60787</v>
      </c>
      <c r="C17" t="s">
        <v>240</v>
      </c>
      <c r="F17" s="38"/>
    </row>
    <row r="18" spans="1:14" x14ac:dyDescent="0.3">
      <c r="A18" t="s">
        <v>241</v>
      </c>
      <c r="B18">
        <v>1200</v>
      </c>
      <c r="C18" t="s">
        <v>240</v>
      </c>
      <c r="F18" s="38"/>
    </row>
    <row r="19" spans="1:14" x14ac:dyDescent="0.3">
      <c r="A19" t="s">
        <v>245</v>
      </c>
      <c r="B19">
        <v>1500</v>
      </c>
      <c r="C19" t="s">
        <v>240</v>
      </c>
      <c r="F19" s="38"/>
    </row>
    <row r="20" spans="1:14" x14ac:dyDescent="0.3">
      <c r="A20" s="1" t="s">
        <v>244</v>
      </c>
      <c r="B20" s="38"/>
      <c r="F20" s="38"/>
    </row>
    <row r="22" spans="1:14" x14ac:dyDescent="0.3">
      <c r="B22" t="s">
        <v>256</v>
      </c>
    </row>
    <row r="23" spans="1:14" x14ac:dyDescent="0.3">
      <c r="B23" t="s">
        <v>255</v>
      </c>
    </row>
    <row r="24" spans="1:14" x14ac:dyDescent="0.3">
      <c r="L24" t="s">
        <v>271</v>
      </c>
    </row>
    <row r="25" spans="1:14" x14ac:dyDescent="0.3">
      <c r="A25" s="62"/>
      <c r="B25" s="63" t="s">
        <v>246</v>
      </c>
      <c r="C25" s="63" t="s">
        <v>249</v>
      </c>
      <c r="D25" s="63" t="s">
        <v>250</v>
      </c>
      <c r="N25" t="s">
        <v>270</v>
      </c>
    </row>
    <row r="26" spans="1:14" ht="57.6" x14ac:dyDescent="0.3">
      <c r="A26" s="62">
        <v>1</v>
      </c>
      <c r="B26" s="62" t="s">
        <v>247</v>
      </c>
      <c r="C26" s="60" t="s">
        <v>254</v>
      </c>
      <c r="D26" s="60" t="s">
        <v>251</v>
      </c>
      <c r="E26" s="59"/>
      <c r="L26" t="s">
        <v>266</v>
      </c>
      <c r="M26" t="s">
        <v>267</v>
      </c>
      <c r="N26">
        <v>3</v>
      </c>
    </row>
    <row r="27" spans="1:14" ht="28.8" x14ac:dyDescent="0.3">
      <c r="A27" s="62">
        <v>2</v>
      </c>
      <c r="B27" s="62" t="s">
        <v>248</v>
      </c>
      <c r="C27" s="60" t="s">
        <v>252</v>
      </c>
      <c r="D27" s="60" t="s">
        <v>253</v>
      </c>
      <c r="L27" t="s">
        <v>268</v>
      </c>
      <c r="M27" t="s">
        <v>267</v>
      </c>
      <c r="N27">
        <v>2</v>
      </c>
    </row>
    <row r="28" spans="1:14" x14ac:dyDescent="0.3">
      <c r="C28" s="61"/>
      <c r="D28" s="61"/>
      <c r="L28" t="s">
        <v>269</v>
      </c>
      <c r="M28" t="s">
        <v>272</v>
      </c>
      <c r="N28">
        <v>1</v>
      </c>
    </row>
    <row r="29" spans="1:14" x14ac:dyDescent="0.3">
      <c r="C29" s="61"/>
      <c r="D29" s="61"/>
    </row>
    <row r="30" spans="1:14" x14ac:dyDescent="0.3">
      <c r="C30" s="61"/>
      <c r="D30" s="61"/>
      <c r="L30" t="s">
        <v>278</v>
      </c>
      <c r="M30" t="s">
        <v>281</v>
      </c>
      <c r="N30" t="s">
        <v>282</v>
      </c>
    </row>
    <row r="31" spans="1:14" x14ac:dyDescent="0.3">
      <c r="B31" s="34" t="s">
        <v>84</v>
      </c>
      <c r="C31" s="56">
        <f>91232.1417744585+58345.5176</f>
        <v>149577.65937445851</v>
      </c>
      <c r="D31" s="7">
        <f>C31/$C$35</f>
        <v>0.36818623749154777</v>
      </c>
      <c r="E31" s="61" t="s">
        <v>284</v>
      </c>
      <c r="M31" t="s">
        <v>279</v>
      </c>
    </row>
    <row r="32" spans="1:14" x14ac:dyDescent="0.3">
      <c r="B32" s="34" t="s">
        <v>98</v>
      </c>
      <c r="C32" s="56">
        <v>64645.511727091369</v>
      </c>
      <c r="D32" s="7">
        <f t="shared" ref="D32:D34" si="19">C32/$C$35</f>
        <v>0.15912528537385173</v>
      </c>
      <c r="E32" s="61" t="s">
        <v>257</v>
      </c>
      <c r="L32" t="s">
        <v>280</v>
      </c>
      <c r="M32" t="s">
        <v>273</v>
      </c>
    </row>
    <row r="33" spans="1:20" x14ac:dyDescent="0.3">
      <c r="B33" s="34" t="s">
        <v>101</v>
      </c>
      <c r="C33" s="56">
        <v>58154.269466086866</v>
      </c>
      <c r="D33" s="7">
        <f t="shared" si="19"/>
        <v>0.14314705657470872</v>
      </c>
      <c r="E33" t="s">
        <v>259</v>
      </c>
      <c r="L33" t="s">
        <v>274</v>
      </c>
      <c r="M33" t="s">
        <v>275</v>
      </c>
      <c r="N33" t="s">
        <v>276</v>
      </c>
    </row>
    <row r="34" spans="1:20" x14ac:dyDescent="0.3">
      <c r="B34" s="34" t="s">
        <v>79</v>
      </c>
      <c r="C34" s="56">
        <v>51306.376313516856</v>
      </c>
      <c r="D34" s="7">
        <f t="shared" si="19"/>
        <v>0.12629092962946106</v>
      </c>
      <c r="E34" t="s">
        <v>258</v>
      </c>
      <c r="L34" t="s">
        <v>277</v>
      </c>
      <c r="M34" t="s">
        <v>275</v>
      </c>
    </row>
    <row r="35" spans="1:20" x14ac:dyDescent="0.3">
      <c r="B35" s="34"/>
      <c r="C35" s="56">
        <v>406255.43310236378</v>
      </c>
      <c r="D35" s="61"/>
      <c r="L35" t="s">
        <v>340</v>
      </c>
      <c r="M35" s="1" t="s">
        <v>341</v>
      </c>
    </row>
    <row r="36" spans="1:20" x14ac:dyDescent="0.3">
      <c r="B36" s="34"/>
      <c r="C36" s="56"/>
      <c r="M36" t="s">
        <v>345</v>
      </c>
    </row>
    <row r="37" spans="1:20" x14ac:dyDescent="0.3">
      <c r="C37" s="8">
        <v>0.8</v>
      </c>
    </row>
    <row r="38" spans="1:20" x14ac:dyDescent="0.3">
      <c r="C38" s="8">
        <v>0.2</v>
      </c>
    </row>
    <row r="39" spans="1:20" x14ac:dyDescent="0.3">
      <c r="B39" s="64" t="s">
        <v>41</v>
      </c>
      <c r="C39" s="8">
        <v>1</v>
      </c>
    </row>
    <row r="40" spans="1:20" x14ac:dyDescent="0.3">
      <c r="B40" s="64" t="s">
        <v>262</v>
      </c>
      <c r="C40" s="8">
        <f>130%</f>
        <v>1.3</v>
      </c>
    </row>
    <row r="41" spans="1:20" x14ac:dyDescent="0.3">
      <c r="B41" t="s">
        <v>261</v>
      </c>
    </row>
    <row r="44" spans="1:20" x14ac:dyDescent="0.3">
      <c r="A44">
        <v>114</v>
      </c>
      <c r="B44">
        <v>124</v>
      </c>
      <c r="C44">
        <v>153</v>
      </c>
      <c r="D44">
        <v>200</v>
      </c>
      <c r="E44">
        <v>222</v>
      </c>
      <c r="F44">
        <v>267</v>
      </c>
      <c r="G44">
        <v>279</v>
      </c>
      <c r="H44">
        <v>452</v>
      </c>
      <c r="I44">
        <v>728</v>
      </c>
      <c r="J44">
        <v>197</v>
      </c>
      <c r="R44">
        <v>56.656999999999996</v>
      </c>
      <c r="S44">
        <v>100</v>
      </c>
      <c r="T44" s="39">
        <f>Q44+R44*S44</f>
        <v>5665.7</v>
      </c>
    </row>
    <row r="45" spans="1:20" x14ac:dyDescent="0.3">
      <c r="R45">
        <v>56.656999999999996</v>
      </c>
      <c r="S45">
        <v>124</v>
      </c>
      <c r="T45" s="39">
        <f t="shared" ref="T45:T53" si="20">Q45+R45*S45</f>
        <v>7025.4679999999998</v>
      </c>
    </row>
    <row r="46" spans="1:20" x14ac:dyDescent="0.3">
      <c r="R46">
        <v>56.656999999999996</v>
      </c>
      <c r="S46">
        <v>153</v>
      </c>
      <c r="T46" s="39">
        <f t="shared" si="20"/>
        <v>8668.5209999999988</v>
      </c>
    </row>
    <row r="47" spans="1:20" x14ac:dyDescent="0.3">
      <c r="R47">
        <v>56.656999999999996</v>
      </c>
      <c r="S47">
        <v>200</v>
      </c>
      <c r="T47" s="39">
        <f t="shared" si="20"/>
        <v>11331.4</v>
      </c>
    </row>
    <row r="48" spans="1:20" x14ac:dyDescent="0.3">
      <c r="B48">
        <v>114</v>
      </c>
      <c r="C48" s="33">
        <v>18014.137662999317</v>
      </c>
      <c r="R48">
        <v>56.656999999999996</v>
      </c>
      <c r="S48">
        <v>222</v>
      </c>
      <c r="T48" s="39">
        <f t="shared" si="20"/>
        <v>12577.853999999999</v>
      </c>
    </row>
    <row r="49" spans="1:20" x14ac:dyDescent="0.3">
      <c r="B49">
        <v>124</v>
      </c>
      <c r="C49" s="33">
        <v>25927.964943248058</v>
      </c>
      <c r="R49">
        <v>56.656999999999996</v>
      </c>
      <c r="S49">
        <v>267</v>
      </c>
      <c r="T49" s="39">
        <f t="shared" si="20"/>
        <v>15127.419</v>
      </c>
    </row>
    <row r="50" spans="1:20" x14ac:dyDescent="0.3">
      <c r="B50">
        <v>153</v>
      </c>
      <c r="C50" s="33">
        <v>35992.007148221368</v>
      </c>
      <c r="R50">
        <v>56.656999999999996</v>
      </c>
      <c r="S50">
        <v>279</v>
      </c>
      <c r="T50" s="39">
        <f t="shared" si="20"/>
        <v>15807.303</v>
      </c>
    </row>
    <row r="51" spans="1:20" x14ac:dyDescent="0.3">
      <c r="B51">
        <v>200</v>
      </c>
      <c r="C51" s="33">
        <v>26904.208598121444</v>
      </c>
      <c r="R51">
        <v>56.656999999999996</v>
      </c>
      <c r="S51">
        <v>452</v>
      </c>
      <c r="T51" s="39">
        <f t="shared" si="20"/>
        <v>25608.964</v>
      </c>
    </row>
    <row r="52" spans="1:20" x14ac:dyDescent="0.3">
      <c r="B52">
        <v>222</v>
      </c>
      <c r="C52" s="33">
        <v>32550.711135996953</v>
      </c>
      <c r="R52">
        <v>56.656999999999996</v>
      </c>
      <c r="S52">
        <v>728</v>
      </c>
      <c r="T52" s="39">
        <f t="shared" si="20"/>
        <v>41246.295999999995</v>
      </c>
    </row>
    <row r="53" spans="1:20" x14ac:dyDescent="0.3">
      <c r="B53">
        <v>267</v>
      </c>
      <c r="C53" s="33">
        <v>39280.854533681741</v>
      </c>
      <c r="R53">
        <v>56.656999999999996</v>
      </c>
      <c r="S53">
        <v>197</v>
      </c>
      <c r="T53" s="39">
        <f t="shared" si="20"/>
        <v>11161.429</v>
      </c>
    </row>
    <row r="54" spans="1:20" x14ac:dyDescent="0.3">
      <c r="B54">
        <v>279</v>
      </c>
      <c r="C54" s="33">
        <v>57236.945751665626</v>
      </c>
      <c r="T54" s="39">
        <f>SUM(T44:T53)</f>
        <v>154220.35400000002</v>
      </c>
    </row>
    <row r="55" spans="1:20" x14ac:dyDescent="0.3">
      <c r="B55">
        <v>452</v>
      </c>
      <c r="C55" s="33">
        <v>52086.370309882223</v>
      </c>
    </row>
    <row r="56" spans="1:20" x14ac:dyDescent="0.3">
      <c r="B56">
        <v>728</v>
      </c>
      <c r="C56" s="33">
        <v>52416.156235971888</v>
      </c>
    </row>
    <row r="57" spans="1:20" x14ac:dyDescent="0.3">
      <c r="B57">
        <v>197</v>
      </c>
      <c r="C57" s="33">
        <v>7500.559182575239</v>
      </c>
    </row>
    <row r="61" spans="1:20" x14ac:dyDescent="0.3">
      <c r="B61">
        <v>3546</v>
      </c>
      <c r="C61">
        <v>26108</v>
      </c>
      <c r="D61">
        <v>8187</v>
      </c>
      <c r="E61">
        <v>13705</v>
      </c>
      <c r="F61">
        <v>8562</v>
      </c>
      <c r="G61">
        <v>10716</v>
      </c>
      <c r="H61">
        <v>11886</v>
      </c>
      <c r="I61">
        <v>10456</v>
      </c>
      <c r="J61">
        <v>16419</v>
      </c>
      <c r="K61">
        <v>3655</v>
      </c>
    </row>
    <row r="62" spans="1:20" x14ac:dyDescent="0.3">
      <c r="A62">
        <f>B62*0.1437</f>
        <v>509.56019999999995</v>
      </c>
      <c r="B62">
        <v>3546</v>
      </c>
      <c r="C62" s="33">
        <v>18014.137662999317</v>
      </c>
    </row>
    <row r="63" spans="1:20" x14ac:dyDescent="0.3">
      <c r="A63">
        <f>B63*0.1437</f>
        <v>3751.7195999999999</v>
      </c>
      <c r="B63">
        <v>26108</v>
      </c>
      <c r="C63">
        <v>25927.964943248058</v>
      </c>
    </row>
    <row r="64" spans="1:20" x14ac:dyDescent="0.3">
      <c r="A64">
        <f t="shared" ref="A64:A71" si="21">B64*0.1437</f>
        <v>1176.4719</v>
      </c>
      <c r="B64">
        <v>8187</v>
      </c>
      <c r="C64" s="33">
        <v>35992.007148221368</v>
      </c>
    </row>
    <row r="65" spans="1:16" x14ac:dyDescent="0.3">
      <c r="A65">
        <f t="shared" si="21"/>
        <v>1969.4085</v>
      </c>
      <c r="B65">
        <v>13705</v>
      </c>
      <c r="C65" s="33">
        <v>26904.208598121444</v>
      </c>
      <c r="O65" t="s">
        <v>278</v>
      </c>
      <c r="P65" t="s">
        <v>7</v>
      </c>
    </row>
    <row r="66" spans="1:16" x14ac:dyDescent="0.3">
      <c r="A66">
        <f t="shared" si="21"/>
        <v>1230.3594000000001</v>
      </c>
      <c r="B66">
        <v>8562</v>
      </c>
      <c r="C66" s="33">
        <v>32550.711135996953</v>
      </c>
      <c r="O66">
        <v>7665.1</v>
      </c>
      <c r="P66">
        <v>2.9</v>
      </c>
    </row>
    <row r="67" spans="1:16" x14ac:dyDescent="0.3">
      <c r="A67">
        <f t="shared" si="21"/>
        <v>1539.8891999999998</v>
      </c>
      <c r="B67">
        <v>10716</v>
      </c>
      <c r="C67" s="33">
        <v>39280.854533681741</v>
      </c>
    </row>
    <row r="68" spans="1:16" x14ac:dyDescent="0.3">
      <c r="A68">
        <f t="shared" si="21"/>
        <v>1708.0182</v>
      </c>
      <c r="B68">
        <v>11886</v>
      </c>
      <c r="C68" s="33">
        <v>57236.945751665626</v>
      </c>
    </row>
    <row r="69" spans="1:16" x14ac:dyDescent="0.3">
      <c r="A69">
        <f t="shared" si="21"/>
        <v>1502.5272</v>
      </c>
      <c r="B69">
        <v>10456</v>
      </c>
      <c r="C69" s="33">
        <v>52086.370309882223</v>
      </c>
    </row>
    <row r="70" spans="1:16" x14ac:dyDescent="0.3">
      <c r="A70">
        <f t="shared" si="21"/>
        <v>2359.4103</v>
      </c>
      <c r="B70">
        <v>16419</v>
      </c>
      <c r="C70" s="33">
        <v>52416.156235971888</v>
      </c>
    </row>
    <row r="71" spans="1:16" x14ac:dyDescent="0.3">
      <c r="A71">
        <f t="shared" si="21"/>
        <v>525.22349999999994</v>
      </c>
      <c r="B71">
        <v>3655</v>
      </c>
      <c r="C71" s="33">
        <v>7500.559182575239</v>
      </c>
    </row>
    <row r="82" spans="1:12" x14ac:dyDescent="0.3">
      <c r="A82" t="s">
        <v>285</v>
      </c>
      <c r="B82" t="s">
        <v>287</v>
      </c>
      <c r="C82" t="s">
        <v>289</v>
      </c>
      <c r="D82" t="s">
        <v>111</v>
      </c>
      <c r="H82" t="s">
        <v>290</v>
      </c>
      <c r="I82" t="s">
        <v>287</v>
      </c>
      <c r="J82" t="s">
        <v>37</v>
      </c>
      <c r="K82" t="s">
        <v>294</v>
      </c>
      <c r="L82" t="s">
        <v>295</v>
      </c>
    </row>
    <row r="83" spans="1:12" x14ac:dyDescent="0.3">
      <c r="A83" t="s">
        <v>286</v>
      </c>
      <c r="B83">
        <v>100</v>
      </c>
      <c r="D83" s="23">
        <v>3.64</v>
      </c>
      <c r="E83" t="s">
        <v>288</v>
      </c>
      <c r="H83" t="s">
        <v>291</v>
      </c>
      <c r="I83">
        <v>100</v>
      </c>
      <c r="L83">
        <v>1</v>
      </c>
    </row>
    <row r="84" spans="1:12" x14ac:dyDescent="0.3">
      <c r="H84" t="s">
        <v>292</v>
      </c>
      <c r="I84">
        <v>200</v>
      </c>
    </row>
    <row r="88" spans="1:12" x14ac:dyDescent="0.3">
      <c r="H88" t="s">
        <v>293</v>
      </c>
      <c r="I88">
        <v>10</v>
      </c>
    </row>
    <row r="89" spans="1:12" x14ac:dyDescent="0.3">
      <c r="I89">
        <v>0</v>
      </c>
    </row>
    <row r="93" spans="1:12" x14ac:dyDescent="0.3">
      <c r="G93" t="s">
        <v>299</v>
      </c>
      <c r="I93" t="s">
        <v>37</v>
      </c>
      <c r="J93" t="s">
        <v>27</v>
      </c>
    </row>
    <row r="94" spans="1:12" x14ac:dyDescent="0.3">
      <c r="E94" t="s">
        <v>300</v>
      </c>
      <c r="F94" t="s">
        <v>296</v>
      </c>
      <c r="G94">
        <v>100</v>
      </c>
      <c r="H94">
        <v>5</v>
      </c>
      <c r="J94">
        <v>100</v>
      </c>
    </row>
    <row r="95" spans="1:12" x14ac:dyDescent="0.3">
      <c r="E95" t="s">
        <v>301</v>
      </c>
      <c r="F95" t="s">
        <v>297</v>
      </c>
      <c r="G95">
        <v>100</v>
      </c>
      <c r="H95">
        <v>5</v>
      </c>
      <c r="J95">
        <v>0</v>
      </c>
    </row>
    <row r="96" spans="1:12" x14ac:dyDescent="0.3">
      <c r="E96" t="s">
        <v>302</v>
      </c>
      <c r="F96" t="s">
        <v>298</v>
      </c>
      <c r="G96">
        <v>100</v>
      </c>
      <c r="H96">
        <v>5</v>
      </c>
      <c r="J96">
        <v>30</v>
      </c>
    </row>
    <row r="109" spans="1:12" x14ac:dyDescent="0.3">
      <c r="A109" t="s">
        <v>327</v>
      </c>
      <c r="B109" t="s">
        <v>217</v>
      </c>
      <c r="C109" s="65">
        <v>45658</v>
      </c>
      <c r="D109" s="65">
        <v>45689</v>
      </c>
      <c r="E109" s="65">
        <v>45717</v>
      </c>
      <c r="F109" s="65">
        <v>45748</v>
      </c>
      <c r="G109" s="65">
        <v>45778</v>
      </c>
      <c r="H109" s="65">
        <v>45809</v>
      </c>
      <c r="I109" s="65">
        <v>45839</v>
      </c>
      <c r="J109" s="65">
        <v>45870</v>
      </c>
      <c r="K109" s="65">
        <v>45901</v>
      </c>
    </row>
    <row r="110" spans="1:12" x14ac:dyDescent="0.3">
      <c r="A110" t="s">
        <v>328</v>
      </c>
      <c r="B110" t="s">
        <v>303</v>
      </c>
      <c r="C110">
        <v>0</v>
      </c>
      <c r="D110">
        <v>0</v>
      </c>
      <c r="E110">
        <v>0</v>
      </c>
      <c r="F110">
        <v>0</v>
      </c>
      <c r="G110">
        <v>61</v>
      </c>
      <c r="H110">
        <v>32</v>
      </c>
      <c r="I110">
        <v>106</v>
      </c>
      <c r="J110">
        <v>98</v>
      </c>
      <c r="K110">
        <v>75</v>
      </c>
      <c r="L110">
        <f t="shared" ref="L110:L141" si="22">SUM(C110:K110)</f>
        <v>372</v>
      </c>
    </row>
    <row r="111" spans="1:12" x14ac:dyDescent="0.3">
      <c r="A111" t="s">
        <v>328</v>
      </c>
      <c r="B111" t="s">
        <v>304</v>
      </c>
      <c r="C111">
        <v>0</v>
      </c>
      <c r="D111">
        <v>0</v>
      </c>
      <c r="E111">
        <v>0</v>
      </c>
      <c r="F111">
        <v>336</v>
      </c>
      <c r="G111">
        <v>90</v>
      </c>
      <c r="H111">
        <v>42</v>
      </c>
      <c r="I111">
        <v>51</v>
      </c>
      <c r="J111">
        <v>74</v>
      </c>
      <c r="K111">
        <v>42</v>
      </c>
      <c r="L111">
        <f t="shared" si="22"/>
        <v>635</v>
      </c>
    </row>
    <row r="112" spans="1:12" x14ac:dyDescent="0.3">
      <c r="A112" t="s">
        <v>328</v>
      </c>
      <c r="B112" t="s">
        <v>305</v>
      </c>
      <c r="C112">
        <v>0</v>
      </c>
      <c r="D112">
        <v>1</v>
      </c>
      <c r="E112">
        <v>10</v>
      </c>
      <c r="F112">
        <v>133</v>
      </c>
      <c r="G112">
        <v>70</v>
      </c>
      <c r="H112">
        <v>78</v>
      </c>
      <c r="I112">
        <v>202</v>
      </c>
      <c r="J112">
        <v>374</v>
      </c>
      <c r="K112">
        <v>216</v>
      </c>
      <c r="L112">
        <f t="shared" si="22"/>
        <v>1084</v>
      </c>
    </row>
    <row r="113" spans="1:12" x14ac:dyDescent="0.3">
      <c r="A113" t="s">
        <v>328</v>
      </c>
      <c r="B113" t="s">
        <v>306</v>
      </c>
      <c r="C113">
        <v>0</v>
      </c>
      <c r="D113">
        <v>0</v>
      </c>
      <c r="E113">
        <v>4</v>
      </c>
      <c r="F113">
        <v>7</v>
      </c>
      <c r="G113">
        <v>10</v>
      </c>
      <c r="H113">
        <v>14</v>
      </c>
      <c r="I113">
        <v>84</v>
      </c>
      <c r="J113">
        <v>22</v>
      </c>
      <c r="K113">
        <v>8</v>
      </c>
      <c r="L113">
        <f t="shared" si="22"/>
        <v>149</v>
      </c>
    </row>
    <row r="114" spans="1:12" x14ac:dyDescent="0.3">
      <c r="A114" t="s">
        <v>328</v>
      </c>
      <c r="B114" t="s">
        <v>307</v>
      </c>
      <c r="C114">
        <v>0</v>
      </c>
      <c r="D114">
        <v>0</v>
      </c>
      <c r="E114">
        <v>0</v>
      </c>
      <c r="F114">
        <v>0</v>
      </c>
      <c r="G114">
        <v>74</v>
      </c>
      <c r="H114">
        <v>183</v>
      </c>
      <c r="I114">
        <v>205</v>
      </c>
      <c r="J114">
        <v>92</v>
      </c>
      <c r="K114">
        <v>40</v>
      </c>
      <c r="L114">
        <f t="shared" si="22"/>
        <v>594</v>
      </c>
    </row>
    <row r="115" spans="1:12" x14ac:dyDescent="0.3">
      <c r="A115" t="s">
        <v>328</v>
      </c>
      <c r="B115" t="s">
        <v>308</v>
      </c>
      <c r="C115">
        <v>187</v>
      </c>
      <c r="D115">
        <v>207</v>
      </c>
      <c r="E115">
        <v>165</v>
      </c>
      <c r="F115">
        <v>91</v>
      </c>
      <c r="G115">
        <v>496</v>
      </c>
      <c r="H115">
        <v>43</v>
      </c>
      <c r="I115">
        <v>96</v>
      </c>
      <c r="J115">
        <v>193</v>
      </c>
      <c r="K115">
        <v>124</v>
      </c>
      <c r="L115">
        <f t="shared" si="22"/>
        <v>1602</v>
      </c>
    </row>
    <row r="116" spans="1:12" x14ac:dyDescent="0.3">
      <c r="A116" t="s">
        <v>328</v>
      </c>
      <c r="B116" t="s">
        <v>309</v>
      </c>
      <c r="C116">
        <v>294</v>
      </c>
      <c r="D116">
        <v>478</v>
      </c>
      <c r="E116">
        <v>78</v>
      </c>
      <c r="F116">
        <v>1758</v>
      </c>
      <c r="G116">
        <v>145</v>
      </c>
      <c r="H116">
        <v>1253</v>
      </c>
      <c r="I116">
        <v>2137</v>
      </c>
      <c r="J116">
        <v>709</v>
      </c>
      <c r="K116">
        <v>793</v>
      </c>
      <c r="L116">
        <f t="shared" si="22"/>
        <v>7645</v>
      </c>
    </row>
    <row r="117" spans="1:12" x14ac:dyDescent="0.3">
      <c r="A117" t="s">
        <v>328</v>
      </c>
      <c r="B117" t="s">
        <v>310</v>
      </c>
      <c r="C117">
        <v>109</v>
      </c>
      <c r="D117">
        <v>8</v>
      </c>
      <c r="E117">
        <v>87</v>
      </c>
      <c r="F117">
        <v>10</v>
      </c>
      <c r="G117">
        <v>0</v>
      </c>
      <c r="H117">
        <v>294</v>
      </c>
      <c r="I117">
        <v>206</v>
      </c>
      <c r="J117">
        <v>75</v>
      </c>
      <c r="K117">
        <v>230</v>
      </c>
      <c r="L117">
        <f t="shared" si="22"/>
        <v>1019</v>
      </c>
    </row>
    <row r="118" spans="1:12" x14ac:dyDescent="0.3">
      <c r="A118" t="s">
        <v>328</v>
      </c>
      <c r="B118" t="s">
        <v>311</v>
      </c>
      <c r="C118">
        <v>102</v>
      </c>
      <c r="D118">
        <v>69</v>
      </c>
      <c r="E118">
        <v>81</v>
      </c>
      <c r="F118">
        <v>21</v>
      </c>
      <c r="G118">
        <v>0</v>
      </c>
      <c r="H118">
        <v>0</v>
      </c>
      <c r="I118">
        <v>0</v>
      </c>
      <c r="J118">
        <v>0</v>
      </c>
      <c r="K118">
        <v>0</v>
      </c>
      <c r="L118">
        <f t="shared" si="22"/>
        <v>273</v>
      </c>
    </row>
    <row r="119" spans="1:12" x14ac:dyDescent="0.3">
      <c r="A119" t="s">
        <v>328</v>
      </c>
      <c r="B119" t="s">
        <v>312</v>
      </c>
      <c r="C119">
        <v>40</v>
      </c>
      <c r="D119">
        <v>20</v>
      </c>
      <c r="E119">
        <v>29</v>
      </c>
      <c r="F119">
        <v>3</v>
      </c>
      <c r="G119">
        <v>0</v>
      </c>
      <c r="H119">
        <v>0</v>
      </c>
      <c r="I119">
        <v>0</v>
      </c>
      <c r="J119">
        <v>0</v>
      </c>
      <c r="K119">
        <v>0</v>
      </c>
      <c r="L119">
        <f t="shared" si="22"/>
        <v>92</v>
      </c>
    </row>
    <row r="120" spans="1:12" x14ac:dyDescent="0.3">
      <c r="A120" t="s">
        <v>328</v>
      </c>
      <c r="B120" t="s">
        <v>313</v>
      </c>
      <c r="C120">
        <v>0</v>
      </c>
      <c r="D120">
        <v>0</v>
      </c>
      <c r="E120">
        <v>0</v>
      </c>
      <c r="F120">
        <v>0</v>
      </c>
      <c r="G120">
        <v>0</v>
      </c>
      <c r="H120">
        <v>0</v>
      </c>
      <c r="I120">
        <v>0</v>
      </c>
      <c r="J120">
        <v>0</v>
      </c>
      <c r="K120">
        <v>62</v>
      </c>
      <c r="L120">
        <f t="shared" si="22"/>
        <v>62</v>
      </c>
    </row>
    <row r="121" spans="1:12" x14ac:dyDescent="0.3">
      <c r="A121" t="s">
        <v>328</v>
      </c>
      <c r="B121" t="s">
        <v>314</v>
      </c>
      <c r="C121">
        <v>5</v>
      </c>
      <c r="D121">
        <v>0</v>
      </c>
      <c r="E121">
        <v>1</v>
      </c>
      <c r="F121">
        <v>1</v>
      </c>
      <c r="G121">
        <v>0</v>
      </c>
      <c r="H121">
        <v>0</v>
      </c>
      <c r="I121">
        <v>0</v>
      </c>
      <c r="J121">
        <v>0</v>
      </c>
      <c r="K121">
        <v>0</v>
      </c>
      <c r="L121">
        <f t="shared" si="22"/>
        <v>7</v>
      </c>
    </row>
    <row r="122" spans="1:12" x14ac:dyDescent="0.3">
      <c r="A122" t="s">
        <v>328</v>
      </c>
      <c r="B122" t="s">
        <v>315</v>
      </c>
      <c r="C122">
        <v>5</v>
      </c>
      <c r="D122">
        <v>2</v>
      </c>
      <c r="E122">
        <v>2</v>
      </c>
      <c r="F122">
        <v>2</v>
      </c>
      <c r="G122">
        <v>0</v>
      </c>
      <c r="H122">
        <v>0</v>
      </c>
      <c r="I122">
        <v>0</v>
      </c>
      <c r="J122">
        <v>0</v>
      </c>
      <c r="K122">
        <v>0</v>
      </c>
      <c r="L122">
        <f t="shared" si="22"/>
        <v>11</v>
      </c>
    </row>
    <row r="123" spans="1:12" x14ac:dyDescent="0.3">
      <c r="A123" t="s">
        <v>328</v>
      </c>
      <c r="B123" t="s">
        <v>316</v>
      </c>
      <c r="C123">
        <v>122</v>
      </c>
      <c r="D123">
        <v>125</v>
      </c>
      <c r="E123">
        <v>106</v>
      </c>
      <c r="F123">
        <v>712</v>
      </c>
      <c r="G123">
        <v>267</v>
      </c>
      <c r="H123">
        <v>868</v>
      </c>
      <c r="I123">
        <v>424</v>
      </c>
      <c r="J123">
        <v>385</v>
      </c>
      <c r="K123">
        <v>1755</v>
      </c>
      <c r="L123">
        <f t="shared" si="22"/>
        <v>4764</v>
      </c>
    </row>
    <row r="124" spans="1:12" x14ac:dyDescent="0.3">
      <c r="A124" t="s">
        <v>328</v>
      </c>
      <c r="B124" t="s">
        <v>317</v>
      </c>
      <c r="C124">
        <v>286</v>
      </c>
      <c r="D124">
        <v>186</v>
      </c>
      <c r="E124">
        <v>59</v>
      </c>
      <c r="F124">
        <v>1304</v>
      </c>
      <c r="G124">
        <v>211</v>
      </c>
      <c r="H124">
        <v>520</v>
      </c>
      <c r="I124">
        <v>409</v>
      </c>
      <c r="J124">
        <v>777</v>
      </c>
      <c r="K124">
        <v>444</v>
      </c>
      <c r="L124">
        <f t="shared" si="22"/>
        <v>4196</v>
      </c>
    </row>
    <row r="125" spans="1:12" x14ac:dyDescent="0.3">
      <c r="A125" t="s">
        <v>328</v>
      </c>
      <c r="B125" t="s">
        <v>318</v>
      </c>
      <c r="C125">
        <v>0</v>
      </c>
      <c r="D125">
        <v>0</v>
      </c>
      <c r="E125">
        <v>0</v>
      </c>
      <c r="F125">
        <v>0</v>
      </c>
      <c r="G125">
        <v>0</v>
      </c>
      <c r="H125">
        <v>20</v>
      </c>
      <c r="I125">
        <v>62</v>
      </c>
      <c r="J125">
        <v>169</v>
      </c>
      <c r="K125">
        <v>69</v>
      </c>
      <c r="L125">
        <f t="shared" si="22"/>
        <v>320</v>
      </c>
    </row>
    <row r="126" spans="1:12" x14ac:dyDescent="0.3">
      <c r="A126" t="s">
        <v>328</v>
      </c>
      <c r="B126" t="s">
        <v>319</v>
      </c>
      <c r="C126">
        <v>64</v>
      </c>
      <c r="D126">
        <v>192</v>
      </c>
      <c r="E126">
        <v>86</v>
      </c>
      <c r="F126">
        <v>2413</v>
      </c>
      <c r="G126">
        <v>2622</v>
      </c>
      <c r="H126">
        <v>2182</v>
      </c>
      <c r="I126">
        <v>913</v>
      </c>
      <c r="J126">
        <v>876</v>
      </c>
      <c r="K126">
        <v>1922</v>
      </c>
      <c r="L126">
        <f t="shared" si="22"/>
        <v>11270</v>
      </c>
    </row>
    <row r="127" spans="1:12" x14ac:dyDescent="0.3">
      <c r="A127" t="s">
        <v>328</v>
      </c>
      <c r="B127" t="s">
        <v>320</v>
      </c>
      <c r="C127">
        <v>27</v>
      </c>
      <c r="D127">
        <v>22</v>
      </c>
      <c r="E127">
        <v>11</v>
      </c>
      <c r="F127">
        <v>27</v>
      </c>
      <c r="G127">
        <v>54</v>
      </c>
      <c r="H127">
        <v>206</v>
      </c>
      <c r="I127">
        <v>167</v>
      </c>
      <c r="J127">
        <v>181</v>
      </c>
      <c r="K127">
        <v>110</v>
      </c>
      <c r="L127">
        <f t="shared" si="22"/>
        <v>805</v>
      </c>
    </row>
    <row r="128" spans="1:12" x14ac:dyDescent="0.3">
      <c r="A128" t="s">
        <v>328</v>
      </c>
      <c r="B128" t="s">
        <v>321</v>
      </c>
      <c r="C128">
        <v>54</v>
      </c>
      <c r="D128">
        <v>1225</v>
      </c>
      <c r="E128">
        <v>45</v>
      </c>
      <c r="F128">
        <v>42</v>
      </c>
      <c r="G128">
        <v>32</v>
      </c>
      <c r="H128">
        <v>5</v>
      </c>
      <c r="I128">
        <v>10</v>
      </c>
      <c r="J128">
        <v>0</v>
      </c>
      <c r="K128">
        <v>2</v>
      </c>
      <c r="L128">
        <f t="shared" si="22"/>
        <v>1415</v>
      </c>
    </row>
    <row r="129" spans="1:12" x14ac:dyDescent="0.3">
      <c r="A129" t="s">
        <v>328</v>
      </c>
      <c r="B129" t="s">
        <v>322</v>
      </c>
      <c r="C129">
        <v>0</v>
      </c>
      <c r="D129">
        <v>0</v>
      </c>
      <c r="E129">
        <v>5</v>
      </c>
      <c r="F129">
        <v>17</v>
      </c>
      <c r="G129">
        <v>0</v>
      </c>
      <c r="H129">
        <v>19</v>
      </c>
      <c r="I129">
        <v>0</v>
      </c>
      <c r="J129">
        <v>0</v>
      </c>
      <c r="K129">
        <v>0</v>
      </c>
      <c r="L129">
        <f t="shared" si="22"/>
        <v>41</v>
      </c>
    </row>
    <row r="130" spans="1:12" x14ac:dyDescent="0.3">
      <c r="A130" t="s">
        <v>328</v>
      </c>
      <c r="B130" t="s">
        <v>323</v>
      </c>
      <c r="C130">
        <v>125</v>
      </c>
      <c r="D130">
        <v>14383</v>
      </c>
      <c r="E130">
        <v>128</v>
      </c>
      <c r="F130">
        <v>1251</v>
      </c>
      <c r="G130">
        <v>93</v>
      </c>
      <c r="H130">
        <v>128</v>
      </c>
      <c r="I130">
        <v>140</v>
      </c>
      <c r="J130">
        <v>289</v>
      </c>
      <c r="K130">
        <v>158</v>
      </c>
      <c r="L130">
        <f t="shared" si="22"/>
        <v>16695</v>
      </c>
    </row>
    <row r="131" spans="1:12" x14ac:dyDescent="0.3">
      <c r="A131" t="s">
        <v>328</v>
      </c>
      <c r="B131" t="s">
        <v>324</v>
      </c>
      <c r="C131">
        <v>0</v>
      </c>
      <c r="D131">
        <v>0</v>
      </c>
      <c r="E131">
        <v>0</v>
      </c>
      <c r="F131">
        <v>0</v>
      </c>
      <c r="G131">
        <v>0</v>
      </c>
      <c r="H131">
        <v>0</v>
      </c>
      <c r="I131">
        <v>0</v>
      </c>
      <c r="J131">
        <v>1</v>
      </c>
      <c r="K131">
        <v>30</v>
      </c>
      <c r="L131">
        <f t="shared" si="22"/>
        <v>31</v>
      </c>
    </row>
    <row r="132" spans="1:12" x14ac:dyDescent="0.3">
      <c r="A132" t="s">
        <v>329</v>
      </c>
      <c r="B132" t="s">
        <v>303</v>
      </c>
      <c r="C132">
        <v>0</v>
      </c>
      <c r="D132">
        <v>0</v>
      </c>
      <c r="E132">
        <v>0</v>
      </c>
      <c r="F132">
        <v>0</v>
      </c>
      <c r="G132">
        <v>0</v>
      </c>
      <c r="H132">
        <v>0</v>
      </c>
      <c r="I132">
        <v>5</v>
      </c>
      <c r="J132">
        <v>60</v>
      </c>
      <c r="K132">
        <v>101</v>
      </c>
      <c r="L132">
        <f t="shared" si="22"/>
        <v>166</v>
      </c>
    </row>
    <row r="133" spans="1:12" x14ac:dyDescent="0.3">
      <c r="A133" t="s">
        <v>329</v>
      </c>
      <c r="B133" t="s">
        <v>304</v>
      </c>
      <c r="C133">
        <v>0</v>
      </c>
      <c r="D133">
        <v>0</v>
      </c>
      <c r="E133">
        <v>400</v>
      </c>
      <c r="F133">
        <v>130</v>
      </c>
      <c r="G133">
        <v>3</v>
      </c>
      <c r="H133">
        <v>0</v>
      </c>
      <c r="I133">
        <v>0</v>
      </c>
      <c r="J133">
        <v>75</v>
      </c>
      <c r="K133">
        <v>174</v>
      </c>
      <c r="L133">
        <f t="shared" si="22"/>
        <v>782</v>
      </c>
    </row>
    <row r="134" spans="1:12" x14ac:dyDescent="0.3">
      <c r="A134" t="s">
        <v>329</v>
      </c>
      <c r="B134" t="s">
        <v>305</v>
      </c>
      <c r="C134">
        <v>0</v>
      </c>
      <c r="D134">
        <v>13</v>
      </c>
      <c r="E134">
        <v>261</v>
      </c>
      <c r="F134">
        <v>26</v>
      </c>
      <c r="G134">
        <v>1</v>
      </c>
      <c r="H134">
        <v>0</v>
      </c>
      <c r="I134">
        <v>2</v>
      </c>
      <c r="J134">
        <v>88</v>
      </c>
      <c r="K134">
        <v>199</v>
      </c>
      <c r="L134">
        <f t="shared" si="22"/>
        <v>590</v>
      </c>
    </row>
    <row r="135" spans="1:12" x14ac:dyDescent="0.3">
      <c r="A135" t="s">
        <v>329</v>
      </c>
      <c r="B135" t="s">
        <v>306</v>
      </c>
      <c r="C135">
        <v>0</v>
      </c>
      <c r="D135">
        <v>15</v>
      </c>
      <c r="E135">
        <v>3</v>
      </c>
      <c r="F135">
        <v>0</v>
      </c>
      <c r="G135">
        <v>2</v>
      </c>
      <c r="H135">
        <v>0</v>
      </c>
      <c r="I135">
        <v>0</v>
      </c>
      <c r="J135">
        <v>6</v>
      </c>
      <c r="K135">
        <v>12</v>
      </c>
      <c r="L135">
        <f t="shared" si="22"/>
        <v>38</v>
      </c>
    </row>
    <row r="136" spans="1:12" x14ac:dyDescent="0.3">
      <c r="A136" t="s">
        <v>329</v>
      </c>
      <c r="B136" t="s">
        <v>307</v>
      </c>
      <c r="C136">
        <v>0</v>
      </c>
      <c r="D136">
        <v>0</v>
      </c>
      <c r="E136">
        <v>0</v>
      </c>
      <c r="F136">
        <v>0</v>
      </c>
      <c r="G136">
        <v>0</v>
      </c>
      <c r="H136">
        <v>0</v>
      </c>
      <c r="I136">
        <v>0</v>
      </c>
      <c r="J136">
        <v>25</v>
      </c>
      <c r="K136">
        <v>55</v>
      </c>
      <c r="L136">
        <f t="shared" si="22"/>
        <v>80</v>
      </c>
    </row>
    <row r="137" spans="1:12" x14ac:dyDescent="0.3">
      <c r="A137" t="s">
        <v>329</v>
      </c>
      <c r="B137" t="s">
        <v>308</v>
      </c>
      <c r="C137">
        <v>0</v>
      </c>
      <c r="D137">
        <v>20</v>
      </c>
      <c r="E137">
        <v>2</v>
      </c>
      <c r="F137">
        <v>7</v>
      </c>
      <c r="G137">
        <v>23</v>
      </c>
      <c r="H137">
        <v>2</v>
      </c>
      <c r="I137">
        <v>1</v>
      </c>
      <c r="J137">
        <v>63</v>
      </c>
      <c r="K137">
        <v>140</v>
      </c>
      <c r="L137">
        <f t="shared" si="22"/>
        <v>258</v>
      </c>
    </row>
    <row r="138" spans="1:12" x14ac:dyDescent="0.3">
      <c r="A138" t="s">
        <v>329</v>
      </c>
      <c r="B138" t="s">
        <v>309</v>
      </c>
      <c r="C138">
        <v>3</v>
      </c>
      <c r="D138">
        <v>25</v>
      </c>
      <c r="E138">
        <v>25</v>
      </c>
      <c r="F138">
        <v>126</v>
      </c>
      <c r="G138">
        <v>3</v>
      </c>
      <c r="H138">
        <v>1</v>
      </c>
      <c r="I138">
        <v>10</v>
      </c>
      <c r="J138">
        <v>215</v>
      </c>
      <c r="K138">
        <v>768</v>
      </c>
      <c r="L138">
        <f t="shared" si="22"/>
        <v>1176</v>
      </c>
    </row>
    <row r="139" spans="1:12" x14ac:dyDescent="0.3">
      <c r="A139" t="s">
        <v>329</v>
      </c>
      <c r="B139" t="s">
        <v>310</v>
      </c>
      <c r="C139">
        <v>0</v>
      </c>
      <c r="D139">
        <v>15</v>
      </c>
      <c r="E139">
        <v>17</v>
      </c>
      <c r="F139">
        <v>0</v>
      </c>
      <c r="G139">
        <v>0</v>
      </c>
      <c r="H139">
        <v>3</v>
      </c>
      <c r="I139">
        <v>3</v>
      </c>
      <c r="J139">
        <v>44</v>
      </c>
      <c r="K139">
        <v>71</v>
      </c>
      <c r="L139">
        <f t="shared" si="22"/>
        <v>153</v>
      </c>
    </row>
    <row r="140" spans="1:12" x14ac:dyDescent="0.3">
      <c r="A140" t="s">
        <v>329</v>
      </c>
      <c r="B140" t="s">
        <v>311</v>
      </c>
      <c r="C140">
        <v>101</v>
      </c>
      <c r="D140">
        <v>21</v>
      </c>
      <c r="E140">
        <v>7</v>
      </c>
      <c r="F140">
        <v>0</v>
      </c>
      <c r="G140">
        <v>0</v>
      </c>
      <c r="H140">
        <v>0</v>
      </c>
      <c r="I140">
        <v>0</v>
      </c>
      <c r="J140">
        <v>0</v>
      </c>
      <c r="K140">
        <v>0</v>
      </c>
      <c r="L140">
        <f t="shared" si="22"/>
        <v>129</v>
      </c>
    </row>
    <row r="141" spans="1:12" x14ac:dyDescent="0.3">
      <c r="A141" t="s">
        <v>329</v>
      </c>
      <c r="B141" t="s">
        <v>312</v>
      </c>
      <c r="C141">
        <v>0</v>
      </c>
      <c r="D141">
        <v>4</v>
      </c>
      <c r="E141">
        <v>2</v>
      </c>
      <c r="F141">
        <v>0</v>
      </c>
      <c r="G141">
        <v>0</v>
      </c>
      <c r="H141">
        <v>0</v>
      </c>
      <c r="I141">
        <v>0</v>
      </c>
      <c r="J141">
        <v>0</v>
      </c>
      <c r="K141">
        <v>0</v>
      </c>
      <c r="L141">
        <f t="shared" si="22"/>
        <v>6</v>
      </c>
    </row>
    <row r="142" spans="1:12" x14ac:dyDescent="0.3">
      <c r="A142" t="s">
        <v>329</v>
      </c>
      <c r="B142" t="s">
        <v>313</v>
      </c>
      <c r="C142">
        <v>0</v>
      </c>
      <c r="D142">
        <v>0</v>
      </c>
      <c r="E142">
        <v>0</v>
      </c>
      <c r="F142">
        <v>0</v>
      </c>
      <c r="G142">
        <v>0</v>
      </c>
      <c r="H142">
        <v>0</v>
      </c>
      <c r="I142">
        <v>0</v>
      </c>
      <c r="J142">
        <v>0</v>
      </c>
      <c r="K142">
        <v>2</v>
      </c>
      <c r="L142">
        <f t="shared" ref="L142:L173" si="23">SUM(C142:K142)</f>
        <v>2</v>
      </c>
    </row>
    <row r="143" spans="1:12" x14ac:dyDescent="0.3">
      <c r="A143" t="s">
        <v>329</v>
      </c>
      <c r="B143" t="s">
        <v>315</v>
      </c>
      <c r="C143">
        <v>0</v>
      </c>
      <c r="D143">
        <v>4</v>
      </c>
      <c r="E143">
        <v>0</v>
      </c>
      <c r="F143">
        <v>0</v>
      </c>
      <c r="G143">
        <v>0</v>
      </c>
      <c r="H143">
        <v>0</v>
      </c>
      <c r="I143">
        <v>0</v>
      </c>
      <c r="J143">
        <v>0</v>
      </c>
      <c r="K143">
        <v>0</v>
      </c>
      <c r="L143">
        <f t="shared" si="23"/>
        <v>4</v>
      </c>
    </row>
    <row r="144" spans="1:12" x14ac:dyDescent="0.3">
      <c r="A144" t="s">
        <v>329</v>
      </c>
      <c r="B144" t="s">
        <v>316</v>
      </c>
      <c r="C144">
        <v>0</v>
      </c>
      <c r="D144">
        <v>11</v>
      </c>
      <c r="E144">
        <v>37</v>
      </c>
      <c r="F144">
        <v>27</v>
      </c>
      <c r="G144">
        <v>0</v>
      </c>
      <c r="H144">
        <v>0</v>
      </c>
      <c r="I144">
        <v>5</v>
      </c>
      <c r="J144">
        <v>26</v>
      </c>
      <c r="K144">
        <v>633</v>
      </c>
      <c r="L144">
        <f t="shared" si="23"/>
        <v>739</v>
      </c>
    </row>
    <row r="145" spans="1:12" x14ac:dyDescent="0.3">
      <c r="A145" t="s">
        <v>329</v>
      </c>
      <c r="B145" t="s">
        <v>317</v>
      </c>
      <c r="C145">
        <v>0</v>
      </c>
      <c r="D145">
        <v>20</v>
      </c>
      <c r="E145">
        <v>69</v>
      </c>
      <c r="F145">
        <v>28</v>
      </c>
      <c r="G145">
        <v>0</v>
      </c>
      <c r="H145">
        <v>0</v>
      </c>
      <c r="I145">
        <v>0</v>
      </c>
      <c r="J145">
        <v>2</v>
      </c>
      <c r="K145">
        <v>249</v>
      </c>
      <c r="L145">
        <f t="shared" si="23"/>
        <v>368</v>
      </c>
    </row>
    <row r="146" spans="1:12" x14ac:dyDescent="0.3">
      <c r="A146" t="s">
        <v>329</v>
      </c>
      <c r="B146" t="s">
        <v>318</v>
      </c>
      <c r="C146">
        <v>0</v>
      </c>
      <c r="D146">
        <v>0</v>
      </c>
      <c r="E146">
        <v>0</v>
      </c>
      <c r="F146">
        <v>0</v>
      </c>
      <c r="G146">
        <v>0</v>
      </c>
      <c r="H146">
        <v>0</v>
      </c>
      <c r="I146">
        <v>0</v>
      </c>
      <c r="J146">
        <v>5</v>
      </c>
      <c r="K146">
        <v>79</v>
      </c>
      <c r="L146">
        <f t="shared" si="23"/>
        <v>84</v>
      </c>
    </row>
    <row r="147" spans="1:12" x14ac:dyDescent="0.3">
      <c r="A147" t="s">
        <v>329</v>
      </c>
      <c r="B147" t="s">
        <v>319</v>
      </c>
      <c r="C147">
        <v>11</v>
      </c>
      <c r="D147">
        <v>40</v>
      </c>
      <c r="E147">
        <v>5</v>
      </c>
      <c r="F147">
        <v>851</v>
      </c>
      <c r="G147">
        <v>380</v>
      </c>
      <c r="H147">
        <v>19</v>
      </c>
      <c r="I147">
        <v>5</v>
      </c>
      <c r="J147">
        <v>94</v>
      </c>
      <c r="K147">
        <v>381</v>
      </c>
      <c r="L147">
        <f t="shared" si="23"/>
        <v>1786</v>
      </c>
    </row>
    <row r="148" spans="1:12" x14ac:dyDescent="0.3">
      <c r="A148" t="s">
        <v>329</v>
      </c>
      <c r="B148" t="s">
        <v>320</v>
      </c>
      <c r="C148">
        <v>13</v>
      </c>
      <c r="D148">
        <v>54</v>
      </c>
      <c r="E148">
        <v>0</v>
      </c>
      <c r="F148">
        <v>0</v>
      </c>
      <c r="G148">
        <v>0</v>
      </c>
      <c r="H148">
        <v>1</v>
      </c>
      <c r="I148">
        <v>1</v>
      </c>
      <c r="J148">
        <v>127</v>
      </c>
      <c r="K148">
        <v>219</v>
      </c>
      <c r="L148">
        <f t="shared" si="23"/>
        <v>415</v>
      </c>
    </row>
    <row r="149" spans="1:12" x14ac:dyDescent="0.3">
      <c r="A149" t="s">
        <v>329</v>
      </c>
      <c r="B149" t="s">
        <v>321</v>
      </c>
      <c r="C149">
        <v>0</v>
      </c>
      <c r="D149">
        <v>0</v>
      </c>
      <c r="E149">
        <v>3</v>
      </c>
      <c r="F149">
        <v>9</v>
      </c>
      <c r="G149">
        <v>8</v>
      </c>
      <c r="H149">
        <v>0</v>
      </c>
      <c r="I149">
        <v>0</v>
      </c>
      <c r="J149">
        <v>2</v>
      </c>
      <c r="K149">
        <v>0</v>
      </c>
      <c r="L149">
        <f t="shared" si="23"/>
        <v>22</v>
      </c>
    </row>
    <row r="150" spans="1:12" x14ac:dyDescent="0.3">
      <c r="A150" t="s">
        <v>329</v>
      </c>
      <c r="B150" t="s">
        <v>322</v>
      </c>
      <c r="C150">
        <v>0</v>
      </c>
      <c r="D150">
        <v>8</v>
      </c>
      <c r="E150">
        <v>1</v>
      </c>
      <c r="F150">
        <v>5</v>
      </c>
      <c r="G150">
        <v>2</v>
      </c>
      <c r="H150">
        <v>0</v>
      </c>
      <c r="I150">
        <v>0</v>
      </c>
      <c r="J150">
        <v>1</v>
      </c>
      <c r="K150">
        <v>0</v>
      </c>
      <c r="L150">
        <f t="shared" si="23"/>
        <v>17</v>
      </c>
    </row>
    <row r="151" spans="1:12" x14ac:dyDescent="0.3">
      <c r="A151" t="s">
        <v>329</v>
      </c>
      <c r="B151" t="s">
        <v>323</v>
      </c>
      <c r="C151">
        <v>36</v>
      </c>
      <c r="D151">
        <v>7161</v>
      </c>
      <c r="E151">
        <v>4649</v>
      </c>
      <c r="F151">
        <v>129</v>
      </c>
      <c r="G151">
        <v>6</v>
      </c>
      <c r="H151">
        <v>4</v>
      </c>
      <c r="I151">
        <v>0</v>
      </c>
      <c r="J151">
        <v>223</v>
      </c>
      <c r="K151">
        <v>258</v>
      </c>
      <c r="L151">
        <f t="shared" si="23"/>
        <v>12466</v>
      </c>
    </row>
    <row r="152" spans="1:12" x14ac:dyDescent="0.3">
      <c r="A152" t="s">
        <v>329</v>
      </c>
      <c r="B152" t="s">
        <v>325</v>
      </c>
      <c r="C152">
        <v>0</v>
      </c>
      <c r="D152">
        <v>0</v>
      </c>
      <c r="E152">
        <v>0</v>
      </c>
      <c r="F152">
        <v>0</v>
      </c>
      <c r="G152">
        <v>0</v>
      </c>
      <c r="H152">
        <v>0</v>
      </c>
      <c r="I152">
        <v>0</v>
      </c>
      <c r="J152">
        <v>0</v>
      </c>
      <c r="K152">
        <v>1</v>
      </c>
      <c r="L152">
        <f t="shared" si="23"/>
        <v>1</v>
      </c>
    </row>
    <row r="153" spans="1:12" x14ac:dyDescent="0.3">
      <c r="A153" t="s">
        <v>329</v>
      </c>
      <c r="B153" t="s">
        <v>324</v>
      </c>
      <c r="C153">
        <v>0</v>
      </c>
      <c r="D153">
        <v>0</v>
      </c>
      <c r="E153">
        <v>0</v>
      </c>
      <c r="F153">
        <v>0</v>
      </c>
      <c r="G153">
        <v>0</v>
      </c>
      <c r="H153">
        <v>0</v>
      </c>
      <c r="I153">
        <v>0</v>
      </c>
      <c r="J153">
        <v>0</v>
      </c>
      <c r="K153">
        <v>5</v>
      </c>
      <c r="L153">
        <f t="shared" si="23"/>
        <v>5</v>
      </c>
    </row>
    <row r="154" spans="1:12" x14ac:dyDescent="0.3">
      <c r="A154" t="s">
        <v>329</v>
      </c>
      <c r="B154" t="s">
        <v>326</v>
      </c>
      <c r="C154">
        <v>0</v>
      </c>
      <c r="D154">
        <v>0</v>
      </c>
      <c r="E154">
        <v>0</v>
      </c>
      <c r="F154">
        <v>0</v>
      </c>
      <c r="G154">
        <v>0</v>
      </c>
      <c r="H154">
        <v>0</v>
      </c>
      <c r="I154">
        <v>1</v>
      </c>
      <c r="J154">
        <v>0</v>
      </c>
      <c r="K154">
        <v>0</v>
      </c>
      <c r="L154">
        <f t="shared" si="23"/>
        <v>1</v>
      </c>
    </row>
    <row r="155" spans="1:12" x14ac:dyDescent="0.3">
      <c r="A155" t="s">
        <v>330</v>
      </c>
      <c r="B155" t="s">
        <v>303</v>
      </c>
      <c r="C155">
        <v>0</v>
      </c>
      <c r="D155">
        <v>0</v>
      </c>
      <c r="E155">
        <v>0</v>
      </c>
      <c r="F155">
        <v>0</v>
      </c>
      <c r="G155">
        <v>51</v>
      </c>
      <c r="H155">
        <v>132</v>
      </c>
      <c r="I155">
        <v>93</v>
      </c>
      <c r="J155">
        <v>109</v>
      </c>
      <c r="K155">
        <v>326</v>
      </c>
      <c r="L155">
        <f t="shared" si="23"/>
        <v>711</v>
      </c>
    </row>
    <row r="156" spans="1:12" x14ac:dyDescent="0.3">
      <c r="A156" t="s">
        <v>330</v>
      </c>
      <c r="B156" t="s">
        <v>304</v>
      </c>
      <c r="C156">
        <v>0</v>
      </c>
      <c r="D156">
        <v>0</v>
      </c>
      <c r="E156">
        <v>0</v>
      </c>
      <c r="F156">
        <v>126</v>
      </c>
      <c r="G156">
        <v>127</v>
      </c>
      <c r="H156">
        <v>64</v>
      </c>
      <c r="I156">
        <v>75</v>
      </c>
      <c r="J156">
        <v>39</v>
      </c>
      <c r="K156">
        <v>56</v>
      </c>
      <c r="L156">
        <f t="shared" si="23"/>
        <v>487</v>
      </c>
    </row>
    <row r="157" spans="1:12" x14ac:dyDescent="0.3">
      <c r="A157" t="s">
        <v>330</v>
      </c>
      <c r="B157" t="s">
        <v>305</v>
      </c>
      <c r="C157">
        <v>0</v>
      </c>
      <c r="D157">
        <v>0</v>
      </c>
      <c r="E157">
        <v>13</v>
      </c>
      <c r="F157">
        <v>163</v>
      </c>
      <c r="G157">
        <v>221</v>
      </c>
      <c r="H157">
        <v>475</v>
      </c>
      <c r="I157">
        <v>277</v>
      </c>
      <c r="J157">
        <v>265</v>
      </c>
      <c r="K157">
        <v>590</v>
      </c>
      <c r="L157">
        <f t="shared" si="23"/>
        <v>2004</v>
      </c>
    </row>
    <row r="158" spans="1:12" x14ac:dyDescent="0.3">
      <c r="A158" t="s">
        <v>330</v>
      </c>
      <c r="B158" t="s">
        <v>306</v>
      </c>
      <c r="C158">
        <v>0</v>
      </c>
      <c r="D158">
        <v>0</v>
      </c>
      <c r="E158">
        <v>9</v>
      </c>
      <c r="F158">
        <v>46</v>
      </c>
      <c r="G158">
        <v>40</v>
      </c>
      <c r="H158">
        <v>36</v>
      </c>
      <c r="I158">
        <v>154</v>
      </c>
      <c r="J158">
        <v>98</v>
      </c>
      <c r="K158">
        <v>58</v>
      </c>
      <c r="L158">
        <f t="shared" si="23"/>
        <v>441</v>
      </c>
    </row>
    <row r="159" spans="1:12" x14ac:dyDescent="0.3">
      <c r="A159" t="s">
        <v>330</v>
      </c>
      <c r="B159" t="s">
        <v>307</v>
      </c>
      <c r="C159">
        <v>0</v>
      </c>
      <c r="D159">
        <v>0</v>
      </c>
      <c r="E159">
        <v>0</v>
      </c>
      <c r="F159">
        <v>0</v>
      </c>
      <c r="G159">
        <v>6</v>
      </c>
      <c r="H159">
        <v>88</v>
      </c>
      <c r="I159">
        <v>124</v>
      </c>
      <c r="J159">
        <v>74</v>
      </c>
      <c r="K159">
        <v>56</v>
      </c>
      <c r="L159">
        <f t="shared" si="23"/>
        <v>348</v>
      </c>
    </row>
    <row r="160" spans="1:12" x14ac:dyDescent="0.3">
      <c r="A160" t="s">
        <v>330</v>
      </c>
      <c r="B160" t="s">
        <v>308</v>
      </c>
      <c r="C160">
        <v>0</v>
      </c>
      <c r="D160">
        <v>177</v>
      </c>
      <c r="E160">
        <v>142</v>
      </c>
      <c r="F160">
        <v>104</v>
      </c>
      <c r="G160">
        <v>210</v>
      </c>
      <c r="H160">
        <v>83</v>
      </c>
      <c r="I160">
        <v>162</v>
      </c>
      <c r="J160">
        <v>158</v>
      </c>
      <c r="K160">
        <v>290</v>
      </c>
      <c r="L160">
        <f t="shared" si="23"/>
        <v>1326</v>
      </c>
    </row>
    <row r="161" spans="1:12" x14ac:dyDescent="0.3">
      <c r="A161" t="s">
        <v>330</v>
      </c>
      <c r="B161" t="s">
        <v>309</v>
      </c>
      <c r="C161">
        <v>441</v>
      </c>
      <c r="D161">
        <v>169</v>
      </c>
      <c r="E161">
        <v>163</v>
      </c>
      <c r="F161">
        <v>614</v>
      </c>
      <c r="G161">
        <v>328</v>
      </c>
      <c r="H161">
        <v>454</v>
      </c>
      <c r="I161">
        <v>2227</v>
      </c>
      <c r="J161">
        <v>695</v>
      </c>
      <c r="K161">
        <v>605</v>
      </c>
      <c r="L161">
        <f t="shared" si="23"/>
        <v>5696</v>
      </c>
    </row>
    <row r="162" spans="1:12" x14ac:dyDescent="0.3">
      <c r="A162" t="s">
        <v>330</v>
      </c>
      <c r="B162" t="s">
        <v>310</v>
      </c>
      <c r="C162">
        <v>163</v>
      </c>
      <c r="D162">
        <v>45</v>
      </c>
      <c r="E162">
        <v>31</v>
      </c>
      <c r="F162">
        <v>44</v>
      </c>
      <c r="G162">
        <v>26</v>
      </c>
      <c r="H162">
        <v>344</v>
      </c>
      <c r="I162">
        <v>198</v>
      </c>
      <c r="J162">
        <v>167</v>
      </c>
      <c r="K162">
        <v>275</v>
      </c>
      <c r="L162">
        <f t="shared" si="23"/>
        <v>1293</v>
      </c>
    </row>
    <row r="163" spans="1:12" x14ac:dyDescent="0.3">
      <c r="A163" t="s">
        <v>330</v>
      </c>
      <c r="B163" t="s">
        <v>311</v>
      </c>
      <c r="C163">
        <v>99</v>
      </c>
      <c r="D163">
        <v>38</v>
      </c>
      <c r="E163">
        <v>62</v>
      </c>
      <c r="F163">
        <v>38</v>
      </c>
      <c r="G163">
        <v>0</v>
      </c>
      <c r="H163">
        <v>0</v>
      </c>
      <c r="I163">
        <v>0</v>
      </c>
      <c r="J163">
        <v>0</v>
      </c>
      <c r="K163">
        <v>0</v>
      </c>
      <c r="L163">
        <f t="shared" si="23"/>
        <v>237</v>
      </c>
    </row>
    <row r="164" spans="1:12" x14ac:dyDescent="0.3">
      <c r="A164" t="s">
        <v>330</v>
      </c>
      <c r="B164" t="s">
        <v>312</v>
      </c>
      <c r="C164">
        <v>104</v>
      </c>
      <c r="D164">
        <v>20</v>
      </c>
      <c r="E164">
        <v>29</v>
      </c>
      <c r="F164">
        <v>3</v>
      </c>
      <c r="G164">
        <v>0</v>
      </c>
      <c r="H164">
        <v>0</v>
      </c>
      <c r="I164">
        <v>0</v>
      </c>
      <c r="J164">
        <v>0</v>
      </c>
      <c r="K164">
        <v>0</v>
      </c>
      <c r="L164">
        <f t="shared" si="23"/>
        <v>156</v>
      </c>
    </row>
    <row r="165" spans="1:12" x14ac:dyDescent="0.3">
      <c r="A165" t="s">
        <v>330</v>
      </c>
      <c r="B165" t="s">
        <v>313</v>
      </c>
      <c r="C165">
        <v>0</v>
      </c>
      <c r="D165">
        <v>0</v>
      </c>
      <c r="E165">
        <v>0</v>
      </c>
      <c r="F165">
        <v>0</v>
      </c>
      <c r="G165">
        <v>0</v>
      </c>
      <c r="H165">
        <v>0</v>
      </c>
      <c r="I165">
        <v>0</v>
      </c>
      <c r="J165">
        <v>0</v>
      </c>
      <c r="K165">
        <v>0</v>
      </c>
      <c r="L165">
        <f t="shared" si="23"/>
        <v>0</v>
      </c>
    </row>
    <row r="166" spans="1:12" x14ac:dyDescent="0.3">
      <c r="A166" t="s">
        <v>330</v>
      </c>
      <c r="B166" t="s">
        <v>314</v>
      </c>
      <c r="C166">
        <v>0</v>
      </c>
      <c r="D166">
        <v>0</v>
      </c>
      <c r="E166">
        <v>1</v>
      </c>
      <c r="F166">
        <v>0</v>
      </c>
      <c r="G166">
        <v>0</v>
      </c>
      <c r="H166">
        <v>0</v>
      </c>
      <c r="I166">
        <v>0</v>
      </c>
      <c r="J166">
        <v>0</v>
      </c>
      <c r="K166">
        <v>0</v>
      </c>
      <c r="L166">
        <f t="shared" si="23"/>
        <v>1</v>
      </c>
    </row>
    <row r="167" spans="1:12" x14ac:dyDescent="0.3">
      <c r="A167" t="s">
        <v>330</v>
      </c>
      <c r="B167" t="s">
        <v>315</v>
      </c>
      <c r="C167">
        <v>11</v>
      </c>
      <c r="D167">
        <v>1</v>
      </c>
      <c r="E167">
        <v>11</v>
      </c>
      <c r="F167">
        <v>0</v>
      </c>
      <c r="G167">
        <v>0</v>
      </c>
      <c r="H167">
        <v>0</v>
      </c>
      <c r="I167">
        <v>0</v>
      </c>
      <c r="J167">
        <v>0</v>
      </c>
      <c r="K167">
        <v>0</v>
      </c>
      <c r="L167">
        <f t="shared" si="23"/>
        <v>23</v>
      </c>
    </row>
    <row r="168" spans="1:12" x14ac:dyDescent="0.3">
      <c r="A168" t="s">
        <v>330</v>
      </c>
      <c r="B168" t="s">
        <v>316</v>
      </c>
      <c r="C168">
        <v>252</v>
      </c>
      <c r="D168">
        <v>236</v>
      </c>
      <c r="E168">
        <v>274</v>
      </c>
      <c r="F168">
        <v>505</v>
      </c>
      <c r="G168">
        <v>644</v>
      </c>
      <c r="H168">
        <v>472</v>
      </c>
      <c r="I168">
        <v>887</v>
      </c>
      <c r="J168">
        <v>930</v>
      </c>
      <c r="K168">
        <v>2661</v>
      </c>
      <c r="L168">
        <f t="shared" si="23"/>
        <v>6861</v>
      </c>
    </row>
    <row r="169" spans="1:12" x14ac:dyDescent="0.3">
      <c r="A169" t="s">
        <v>330</v>
      </c>
      <c r="B169" t="s">
        <v>317</v>
      </c>
      <c r="C169">
        <v>266</v>
      </c>
      <c r="D169">
        <v>278</v>
      </c>
      <c r="E169">
        <v>582</v>
      </c>
      <c r="F169">
        <v>856</v>
      </c>
      <c r="G169">
        <v>768</v>
      </c>
      <c r="H169">
        <v>447</v>
      </c>
      <c r="I169">
        <v>436</v>
      </c>
      <c r="J169">
        <v>289</v>
      </c>
      <c r="K169">
        <v>420</v>
      </c>
      <c r="L169">
        <f t="shared" si="23"/>
        <v>4342</v>
      </c>
    </row>
    <row r="170" spans="1:12" x14ac:dyDescent="0.3">
      <c r="A170" t="s">
        <v>330</v>
      </c>
      <c r="B170" t="s">
        <v>319</v>
      </c>
      <c r="C170">
        <v>269</v>
      </c>
      <c r="D170">
        <v>218</v>
      </c>
      <c r="E170">
        <v>176</v>
      </c>
      <c r="F170">
        <v>1121</v>
      </c>
      <c r="G170">
        <v>470</v>
      </c>
      <c r="H170">
        <v>1758</v>
      </c>
      <c r="I170">
        <v>1456</v>
      </c>
      <c r="J170">
        <v>1686</v>
      </c>
      <c r="K170">
        <v>1172</v>
      </c>
      <c r="L170">
        <f t="shared" si="23"/>
        <v>8326</v>
      </c>
    </row>
    <row r="171" spans="1:12" x14ac:dyDescent="0.3">
      <c r="A171" t="s">
        <v>330</v>
      </c>
      <c r="B171" t="s">
        <v>320</v>
      </c>
      <c r="C171">
        <v>89</v>
      </c>
      <c r="D171">
        <v>44</v>
      </c>
      <c r="E171">
        <v>42</v>
      </c>
      <c r="F171">
        <v>225</v>
      </c>
      <c r="G171">
        <v>99</v>
      </c>
      <c r="H171">
        <v>139</v>
      </c>
      <c r="I171">
        <v>246</v>
      </c>
      <c r="J171">
        <v>191</v>
      </c>
      <c r="K171">
        <v>300</v>
      </c>
      <c r="L171">
        <f t="shared" si="23"/>
        <v>1375</v>
      </c>
    </row>
    <row r="172" spans="1:12" x14ac:dyDescent="0.3">
      <c r="A172" t="s">
        <v>330</v>
      </c>
      <c r="B172" t="s">
        <v>321</v>
      </c>
      <c r="C172">
        <v>0</v>
      </c>
      <c r="D172">
        <v>288</v>
      </c>
      <c r="E172">
        <v>80</v>
      </c>
      <c r="F172">
        <v>157</v>
      </c>
      <c r="G172">
        <v>16</v>
      </c>
      <c r="H172">
        <v>24</v>
      </c>
      <c r="I172">
        <v>47</v>
      </c>
      <c r="J172">
        <v>0</v>
      </c>
      <c r="K172">
        <v>0</v>
      </c>
      <c r="L172">
        <f t="shared" si="23"/>
        <v>612</v>
      </c>
    </row>
    <row r="173" spans="1:12" x14ac:dyDescent="0.3">
      <c r="A173" t="s">
        <v>330</v>
      </c>
      <c r="B173" t="s">
        <v>322</v>
      </c>
      <c r="C173">
        <v>0</v>
      </c>
      <c r="D173">
        <v>0</v>
      </c>
      <c r="E173">
        <v>16</v>
      </c>
      <c r="F173">
        <v>51</v>
      </c>
      <c r="G173">
        <v>18</v>
      </c>
      <c r="H173">
        <v>4</v>
      </c>
      <c r="I173">
        <v>5</v>
      </c>
      <c r="J173">
        <v>0</v>
      </c>
      <c r="K173">
        <v>0</v>
      </c>
      <c r="L173">
        <f t="shared" si="23"/>
        <v>94</v>
      </c>
    </row>
    <row r="174" spans="1:12" x14ac:dyDescent="0.3">
      <c r="A174" t="s">
        <v>330</v>
      </c>
      <c r="B174" t="s">
        <v>323</v>
      </c>
      <c r="C174">
        <v>268</v>
      </c>
      <c r="D174">
        <v>265</v>
      </c>
      <c r="E174">
        <v>178</v>
      </c>
      <c r="F174">
        <v>186</v>
      </c>
      <c r="G174">
        <v>885</v>
      </c>
      <c r="H174">
        <v>279</v>
      </c>
      <c r="I174">
        <v>254</v>
      </c>
      <c r="J174">
        <v>384</v>
      </c>
      <c r="K174">
        <v>183</v>
      </c>
      <c r="L174">
        <f t="shared" ref="L174:L177" si="24">SUM(C174:K174)</f>
        <v>2882</v>
      </c>
    </row>
    <row r="175" spans="1:12" x14ac:dyDescent="0.3">
      <c r="A175" t="s">
        <v>330</v>
      </c>
      <c r="B175" t="s">
        <v>325</v>
      </c>
      <c r="C175">
        <v>0</v>
      </c>
      <c r="D175">
        <v>0</v>
      </c>
      <c r="E175">
        <v>0</v>
      </c>
      <c r="F175">
        <v>0</v>
      </c>
      <c r="G175">
        <v>0</v>
      </c>
      <c r="H175">
        <v>0</v>
      </c>
      <c r="I175">
        <v>0</v>
      </c>
      <c r="J175">
        <v>0</v>
      </c>
      <c r="K175">
        <v>0</v>
      </c>
      <c r="L175">
        <f t="shared" si="24"/>
        <v>0</v>
      </c>
    </row>
    <row r="176" spans="1:12" x14ac:dyDescent="0.3">
      <c r="A176" t="s">
        <v>330</v>
      </c>
      <c r="B176" t="s">
        <v>324</v>
      </c>
      <c r="C176">
        <v>0</v>
      </c>
      <c r="D176">
        <v>0</v>
      </c>
      <c r="E176">
        <v>0</v>
      </c>
      <c r="F176">
        <v>0</v>
      </c>
      <c r="G176">
        <v>0</v>
      </c>
      <c r="H176">
        <v>0</v>
      </c>
      <c r="I176">
        <v>0</v>
      </c>
      <c r="J176">
        <v>0</v>
      </c>
      <c r="K176">
        <v>0</v>
      </c>
      <c r="L176">
        <f t="shared" si="24"/>
        <v>0</v>
      </c>
    </row>
    <row r="177" spans="1:12" x14ac:dyDescent="0.3">
      <c r="A177" t="s">
        <v>330</v>
      </c>
      <c r="B177" t="s">
        <v>326</v>
      </c>
      <c r="C177">
        <v>0</v>
      </c>
      <c r="D177">
        <v>0</v>
      </c>
      <c r="E177">
        <v>0</v>
      </c>
      <c r="F177">
        <v>0</v>
      </c>
      <c r="G177">
        <v>0</v>
      </c>
      <c r="H177">
        <v>0</v>
      </c>
      <c r="I177">
        <v>0</v>
      </c>
      <c r="J177">
        <v>0</v>
      </c>
      <c r="K177">
        <v>0</v>
      </c>
      <c r="L177">
        <f t="shared" si="24"/>
        <v>0</v>
      </c>
    </row>
  </sheetData>
  <phoneticPr fontId="5" type="noConversion"/>
  <conditionalFormatting sqref="C31">
    <cfRule type="colorScale" priority="6">
      <colorScale>
        <cfvo type="min"/>
        <cfvo type="percentile" val="50"/>
        <cfvo type="max"/>
        <color rgb="FF63BE7B"/>
        <color rgb="FFFCFCFF"/>
        <color rgb="FFF8696B"/>
      </colorScale>
    </cfRule>
  </conditionalFormatting>
  <conditionalFormatting sqref="C32">
    <cfRule type="colorScale" priority="5">
      <colorScale>
        <cfvo type="min"/>
        <cfvo type="percentile" val="50"/>
        <cfvo type="max"/>
        <color rgb="FF63BE7B"/>
        <color rgb="FFFCFCFF"/>
        <color rgb="FFF8696B"/>
      </colorScale>
    </cfRule>
  </conditionalFormatting>
  <conditionalFormatting sqref="C33">
    <cfRule type="colorScale" priority="4">
      <colorScale>
        <cfvo type="min"/>
        <cfvo type="percentile" val="50"/>
        <cfvo type="max"/>
        <color rgb="FF63BE7B"/>
        <color rgb="FFFCFCFF"/>
        <color rgb="FFF8696B"/>
      </colorScale>
    </cfRule>
  </conditionalFormatting>
  <conditionalFormatting sqref="C34">
    <cfRule type="colorScale" priority="3">
      <colorScale>
        <cfvo type="min"/>
        <cfvo type="percentile" val="50"/>
        <cfvo type="max"/>
        <color rgb="FF63BE7B"/>
        <color rgb="FFFCFCFF"/>
        <color rgb="FFF8696B"/>
      </colorScale>
    </cfRule>
  </conditionalFormatting>
  <conditionalFormatting sqref="C35">
    <cfRule type="colorScale" priority="2">
      <colorScale>
        <cfvo type="min"/>
        <cfvo type="percentile" val="50"/>
        <cfvo type="max"/>
        <color rgb="FF63BE7B"/>
        <color rgb="FFFCFCFF"/>
        <color rgb="FFF8696B"/>
      </colorScale>
    </cfRule>
  </conditionalFormatting>
  <conditionalFormatting sqref="C36">
    <cfRule type="colorScale" priority="1">
      <colorScale>
        <cfvo type="min"/>
        <cfvo type="percentile" val="50"/>
        <cfvo type="max"/>
        <color rgb="FF63BE7B"/>
        <color rgb="FFFCFCFF"/>
        <color rgb="FFF8696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DD1C8-E4AD-4D71-8091-695762BEED5C}">
  <dimension ref="A1:G5"/>
  <sheetViews>
    <sheetView workbookViewId="0">
      <selection activeCell="E3" sqref="E3"/>
    </sheetView>
  </sheetViews>
  <sheetFormatPr defaultRowHeight="14.4" x14ac:dyDescent="0.3"/>
  <cols>
    <col min="1" max="1" width="15" bestFit="1" customWidth="1"/>
    <col min="2" max="2" width="16.33203125" bestFit="1" customWidth="1"/>
    <col min="4" max="4" width="12.5546875" bestFit="1" customWidth="1"/>
    <col min="5" max="5" width="12.5546875" customWidth="1"/>
    <col min="6" max="6" width="14.77734375" customWidth="1"/>
    <col min="7" max="7" width="17.6640625" customWidth="1"/>
  </cols>
  <sheetData>
    <row r="1" spans="1:7" x14ac:dyDescent="0.3">
      <c r="A1" t="s">
        <v>332</v>
      </c>
      <c r="B1" t="s">
        <v>335</v>
      </c>
      <c r="C1" t="s">
        <v>338</v>
      </c>
      <c r="D1" t="s">
        <v>339</v>
      </c>
      <c r="E1" t="s">
        <v>346</v>
      </c>
      <c r="F1" t="s">
        <v>347</v>
      </c>
      <c r="G1" t="s">
        <v>348</v>
      </c>
    </row>
    <row r="2" spans="1:7" x14ac:dyDescent="0.3">
      <c r="A2" t="s">
        <v>331</v>
      </c>
      <c r="B2" t="s">
        <v>300</v>
      </c>
      <c r="E2">
        <v>300</v>
      </c>
      <c r="F2" s="16">
        <f>43.11/300</f>
        <v>0.14369999999999999</v>
      </c>
    </row>
    <row r="3" spans="1:7" x14ac:dyDescent="0.3">
      <c r="A3" t="s">
        <v>333</v>
      </c>
      <c r="B3" t="s">
        <v>336</v>
      </c>
      <c r="E3">
        <v>300</v>
      </c>
      <c r="F3" s="16">
        <f>3.05/E3</f>
        <v>1.0166666666666666E-2</v>
      </c>
    </row>
    <row r="4" spans="1:7" x14ac:dyDescent="0.3">
      <c r="A4" t="s">
        <v>334</v>
      </c>
      <c r="B4" t="s">
        <v>337</v>
      </c>
    </row>
    <row r="5" spans="1:7" x14ac:dyDescent="0.3">
      <c r="A5" t="s">
        <v>277</v>
      </c>
      <c r="B5" t="s">
        <v>301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D4F6D-DE82-42F0-8222-735E58D39760}">
  <dimension ref="A1:I716"/>
  <sheetViews>
    <sheetView topLeftCell="A683" workbookViewId="0">
      <selection activeCell="A717" sqref="A717"/>
    </sheetView>
  </sheetViews>
  <sheetFormatPr defaultRowHeight="15.6" x14ac:dyDescent="0.3"/>
  <cols>
    <col min="1" max="1" width="30.5546875" style="17" bestFit="1" customWidth="1"/>
    <col min="2" max="16384" width="8.88671875" style="17"/>
  </cols>
  <sheetData>
    <row r="1" spans="1:9" x14ac:dyDescent="0.3">
      <c r="A1" s="17" t="s">
        <v>59</v>
      </c>
      <c r="B1" s="17" t="s">
        <v>105</v>
      </c>
      <c r="C1" s="17" t="s">
        <v>106</v>
      </c>
      <c r="D1" s="17" t="s">
        <v>107</v>
      </c>
      <c r="E1" s="17" t="s">
        <v>108</v>
      </c>
      <c r="F1" s="17" t="s">
        <v>109</v>
      </c>
      <c r="G1" s="17" t="s">
        <v>110</v>
      </c>
      <c r="H1" s="17" t="s">
        <v>111</v>
      </c>
      <c r="I1" s="17" t="s">
        <v>112</v>
      </c>
    </row>
    <row r="2" spans="1:9" x14ac:dyDescent="0.3">
      <c r="A2" s="17" t="s">
        <v>58</v>
      </c>
      <c r="B2" s="17" t="s">
        <v>61</v>
      </c>
      <c r="C2" s="17" t="s">
        <v>113</v>
      </c>
      <c r="D2" s="17" t="s">
        <v>114</v>
      </c>
      <c r="E2" s="17" t="s">
        <v>71</v>
      </c>
      <c r="F2" s="17" t="s">
        <v>71</v>
      </c>
      <c r="G2" s="17">
        <v>45.750605999999998</v>
      </c>
      <c r="H2" s="17">
        <v>43.896000000000001</v>
      </c>
      <c r="I2" s="17" t="s">
        <v>115</v>
      </c>
    </row>
    <row r="3" spans="1:9" x14ac:dyDescent="0.3">
      <c r="A3" s="17" t="s">
        <v>58</v>
      </c>
      <c r="B3" s="17" t="s">
        <v>61</v>
      </c>
      <c r="C3" s="17" t="s">
        <v>113</v>
      </c>
      <c r="D3" s="17" t="s">
        <v>114</v>
      </c>
      <c r="E3" s="17" t="s">
        <v>72</v>
      </c>
      <c r="F3" s="17" t="s">
        <v>116</v>
      </c>
      <c r="G3" s="17">
        <v>173.02258842000001</v>
      </c>
      <c r="H3" s="17">
        <v>166.00872000000001</v>
      </c>
      <c r="I3" s="17" t="s">
        <v>115</v>
      </c>
    </row>
    <row r="4" spans="1:9" x14ac:dyDescent="0.3">
      <c r="A4" s="17" t="s">
        <v>58</v>
      </c>
      <c r="B4" s="17" t="s">
        <v>61</v>
      </c>
      <c r="C4" s="17" t="s">
        <v>113</v>
      </c>
      <c r="D4" s="17" t="s">
        <v>114</v>
      </c>
      <c r="E4" s="17" t="s">
        <v>73</v>
      </c>
      <c r="F4" s="17" t="s">
        <v>117</v>
      </c>
      <c r="G4" s="17">
        <v>0</v>
      </c>
      <c r="H4" s="17">
        <v>0</v>
      </c>
      <c r="I4" s="17" t="s">
        <v>115</v>
      </c>
    </row>
    <row r="5" spans="1:9" x14ac:dyDescent="0.3">
      <c r="A5" s="17" t="s">
        <v>58</v>
      </c>
      <c r="B5" s="17" t="s">
        <v>61</v>
      </c>
      <c r="C5" s="17" t="s">
        <v>113</v>
      </c>
      <c r="D5" s="17" t="s">
        <v>114</v>
      </c>
      <c r="E5" s="17" t="s">
        <v>73</v>
      </c>
      <c r="F5" s="17" t="s">
        <v>118</v>
      </c>
      <c r="G5" s="17">
        <v>224.100426</v>
      </c>
      <c r="H5" s="17">
        <v>215.01599999999999</v>
      </c>
      <c r="I5" s="17" t="s">
        <v>115</v>
      </c>
    </row>
    <row r="6" spans="1:9" x14ac:dyDescent="0.3">
      <c r="A6" s="17" t="s">
        <v>58</v>
      </c>
      <c r="B6" s="17" t="s">
        <v>61</v>
      </c>
      <c r="C6" s="17" t="s">
        <v>113</v>
      </c>
      <c r="D6" s="17" t="s">
        <v>114</v>
      </c>
      <c r="E6" s="17" t="s">
        <v>73</v>
      </c>
      <c r="F6" s="17" t="s">
        <v>119</v>
      </c>
      <c r="G6" s="17">
        <v>1736.97216</v>
      </c>
      <c r="H6" s="17">
        <v>1666.56</v>
      </c>
      <c r="I6" s="17" t="s">
        <v>115</v>
      </c>
    </row>
    <row r="7" spans="1:9" x14ac:dyDescent="0.3">
      <c r="A7" s="17" t="s">
        <v>58</v>
      </c>
      <c r="B7" s="17" t="s">
        <v>61</v>
      </c>
      <c r="C7" s="17" t="s">
        <v>113</v>
      </c>
      <c r="D7" s="17" t="s">
        <v>114</v>
      </c>
      <c r="E7" s="17" t="s">
        <v>73</v>
      </c>
      <c r="F7" s="17" t="s">
        <v>120</v>
      </c>
      <c r="G7" s="17">
        <v>16.911896868493201</v>
      </c>
      <c r="H7" s="17">
        <v>16.226334246575298</v>
      </c>
      <c r="I7" s="17" t="s">
        <v>115</v>
      </c>
    </row>
    <row r="8" spans="1:9" x14ac:dyDescent="0.3">
      <c r="A8" s="17" t="s">
        <v>58</v>
      </c>
      <c r="B8" s="17" t="s">
        <v>61</v>
      </c>
      <c r="C8" s="17" t="s">
        <v>113</v>
      </c>
      <c r="D8" s="17" t="s">
        <v>114</v>
      </c>
      <c r="E8" s="17" t="s">
        <v>74</v>
      </c>
      <c r="F8" s="17" t="s">
        <v>121</v>
      </c>
      <c r="G8" s="17">
        <v>2.3859186999999999</v>
      </c>
      <c r="H8" s="17">
        <v>2.2892000000000001</v>
      </c>
      <c r="I8" s="17" t="s">
        <v>115</v>
      </c>
    </row>
    <row r="9" spans="1:9" x14ac:dyDescent="0.3">
      <c r="A9" s="17" t="s">
        <v>58</v>
      </c>
      <c r="B9" s="17" t="s">
        <v>61</v>
      </c>
      <c r="C9" s="17" t="s">
        <v>113</v>
      </c>
      <c r="D9" s="17" t="s">
        <v>114</v>
      </c>
      <c r="E9" s="17" t="s">
        <v>75</v>
      </c>
      <c r="F9" s="17" t="s">
        <v>75</v>
      </c>
      <c r="G9" s="17">
        <v>78.292130607344902</v>
      </c>
      <c r="H9" s="17">
        <v>75.1183790907603</v>
      </c>
      <c r="I9" s="17" t="s">
        <v>115</v>
      </c>
    </row>
    <row r="10" spans="1:9" x14ac:dyDescent="0.3">
      <c r="A10" s="17" t="s">
        <v>58</v>
      </c>
      <c r="B10" s="17" t="s">
        <v>61</v>
      </c>
      <c r="C10" s="17" t="s">
        <v>113</v>
      </c>
      <c r="D10" s="17" t="s">
        <v>114</v>
      </c>
      <c r="E10" s="17" t="s">
        <v>76</v>
      </c>
      <c r="F10" s="17" t="s">
        <v>122</v>
      </c>
      <c r="G10" s="17">
        <v>138.80268599999999</v>
      </c>
      <c r="H10" s="17">
        <v>133.17599999999999</v>
      </c>
      <c r="I10" s="17" t="s">
        <v>115</v>
      </c>
    </row>
    <row r="11" spans="1:9" x14ac:dyDescent="0.3">
      <c r="A11" s="17" t="s">
        <v>58</v>
      </c>
      <c r="B11" s="17" t="s">
        <v>61</v>
      </c>
      <c r="C11" s="17" t="s">
        <v>113</v>
      </c>
      <c r="D11" s="17" t="s">
        <v>114</v>
      </c>
      <c r="E11" s="17" t="s">
        <v>80</v>
      </c>
      <c r="F11" s="17" t="s">
        <v>80</v>
      </c>
      <c r="G11" s="17">
        <v>0.63283172908999996</v>
      </c>
      <c r="H11" s="17">
        <v>0.60717843999999999</v>
      </c>
      <c r="I11" s="17" t="s">
        <v>115</v>
      </c>
    </row>
    <row r="12" spans="1:9" x14ac:dyDescent="0.3">
      <c r="A12" s="17" t="s">
        <v>58</v>
      </c>
      <c r="B12" s="17" t="s">
        <v>61</v>
      </c>
      <c r="C12" s="17" t="s">
        <v>113</v>
      </c>
      <c r="D12" s="17" t="s">
        <v>114</v>
      </c>
      <c r="E12" s="17" t="s">
        <v>77</v>
      </c>
      <c r="F12" s="17" t="s">
        <v>77</v>
      </c>
      <c r="G12" s="17">
        <v>2.1184197309458299</v>
      </c>
      <c r="H12" s="17">
        <v>2.0325447166666701</v>
      </c>
      <c r="I12" s="17" t="s">
        <v>115</v>
      </c>
    </row>
    <row r="13" spans="1:9" x14ac:dyDescent="0.3">
      <c r="A13" s="17" t="s">
        <v>58</v>
      </c>
      <c r="B13" s="17" t="s">
        <v>61</v>
      </c>
      <c r="C13" s="17" t="s">
        <v>113</v>
      </c>
      <c r="D13" s="17" t="s">
        <v>114</v>
      </c>
      <c r="E13" s="17" t="s">
        <v>78</v>
      </c>
      <c r="F13" s="17" t="s">
        <v>123</v>
      </c>
      <c r="G13" s="17">
        <v>13.474208000000001</v>
      </c>
      <c r="H13" s="17">
        <v>12.928000000000001</v>
      </c>
      <c r="I13" s="17" t="s">
        <v>115</v>
      </c>
    </row>
    <row r="14" spans="1:9" x14ac:dyDescent="0.3">
      <c r="A14" s="17" t="s">
        <v>58</v>
      </c>
      <c r="B14" s="17" t="s">
        <v>61</v>
      </c>
      <c r="C14" s="17" t="s">
        <v>113</v>
      </c>
      <c r="D14" s="17" t="s">
        <v>114</v>
      </c>
      <c r="E14" s="17" t="s">
        <v>78</v>
      </c>
      <c r="F14" s="17" t="s">
        <v>124</v>
      </c>
      <c r="G14" s="17">
        <v>193.85849999999999</v>
      </c>
      <c r="H14" s="17">
        <v>186</v>
      </c>
      <c r="I14" s="17" t="s">
        <v>115</v>
      </c>
    </row>
    <row r="15" spans="1:9" x14ac:dyDescent="0.3">
      <c r="A15" s="17" t="s">
        <v>58</v>
      </c>
      <c r="B15" s="17" t="s">
        <v>61</v>
      </c>
      <c r="C15" s="17" t="s">
        <v>113</v>
      </c>
      <c r="D15" s="17" t="s">
        <v>114</v>
      </c>
      <c r="E15" s="17" t="s">
        <v>78</v>
      </c>
      <c r="F15" s="17" t="s">
        <v>125</v>
      </c>
      <c r="G15" s="17">
        <v>185.79398639999999</v>
      </c>
      <c r="H15" s="17">
        <v>178.26240000000001</v>
      </c>
      <c r="I15" s="17" t="s">
        <v>115</v>
      </c>
    </row>
    <row r="16" spans="1:9" x14ac:dyDescent="0.3">
      <c r="A16" s="17" t="s">
        <v>58</v>
      </c>
      <c r="B16" s="17" t="s">
        <v>61</v>
      </c>
      <c r="C16" s="17" t="s">
        <v>113</v>
      </c>
      <c r="D16" s="17" t="s">
        <v>114</v>
      </c>
      <c r="E16" s="17" t="s">
        <v>79</v>
      </c>
      <c r="F16" s="17" t="s">
        <v>126</v>
      </c>
      <c r="G16" s="17">
        <v>1999.1959024051</v>
      </c>
      <c r="H16" s="17">
        <v>1918.15390012483</v>
      </c>
      <c r="I16" s="17" t="s">
        <v>115</v>
      </c>
    </row>
    <row r="17" spans="1:9" x14ac:dyDescent="0.3">
      <c r="A17" s="17" t="s">
        <v>58</v>
      </c>
      <c r="B17" s="17" t="s">
        <v>61</v>
      </c>
      <c r="C17" s="17" t="s">
        <v>113</v>
      </c>
      <c r="D17" s="17" t="s">
        <v>114</v>
      </c>
      <c r="E17" s="17" t="s">
        <v>79</v>
      </c>
      <c r="F17" s="17" t="s">
        <v>79</v>
      </c>
      <c r="G17" s="17">
        <v>1447.50767530804</v>
      </c>
      <c r="H17" s="17">
        <v>1388.8296237064401</v>
      </c>
      <c r="I17" s="17" t="s">
        <v>115</v>
      </c>
    </row>
    <row r="18" spans="1:9" x14ac:dyDescent="0.3">
      <c r="A18" s="17" t="s">
        <v>58</v>
      </c>
      <c r="B18" s="17" t="s">
        <v>61</v>
      </c>
      <c r="C18" s="17" t="s">
        <v>113</v>
      </c>
      <c r="D18" s="17" t="s">
        <v>114</v>
      </c>
      <c r="E18" s="17" t="s">
        <v>81</v>
      </c>
      <c r="F18" s="17" t="s">
        <v>81</v>
      </c>
      <c r="G18" s="17">
        <v>242.501397582838</v>
      </c>
      <c r="H18" s="17">
        <v>232.67104589382399</v>
      </c>
      <c r="I18" s="17" t="s">
        <v>115</v>
      </c>
    </row>
    <row r="19" spans="1:9" x14ac:dyDescent="0.3">
      <c r="A19" s="17" t="s">
        <v>58</v>
      </c>
      <c r="B19" s="17" t="s">
        <v>61</v>
      </c>
      <c r="C19" s="17" t="s">
        <v>113</v>
      </c>
      <c r="D19" s="17" t="s">
        <v>114</v>
      </c>
      <c r="E19" s="17" t="s">
        <v>82</v>
      </c>
      <c r="F19" s="17" t="s">
        <v>82</v>
      </c>
      <c r="G19" s="17">
        <v>43.954852852427997</v>
      </c>
      <c r="H19" s="17">
        <v>42.173041834903302</v>
      </c>
      <c r="I19" s="17" t="s">
        <v>115</v>
      </c>
    </row>
    <row r="20" spans="1:9" x14ac:dyDescent="0.3">
      <c r="A20" s="17" t="s">
        <v>58</v>
      </c>
      <c r="B20" s="17" t="s">
        <v>61</v>
      </c>
      <c r="C20" s="17" t="s">
        <v>113</v>
      </c>
      <c r="D20" s="17" t="s">
        <v>114</v>
      </c>
      <c r="E20" s="17" t="s">
        <v>83</v>
      </c>
      <c r="F20" s="17" t="s">
        <v>127</v>
      </c>
      <c r="G20" s="17">
        <v>0.64202765075887402</v>
      </c>
      <c r="H20" s="17">
        <v>0.616001583841568</v>
      </c>
      <c r="I20" s="17" t="s">
        <v>115</v>
      </c>
    </row>
    <row r="21" spans="1:9" x14ac:dyDescent="0.3">
      <c r="A21" s="17" t="s">
        <v>58</v>
      </c>
      <c r="B21" s="17" t="s">
        <v>61</v>
      </c>
      <c r="C21" s="17" t="s">
        <v>113</v>
      </c>
      <c r="D21" s="17" t="s">
        <v>114</v>
      </c>
      <c r="E21" s="17" t="s">
        <v>83</v>
      </c>
      <c r="F21" s="17" t="s">
        <v>128</v>
      </c>
      <c r="G21" s="17">
        <v>23.8464005626067</v>
      </c>
      <c r="H21" s="17">
        <v>22.8797318902439</v>
      </c>
      <c r="I21" s="17" t="s">
        <v>115</v>
      </c>
    </row>
    <row r="22" spans="1:9" x14ac:dyDescent="0.3">
      <c r="A22" s="17" t="s">
        <v>58</v>
      </c>
      <c r="B22" s="17" t="s">
        <v>61</v>
      </c>
      <c r="C22" s="17" t="s">
        <v>113</v>
      </c>
      <c r="D22" s="17" t="s">
        <v>114</v>
      </c>
      <c r="E22" s="17" t="s">
        <v>84</v>
      </c>
      <c r="F22" s="17" t="s">
        <v>129</v>
      </c>
      <c r="G22" s="17">
        <v>806.52692865968095</v>
      </c>
      <c r="H22" s="17">
        <v>773.83250531032002</v>
      </c>
      <c r="I22" s="17" t="s">
        <v>115</v>
      </c>
    </row>
    <row r="23" spans="1:9" x14ac:dyDescent="0.3">
      <c r="A23" s="17" t="s">
        <v>58</v>
      </c>
      <c r="B23" s="17" t="s">
        <v>61</v>
      </c>
      <c r="C23" s="17" t="s">
        <v>113</v>
      </c>
      <c r="D23" s="17" t="s">
        <v>114</v>
      </c>
      <c r="E23" s="17" t="s">
        <v>85</v>
      </c>
      <c r="F23" s="17" t="s">
        <v>85</v>
      </c>
      <c r="G23" s="17">
        <v>85.815382194467901</v>
      </c>
      <c r="H23" s="17">
        <v>82.336658377997495</v>
      </c>
      <c r="I23" s="17" t="s">
        <v>115</v>
      </c>
    </row>
    <row r="24" spans="1:9" x14ac:dyDescent="0.3">
      <c r="A24" s="17" t="s">
        <v>58</v>
      </c>
      <c r="B24" s="17" t="s">
        <v>61</v>
      </c>
      <c r="C24" s="17" t="s">
        <v>113</v>
      </c>
      <c r="D24" s="17" t="s">
        <v>114</v>
      </c>
      <c r="E24" s="17" t="s">
        <v>86</v>
      </c>
      <c r="F24" s="17" t="s">
        <v>86</v>
      </c>
      <c r="G24" s="17">
        <v>2.2155569502400399E-3</v>
      </c>
      <c r="H24" s="17">
        <v>2.12574425544739E-3</v>
      </c>
      <c r="I24" s="17" t="s">
        <v>115</v>
      </c>
    </row>
    <row r="25" spans="1:9" x14ac:dyDescent="0.3">
      <c r="A25" s="17" t="s">
        <v>58</v>
      </c>
      <c r="B25" s="17" t="s">
        <v>61</v>
      </c>
      <c r="C25" s="17" t="s">
        <v>113</v>
      </c>
      <c r="D25" s="17" t="s">
        <v>114</v>
      </c>
      <c r="E25" s="17" t="s">
        <v>87</v>
      </c>
      <c r="F25" s="17" t="s">
        <v>87</v>
      </c>
      <c r="G25" s="17">
        <v>0.98603263276925002</v>
      </c>
      <c r="H25" s="17">
        <v>0.94606153299999995</v>
      </c>
      <c r="I25" s="17" t="s">
        <v>115</v>
      </c>
    </row>
    <row r="26" spans="1:9" x14ac:dyDescent="0.3">
      <c r="A26" s="17" t="s">
        <v>58</v>
      </c>
      <c r="B26" s="17" t="s">
        <v>61</v>
      </c>
      <c r="C26" s="17" t="s">
        <v>113</v>
      </c>
      <c r="D26" s="17" t="s">
        <v>114</v>
      </c>
      <c r="E26" s="17" t="s">
        <v>88</v>
      </c>
      <c r="F26" s="17" t="s">
        <v>88</v>
      </c>
      <c r="G26" s="17">
        <v>12.337083209228201</v>
      </c>
      <c r="H26" s="17">
        <v>11.836971177000001</v>
      </c>
      <c r="I26" s="17" t="s">
        <v>115</v>
      </c>
    </row>
    <row r="27" spans="1:9" x14ac:dyDescent="0.3">
      <c r="A27" s="17" t="s">
        <v>58</v>
      </c>
      <c r="B27" s="17" t="s">
        <v>61</v>
      </c>
      <c r="C27" s="17" t="s">
        <v>113</v>
      </c>
      <c r="D27" s="17" t="s">
        <v>114</v>
      </c>
      <c r="E27" s="17" t="s">
        <v>89</v>
      </c>
      <c r="F27" s="17" t="s">
        <v>89</v>
      </c>
      <c r="G27" s="17">
        <v>0.35043303891749999</v>
      </c>
      <c r="H27" s="17">
        <v>0.33622742999999999</v>
      </c>
      <c r="I27" s="17" t="s">
        <v>115</v>
      </c>
    </row>
    <row r="28" spans="1:9" x14ac:dyDescent="0.3">
      <c r="A28" s="17" t="s">
        <v>58</v>
      </c>
      <c r="B28" s="17" t="s">
        <v>61</v>
      </c>
      <c r="C28" s="17" t="s">
        <v>113</v>
      </c>
      <c r="D28" s="17" t="s">
        <v>114</v>
      </c>
      <c r="E28" s="17" t="s">
        <v>90</v>
      </c>
      <c r="F28" s="17" t="s">
        <v>90</v>
      </c>
      <c r="G28" s="17">
        <v>127.524847114247</v>
      </c>
      <c r="H28" s="17">
        <v>122.355334242501</v>
      </c>
      <c r="I28" s="17" t="s">
        <v>115</v>
      </c>
    </row>
    <row r="29" spans="1:9" x14ac:dyDescent="0.3">
      <c r="A29" s="17" t="s">
        <v>58</v>
      </c>
      <c r="B29" s="17" t="s">
        <v>61</v>
      </c>
      <c r="C29" s="17" t="s">
        <v>113</v>
      </c>
      <c r="D29" s="17" t="s">
        <v>114</v>
      </c>
      <c r="E29" s="17" t="s">
        <v>91</v>
      </c>
      <c r="F29" s="17" t="s">
        <v>91</v>
      </c>
      <c r="G29" s="17">
        <v>20.077948676141499</v>
      </c>
      <c r="H29" s="17">
        <v>19.264042865091401</v>
      </c>
      <c r="I29" s="17" t="s">
        <v>115</v>
      </c>
    </row>
    <row r="30" spans="1:9" x14ac:dyDescent="0.3">
      <c r="A30" s="17" t="s">
        <v>58</v>
      </c>
      <c r="B30" s="17" t="s">
        <v>61</v>
      </c>
      <c r="C30" s="17" t="s">
        <v>113</v>
      </c>
      <c r="D30" s="17" t="s">
        <v>114</v>
      </c>
      <c r="E30" s="17" t="s">
        <v>93</v>
      </c>
      <c r="F30" s="17" t="s">
        <v>130</v>
      </c>
      <c r="G30" s="17">
        <v>154.96199890049999</v>
      </c>
      <c r="H30" s="17">
        <v>148.68025800000001</v>
      </c>
      <c r="I30" s="17" t="s">
        <v>115</v>
      </c>
    </row>
    <row r="31" spans="1:9" x14ac:dyDescent="0.3">
      <c r="A31" s="17" t="s">
        <v>58</v>
      </c>
      <c r="B31" s="17" t="s">
        <v>61</v>
      </c>
      <c r="C31" s="17" t="s">
        <v>113</v>
      </c>
      <c r="D31" s="17" t="s">
        <v>114</v>
      </c>
      <c r="E31" s="17" t="s">
        <v>93</v>
      </c>
      <c r="F31" s="17" t="s">
        <v>131</v>
      </c>
      <c r="G31" s="17">
        <v>172.61160839999999</v>
      </c>
      <c r="H31" s="17">
        <v>165.61439999999999</v>
      </c>
      <c r="I31" s="17" t="s">
        <v>115</v>
      </c>
    </row>
    <row r="32" spans="1:9" x14ac:dyDescent="0.3">
      <c r="A32" s="17" t="s">
        <v>58</v>
      </c>
      <c r="B32" s="17" t="s">
        <v>61</v>
      </c>
      <c r="C32" s="17" t="s">
        <v>113</v>
      </c>
      <c r="D32" s="17" t="s">
        <v>114</v>
      </c>
      <c r="E32" s="17" t="s">
        <v>93</v>
      </c>
      <c r="F32" s="17" t="s">
        <v>132</v>
      </c>
      <c r="G32" s="17">
        <v>1.7102196869999999</v>
      </c>
      <c r="H32" s="17">
        <v>1.640892</v>
      </c>
      <c r="I32" s="17" t="s">
        <v>115</v>
      </c>
    </row>
    <row r="33" spans="1:9" x14ac:dyDescent="0.3">
      <c r="A33" s="17" t="s">
        <v>58</v>
      </c>
      <c r="B33" s="17" t="s">
        <v>61</v>
      </c>
      <c r="C33" s="17" t="s">
        <v>113</v>
      </c>
      <c r="D33" s="17" t="s">
        <v>114</v>
      </c>
      <c r="E33" s="17" t="s">
        <v>93</v>
      </c>
      <c r="F33" s="17" t="s">
        <v>133</v>
      </c>
      <c r="G33" s="17">
        <v>18.447825000000002</v>
      </c>
      <c r="H33" s="17">
        <v>17.7</v>
      </c>
      <c r="I33" s="17" t="s">
        <v>115</v>
      </c>
    </row>
    <row r="34" spans="1:9" x14ac:dyDescent="0.3">
      <c r="A34" s="17" t="s">
        <v>58</v>
      </c>
      <c r="B34" s="17" t="s">
        <v>61</v>
      </c>
      <c r="C34" s="17" t="s">
        <v>113</v>
      </c>
      <c r="D34" s="17" t="s">
        <v>114</v>
      </c>
      <c r="E34" s="17" t="s">
        <v>93</v>
      </c>
      <c r="F34" s="17" t="s">
        <v>134</v>
      </c>
      <c r="G34" s="17">
        <v>3.1552409460000002</v>
      </c>
      <c r="H34" s="17">
        <v>3.027336</v>
      </c>
      <c r="I34" s="17" t="s">
        <v>115</v>
      </c>
    </row>
    <row r="35" spans="1:9" x14ac:dyDescent="0.3">
      <c r="A35" s="17" t="s">
        <v>58</v>
      </c>
      <c r="B35" s="17" t="s">
        <v>61</v>
      </c>
      <c r="C35" s="17" t="s">
        <v>113</v>
      </c>
      <c r="D35" s="17" t="s">
        <v>114</v>
      </c>
      <c r="E35" s="17" t="s">
        <v>93</v>
      </c>
      <c r="F35" s="17" t="s">
        <v>135</v>
      </c>
      <c r="G35" s="17">
        <v>16.613465000000001</v>
      </c>
      <c r="H35" s="17">
        <v>15.94</v>
      </c>
      <c r="I35" s="17" t="s">
        <v>115</v>
      </c>
    </row>
    <row r="36" spans="1:9" x14ac:dyDescent="0.3">
      <c r="A36" s="17" t="s">
        <v>58</v>
      </c>
      <c r="B36" s="17" t="s">
        <v>61</v>
      </c>
      <c r="C36" s="17" t="s">
        <v>113</v>
      </c>
      <c r="D36" s="17" t="s">
        <v>114</v>
      </c>
      <c r="E36" s="17" t="s">
        <v>93</v>
      </c>
      <c r="F36" s="17" t="s">
        <v>136</v>
      </c>
      <c r="G36" s="17">
        <v>204.40555387841701</v>
      </c>
      <c r="H36" s="17">
        <v>196.11950480059201</v>
      </c>
      <c r="I36" s="17" t="s">
        <v>115</v>
      </c>
    </row>
    <row r="37" spans="1:9" x14ac:dyDescent="0.3">
      <c r="A37" s="17" t="s">
        <v>58</v>
      </c>
      <c r="B37" s="17" t="s">
        <v>61</v>
      </c>
      <c r="C37" s="17" t="s">
        <v>113</v>
      </c>
      <c r="D37" s="17" t="s">
        <v>114</v>
      </c>
      <c r="E37" s="17" t="s">
        <v>93</v>
      </c>
      <c r="F37" s="17" t="s">
        <v>137</v>
      </c>
      <c r="G37" s="17">
        <v>112.9111427675</v>
      </c>
      <c r="H37" s="17">
        <v>108.33403</v>
      </c>
      <c r="I37" s="17" t="s">
        <v>115</v>
      </c>
    </row>
    <row r="38" spans="1:9" x14ac:dyDescent="0.3">
      <c r="A38" s="17" t="s">
        <v>58</v>
      </c>
      <c r="B38" s="17" t="s">
        <v>61</v>
      </c>
      <c r="C38" s="17" t="s">
        <v>113</v>
      </c>
      <c r="D38" s="17" t="s">
        <v>114</v>
      </c>
      <c r="E38" s="17" t="s">
        <v>94</v>
      </c>
      <c r="F38" s="17" t="s">
        <v>94</v>
      </c>
      <c r="G38" s="17">
        <v>31.075035513112599</v>
      </c>
      <c r="H38" s="17">
        <v>29.8153375035861</v>
      </c>
      <c r="I38" s="17" t="s">
        <v>115</v>
      </c>
    </row>
    <row r="39" spans="1:9" x14ac:dyDescent="0.3">
      <c r="A39" s="17" t="s">
        <v>58</v>
      </c>
      <c r="B39" s="17" t="s">
        <v>61</v>
      </c>
      <c r="C39" s="17" t="s">
        <v>113</v>
      </c>
      <c r="D39" s="17" t="s">
        <v>114</v>
      </c>
      <c r="E39" s="17" t="s">
        <v>95</v>
      </c>
      <c r="F39" s="17" t="s">
        <v>138</v>
      </c>
      <c r="G39" s="17">
        <v>439.98125160000001</v>
      </c>
      <c r="H39" s="17">
        <v>422.1456</v>
      </c>
      <c r="I39" s="17" t="s">
        <v>115</v>
      </c>
    </row>
    <row r="40" spans="1:9" x14ac:dyDescent="0.3">
      <c r="A40" s="17" t="s">
        <v>58</v>
      </c>
      <c r="B40" s="17" t="s">
        <v>61</v>
      </c>
      <c r="C40" s="17" t="s">
        <v>113</v>
      </c>
      <c r="D40" s="17" t="s">
        <v>114</v>
      </c>
      <c r="E40" s="17" t="s">
        <v>98</v>
      </c>
      <c r="F40" s="17" t="s">
        <v>139</v>
      </c>
      <c r="G40" s="17">
        <v>122.77705</v>
      </c>
      <c r="H40" s="17">
        <v>117.8</v>
      </c>
      <c r="I40" s="17" t="s">
        <v>115</v>
      </c>
    </row>
    <row r="41" spans="1:9" x14ac:dyDescent="0.3">
      <c r="A41" s="17" t="s">
        <v>58</v>
      </c>
      <c r="B41" s="17" t="s">
        <v>61</v>
      </c>
      <c r="C41" s="17" t="s">
        <v>113</v>
      </c>
      <c r="D41" s="17" t="s">
        <v>114</v>
      </c>
      <c r="E41" s="17" t="s">
        <v>98</v>
      </c>
      <c r="F41" s="17" t="s">
        <v>140</v>
      </c>
      <c r="G41" s="17">
        <v>3875.87761</v>
      </c>
      <c r="H41" s="17">
        <v>3718.76</v>
      </c>
      <c r="I41" s="17" t="s">
        <v>115</v>
      </c>
    </row>
    <row r="42" spans="1:9" x14ac:dyDescent="0.3">
      <c r="A42" s="17" t="s">
        <v>58</v>
      </c>
      <c r="B42" s="17" t="s">
        <v>61</v>
      </c>
      <c r="C42" s="17" t="s">
        <v>113</v>
      </c>
      <c r="D42" s="17" t="s">
        <v>114</v>
      </c>
      <c r="E42" s="17" t="s">
        <v>98</v>
      </c>
      <c r="F42" s="17" t="s">
        <v>141</v>
      </c>
      <c r="G42" s="17">
        <v>61.492750000000001</v>
      </c>
      <c r="H42" s="17">
        <v>59</v>
      </c>
      <c r="I42" s="17" t="s">
        <v>115</v>
      </c>
    </row>
    <row r="43" spans="1:9" x14ac:dyDescent="0.3">
      <c r="A43" s="17" t="s">
        <v>58</v>
      </c>
      <c r="B43" s="17" t="s">
        <v>61</v>
      </c>
      <c r="C43" s="17" t="s">
        <v>113</v>
      </c>
      <c r="D43" s="17" t="s">
        <v>114</v>
      </c>
      <c r="E43" s="17" t="s">
        <v>96</v>
      </c>
      <c r="F43" s="17" t="s">
        <v>96</v>
      </c>
      <c r="G43" s="17">
        <v>25.794823610242499</v>
      </c>
      <c r="H43" s="17">
        <v>24.749171130000001</v>
      </c>
      <c r="I43" s="17" t="s">
        <v>115</v>
      </c>
    </row>
    <row r="44" spans="1:9" x14ac:dyDescent="0.3">
      <c r="A44" s="17" t="s">
        <v>58</v>
      </c>
      <c r="B44" s="17" t="s">
        <v>61</v>
      </c>
      <c r="C44" s="17" t="s">
        <v>113</v>
      </c>
      <c r="D44" s="17" t="s">
        <v>114</v>
      </c>
      <c r="E44" s="17" t="s">
        <v>97</v>
      </c>
      <c r="F44" s="17" t="s">
        <v>97</v>
      </c>
      <c r="G44" s="17">
        <v>122.77705</v>
      </c>
      <c r="H44" s="17">
        <v>117.8</v>
      </c>
      <c r="I44" s="17" t="s">
        <v>115</v>
      </c>
    </row>
    <row r="45" spans="1:9" x14ac:dyDescent="0.3">
      <c r="A45" s="17" t="s">
        <v>58</v>
      </c>
      <c r="B45" s="17" t="s">
        <v>61</v>
      </c>
      <c r="C45" s="17" t="s">
        <v>113</v>
      </c>
      <c r="D45" s="17" t="s">
        <v>114</v>
      </c>
      <c r="E45" s="17" t="s">
        <v>99</v>
      </c>
      <c r="F45" s="17" t="s">
        <v>142</v>
      </c>
      <c r="G45" s="17">
        <v>38.744966630712902</v>
      </c>
      <c r="H45" s="17">
        <v>37.174350329299997</v>
      </c>
      <c r="I45" s="17" t="s">
        <v>115</v>
      </c>
    </row>
    <row r="46" spans="1:9" x14ac:dyDescent="0.3">
      <c r="A46" s="17" t="s">
        <v>58</v>
      </c>
      <c r="B46" s="17" t="s">
        <v>61</v>
      </c>
      <c r="C46" s="17" t="s">
        <v>113</v>
      </c>
      <c r="D46" s="17" t="s">
        <v>114</v>
      </c>
      <c r="E46" s="17" t="s">
        <v>99</v>
      </c>
      <c r="F46" s="17" t="s">
        <v>143</v>
      </c>
      <c r="G46" s="17">
        <v>5.1293050638943303</v>
      </c>
      <c r="H46" s="17">
        <v>4.9213768902800004</v>
      </c>
      <c r="I46" s="17" t="s">
        <v>115</v>
      </c>
    </row>
    <row r="47" spans="1:9" x14ac:dyDescent="0.3">
      <c r="A47" s="17" t="s">
        <v>58</v>
      </c>
      <c r="B47" s="17" t="s">
        <v>61</v>
      </c>
      <c r="C47" s="17" t="s">
        <v>113</v>
      </c>
      <c r="D47" s="17" t="s">
        <v>114</v>
      </c>
      <c r="E47" s="17" t="s">
        <v>99</v>
      </c>
      <c r="F47" s="17" t="s">
        <v>144</v>
      </c>
      <c r="G47" s="17">
        <v>20.418979637851599</v>
      </c>
      <c r="H47" s="17">
        <v>19.5912493527</v>
      </c>
      <c r="I47" s="17" t="s">
        <v>115</v>
      </c>
    </row>
    <row r="48" spans="1:9" x14ac:dyDescent="0.3">
      <c r="A48" s="17" t="s">
        <v>58</v>
      </c>
      <c r="B48" s="17" t="s">
        <v>61</v>
      </c>
      <c r="C48" s="17" t="s">
        <v>113</v>
      </c>
      <c r="D48" s="17" t="s">
        <v>114</v>
      </c>
      <c r="E48" s="17" t="s">
        <v>99</v>
      </c>
      <c r="F48" s="17" t="s">
        <v>145</v>
      </c>
      <c r="G48" s="17">
        <v>7.6733571750000004E-5</v>
      </c>
      <c r="H48" s="17">
        <v>7.3622999999999996E-5</v>
      </c>
      <c r="I48" s="17" t="s">
        <v>115</v>
      </c>
    </row>
    <row r="49" spans="1:9" x14ac:dyDescent="0.3">
      <c r="A49" s="17" t="s">
        <v>58</v>
      </c>
      <c r="B49" s="17" t="s">
        <v>61</v>
      </c>
      <c r="C49" s="17" t="s">
        <v>113</v>
      </c>
      <c r="D49" s="17" t="s">
        <v>114</v>
      </c>
      <c r="E49" s="17" t="s">
        <v>99</v>
      </c>
      <c r="F49" s="17" t="s">
        <v>146</v>
      </c>
      <c r="G49" s="17">
        <v>4.4874753296999997E-2</v>
      </c>
      <c r="H49" s="17">
        <v>4.3055652E-2</v>
      </c>
      <c r="I49" s="17" t="s">
        <v>115</v>
      </c>
    </row>
    <row r="50" spans="1:9" x14ac:dyDescent="0.3">
      <c r="A50" s="17" t="s">
        <v>58</v>
      </c>
      <c r="B50" s="17" t="s">
        <v>61</v>
      </c>
      <c r="C50" s="17" t="s">
        <v>113</v>
      </c>
      <c r="D50" s="17" t="s">
        <v>114</v>
      </c>
      <c r="E50" s="17" t="s">
        <v>99</v>
      </c>
      <c r="F50" s="17" t="s">
        <v>147</v>
      </c>
      <c r="G50" s="17">
        <v>11.809681521031401</v>
      </c>
      <c r="H50" s="17">
        <v>11.330948928790001</v>
      </c>
      <c r="I50" s="17" t="s">
        <v>115</v>
      </c>
    </row>
    <row r="51" spans="1:9" x14ac:dyDescent="0.3">
      <c r="A51" s="17" t="s">
        <v>58</v>
      </c>
      <c r="B51" s="17" t="s">
        <v>61</v>
      </c>
      <c r="C51" s="17" t="s">
        <v>113</v>
      </c>
      <c r="D51" s="17" t="s">
        <v>114</v>
      </c>
      <c r="E51" s="17" t="s">
        <v>99</v>
      </c>
      <c r="F51" s="17" t="s">
        <v>148</v>
      </c>
      <c r="G51" s="17">
        <v>578.076120274353</v>
      </c>
      <c r="H51" s="17">
        <v>554.64247567699999</v>
      </c>
      <c r="I51" s="17" t="s">
        <v>115</v>
      </c>
    </row>
    <row r="52" spans="1:9" x14ac:dyDescent="0.3">
      <c r="A52" s="17" t="s">
        <v>58</v>
      </c>
      <c r="B52" s="17" t="s">
        <v>61</v>
      </c>
      <c r="C52" s="17" t="s">
        <v>113</v>
      </c>
      <c r="D52" s="17" t="s">
        <v>114</v>
      </c>
      <c r="E52" s="17" t="s">
        <v>99</v>
      </c>
      <c r="F52" s="17" t="s">
        <v>149</v>
      </c>
      <c r="G52" s="17">
        <v>2.1063830809999999E-4</v>
      </c>
      <c r="H52" s="17">
        <v>2.0209960000000001E-4</v>
      </c>
      <c r="I52" s="17" t="s">
        <v>115</v>
      </c>
    </row>
    <row r="53" spans="1:9" x14ac:dyDescent="0.3">
      <c r="A53" s="17" t="s">
        <v>58</v>
      </c>
      <c r="B53" s="17" t="s">
        <v>61</v>
      </c>
      <c r="C53" s="17" t="s">
        <v>113</v>
      </c>
      <c r="D53" s="17" t="s">
        <v>114</v>
      </c>
      <c r="E53" s="17" t="s">
        <v>99</v>
      </c>
      <c r="F53" s="17" t="s">
        <v>150</v>
      </c>
      <c r="G53" s="17">
        <v>2.2073613888700001E-2</v>
      </c>
      <c r="H53" s="17">
        <v>2.1178809199999999E-2</v>
      </c>
      <c r="I53" s="17" t="s">
        <v>115</v>
      </c>
    </row>
    <row r="54" spans="1:9" x14ac:dyDescent="0.3">
      <c r="A54" s="17" t="s">
        <v>58</v>
      </c>
      <c r="B54" s="17" t="s">
        <v>61</v>
      </c>
      <c r="C54" s="17" t="s">
        <v>113</v>
      </c>
      <c r="D54" s="17" t="s">
        <v>114</v>
      </c>
      <c r="E54" s="17" t="s">
        <v>99</v>
      </c>
      <c r="F54" s="17" t="s">
        <v>151</v>
      </c>
      <c r="G54" s="17">
        <v>3.084645121965</v>
      </c>
      <c r="H54" s="17">
        <v>2.9596019400000002</v>
      </c>
      <c r="I54" s="17" t="s">
        <v>115</v>
      </c>
    </row>
    <row r="55" spans="1:9" x14ac:dyDescent="0.3">
      <c r="A55" s="17" t="s">
        <v>58</v>
      </c>
      <c r="B55" s="17" t="s">
        <v>61</v>
      </c>
      <c r="C55" s="17" t="s">
        <v>113</v>
      </c>
      <c r="D55" s="17" t="s">
        <v>114</v>
      </c>
      <c r="E55" s="17" t="s">
        <v>99</v>
      </c>
      <c r="F55" s="17" t="s">
        <v>152</v>
      </c>
      <c r="G55" s="17">
        <v>20.199115471683498</v>
      </c>
      <c r="H55" s="17">
        <v>19.380297886000001</v>
      </c>
      <c r="I55" s="17" t="s">
        <v>115</v>
      </c>
    </row>
    <row r="56" spans="1:9" x14ac:dyDescent="0.3">
      <c r="A56" s="17" t="s">
        <v>58</v>
      </c>
      <c r="B56" s="17" t="s">
        <v>61</v>
      </c>
      <c r="C56" s="17" t="s">
        <v>113</v>
      </c>
      <c r="D56" s="17" t="s">
        <v>114</v>
      </c>
      <c r="E56" s="17" t="s">
        <v>99</v>
      </c>
      <c r="F56" s="17" t="s">
        <v>153</v>
      </c>
      <c r="G56" s="17">
        <v>0.79077020284184996</v>
      </c>
      <c r="H56" s="17">
        <v>0.75871451459999995</v>
      </c>
      <c r="I56" s="17" t="s">
        <v>115</v>
      </c>
    </row>
    <row r="57" spans="1:9" x14ac:dyDescent="0.3">
      <c r="A57" s="17" t="s">
        <v>58</v>
      </c>
      <c r="B57" s="17" t="s">
        <v>61</v>
      </c>
      <c r="C57" s="17" t="s">
        <v>113</v>
      </c>
      <c r="D57" s="17" t="s">
        <v>114</v>
      </c>
      <c r="E57" s="17" t="s">
        <v>99</v>
      </c>
      <c r="F57" s="17" t="s">
        <v>154</v>
      </c>
      <c r="G57" s="17">
        <v>1.683413375534E-2</v>
      </c>
      <c r="H57" s="17">
        <v>1.6151723440000001E-2</v>
      </c>
      <c r="I57" s="17" t="s">
        <v>115</v>
      </c>
    </row>
    <row r="58" spans="1:9" x14ac:dyDescent="0.3">
      <c r="A58" s="17" t="s">
        <v>58</v>
      </c>
      <c r="B58" s="17" t="s">
        <v>61</v>
      </c>
      <c r="C58" s="17" t="s">
        <v>113</v>
      </c>
      <c r="D58" s="17" t="s">
        <v>114</v>
      </c>
      <c r="E58" s="17" t="s">
        <v>101</v>
      </c>
      <c r="F58" s="17" t="s">
        <v>155</v>
      </c>
      <c r="G58" s="17">
        <v>24.5511549676629</v>
      </c>
      <c r="H58" s="17">
        <v>23.5559174551815</v>
      </c>
      <c r="I58" s="17" t="s">
        <v>115</v>
      </c>
    </row>
    <row r="59" spans="1:9" x14ac:dyDescent="0.3">
      <c r="A59" s="17" t="s">
        <v>58</v>
      </c>
      <c r="B59" s="17" t="s">
        <v>61</v>
      </c>
      <c r="C59" s="17" t="s">
        <v>113</v>
      </c>
      <c r="D59" s="17" t="s">
        <v>114</v>
      </c>
      <c r="E59" s="17" t="s">
        <v>101</v>
      </c>
      <c r="F59" s="17" t="s">
        <v>156</v>
      </c>
      <c r="G59" s="17">
        <v>1.1423916437670001</v>
      </c>
      <c r="H59" s="17">
        <v>1.096082172</v>
      </c>
      <c r="I59" s="17" t="s">
        <v>115</v>
      </c>
    </row>
    <row r="60" spans="1:9" x14ac:dyDescent="0.3">
      <c r="A60" s="17" t="s">
        <v>58</v>
      </c>
      <c r="B60" s="17" t="s">
        <v>61</v>
      </c>
      <c r="C60" s="17" t="s">
        <v>113</v>
      </c>
      <c r="D60" s="17" t="s">
        <v>114</v>
      </c>
      <c r="E60" s="17" t="s">
        <v>101</v>
      </c>
      <c r="F60" s="17" t="s">
        <v>157</v>
      </c>
      <c r="G60" s="17">
        <v>1051.8745272615199</v>
      </c>
      <c r="H60" s="17">
        <v>1009.2343749211</v>
      </c>
      <c r="I60" s="17" t="s">
        <v>115</v>
      </c>
    </row>
    <row r="61" spans="1:9" x14ac:dyDescent="0.3">
      <c r="A61" s="17" t="s">
        <v>58</v>
      </c>
      <c r="B61" s="17" t="s">
        <v>61</v>
      </c>
      <c r="C61" s="17" t="s">
        <v>113</v>
      </c>
      <c r="D61" s="17" t="s">
        <v>114</v>
      </c>
      <c r="E61" s="17" t="s">
        <v>101</v>
      </c>
      <c r="F61" s="17" t="s">
        <v>158</v>
      </c>
      <c r="G61" s="17">
        <v>420.66823958894503</v>
      </c>
      <c r="H61" s="17">
        <v>403.61548533360002</v>
      </c>
      <c r="I61" s="17" t="s">
        <v>115</v>
      </c>
    </row>
    <row r="62" spans="1:9" x14ac:dyDescent="0.3">
      <c r="A62" s="17" t="s">
        <v>58</v>
      </c>
      <c r="B62" s="17" t="s">
        <v>61</v>
      </c>
      <c r="C62" s="17" t="s">
        <v>113</v>
      </c>
      <c r="D62" s="17" t="s">
        <v>114</v>
      </c>
      <c r="E62" s="17" t="s">
        <v>101</v>
      </c>
      <c r="F62" s="17" t="s">
        <v>159</v>
      </c>
      <c r="G62" s="17">
        <v>8.5049300952000001E-2</v>
      </c>
      <c r="H62" s="17">
        <v>8.1601631999999993E-2</v>
      </c>
      <c r="I62" s="17" t="s">
        <v>115</v>
      </c>
    </row>
    <row r="63" spans="1:9" x14ac:dyDescent="0.3">
      <c r="A63" s="17" t="s">
        <v>58</v>
      </c>
      <c r="B63" s="17" t="s">
        <v>61</v>
      </c>
      <c r="C63" s="17" t="s">
        <v>113</v>
      </c>
      <c r="D63" s="17" t="s">
        <v>114</v>
      </c>
      <c r="E63" s="17" t="s">
        <v>101</v>
      </c>
      <c r="F63" s="17" t="s">
        <v>160</v>
      </c>
      <c r="G63" s="17">
        <v>473.50818456596602</v>
      </c>
      <c r="H63" s="17">
        <v>454.31344165600001</v>
      </c>
      <c r="I63" s="17" t="s">
        <v>115</v>
      </c>
    </row>
    <row r="64" spans="1:9" x14ac:dyDescent="0.3">
      <c r="A64" s="17" t="s">
        <v>58</v>
      </c>
      <c r="B64" s="17" t="s">
        <v>61</v>
      </c>
      <c r="C64" s="17" t="s">
        <v>113</v>
      </c>
      <c r="D64" s="17" t="s">
        <v>114</v>
      </c>
      <c r="E64" s="17" t="s">
        <v>101</v>
      </c>
      <c r="F64" s="17" t="s">
        <v>161</v>
      </c>
      <c r="G64" s="17">
        <v>57.509670418933403</v>
      </c>
      <c r="H64" s="17">
        <v>55.1783837073</v>
      </c>
      <c r="I64" s="17" t="s">
        <v>115</v>
      </c>
    </row>
    <row r="65" spans="1:9" x14ac:dyDescent="0.3">
      <c r="A65" s="17" t="s">
        <v>58</v>
      </c>
      <c r="B65" s="17" t="s">
        <v>61</v>
      </c>
      <c r="C65" s="17" t="s">
        <v>113</v>
      </c>
      <c r="D65" s="17" t="s">
        <v>114</v>
      </c>
      <c r="E65" s="17" t="s">
        <v>101</v>
      </c>
      <c r="F65" s="17" t="s">
        <v>162</v>
      </c>
      <c r="G65" s="17">
        <v>131.513233246292</v>
      </c>
      <c r="H65" s="17">
        <v>126.18204197293601</v>
      </c>
      <c r="I65" s="17" t="s">
        <v>115</v>
      </c>
    </row>
    <row r="66" spans="1:9" x14ac:dyDescent="0.3">
      <c r="A66" s="17" t="s">
        <v>58</v>
      </c>
      <c r="B66" s="17" t="s">
        <v>61</v>
      </c>
      <c r="C66" s="17" t="s">
        <v>113</v>
      </c>
      <c r="D66" s="17" t="s">
        <v>114</v>
      </c>
      <c r="E66" s="17" t="s">
        <v>101</v>
      </c>
      <c r="F66" s="17" t="s">
        <v>163</v>
      </c>
      <c r="G66" s="17">
        <v>222.966607896395</v>
      </c>
      <c r="H66" s="17">
        <v>213.92814382</v>
      </c>
      <c r="I66" s="17" t="s">
        <v>115</v>
      </c>
    </row>
    <row r="67" spans="1:9" x14ac:dyDescent="0.3">
      <c r="A67" s="17" t="s">
        <v>58</v>
      </c>
      <c r="B67" s="17" t="s">
        <v>61</v>
      </c>
      <c r="C67" s="17" t="s">
        <v>113</v>
      </c>
      <c r="D67" s="17" t="s">
        <v>114</v>
      </c>
      <c r="E67" s="17" t="s">
        <v>101</v>
      </c>
      <c r="F67" s="17" t="s">
        <v>164</v>
      </c>
      <c r="G67" s="17">
        <v>188.60555828404</v>
      </c>
      <c r="H67" s="17">
        <v>180.95999835360001</v>
      </c>
      <c r="I67" s="17" t="s">
        <v>115</v>
      </c>
    </row>
    <row r="68" spans="1:9" x14ac:dyDescent="0.3">
      <c r="A68" s="17" t="s">
        <v>58</v>
      </c>
      <c r="B68" s="17" t="s">
        <v>61</v>
      </c>
      <c r="C68" s="17" t="s">
        <v>113</v>
      </c>
      <c r="D68" s="17" t="s">
        <v>114</v>
      </c>
      <c r="E68" s="17" t="s">
        <v>102</v>
      </c>
      <c r="F68" s="17" t="s">
        <v>165</v>
      </c>
      <c r="G68" s="17">
        <v>20.3472726294826</v>
      </c>
      <c r="H68" s="17">
        <v>19.522449152777799</v>
      </c>
      <c r="I68" s="17" t="s">
        <v>115</v>
      </c>
    </row>
    <row r="69" spans="1:9" x14ac:dyDescent="0.3">
      <c r="A69" s="17" t="s">
        <v>58</v>
      </c>
      <c r="B69" s="17" t="s">
        <v>61</v>
      </c>
      <c r="C69" s="17" t="s">
        <v>113</v>
      </c>
      <c r="D69" s="17" t="s">
        <v>114</v>
      </c>
      <c r="E69" s="17" t="s">
        <v>102</v>
      </c>
      <c r="F69" s="17" t="s">
        <v>166</v>
      </c>
      <c r="G69" s="17">
        <v>416.336790871939</v>
      </c>
      <c r="H69" s="17">
        <v>399.45962184882598</v>
      </c>
      <c r="I69" s="17" t="s">
        <v>115</v>
      </c>
    </row>
    <row r="70" spans="1:9" x14ac:dyDescent="0.3">
      <c r="A70" s="17" t="s">
        <v>58</v>
      </c>
      <c r="B70" s="17" t="s">
        <v>61</v>
      </c>
      <c r="C70" s="17" t="s">
        <v>167</v>
      </c>
      <c r="D70" s="17" t="s">
        <v>168</v>
      </c>
      <c r="E70" s="17" t="s">
        <v>100</v>
      </c>
      <c r="F70" s="17" t="s">
        <v>100</v>
      </c>
      <c r="G70" s="17">
        <v>0</v>
      </c>
      <c r="H70" s="17">
        <v>0</v>
      </c>
      <c r="I70" s="17" t="s">
        <v>115</v>
      </c>
    </row>
    <row r="71" spans="1:9" x14ac:dyDescent="0.3">
      <c r="A71" s="17" t="s">
        <v>58</v>
      </c>
      <c r="B71" s="17" t="s">
        <v>61</v>
      </c>
      <c r="C71" s="17" t="s">
        <v>167</v>
      </c>
      <c r="D71" s="17" t="s">
        <v>114</v>
      </c>
      <c r="E71" s="17" t="s">
        <v>100</v>
      </c>
      <c r="F71" s="17" t="s">
        <v>100</v>
      </c>
      <c r="G71" s="17">
        <v>245.03714400000001</v>
      </c>
      <c r="H71" s="17">
        <v>235.10400000000001</v>
      </c>
      <c r="I71" s="17" t="s">
        <v>115</v>
      </c>
    </row>
    <row r="72" spans="1:9" x14ac:dyDescent="0.3">
      <c r="A72" s="17" t="s">
        <v>58</v>
      </c>
      <c r="B72" s="17" t="s">
        <v>62</v>
      </c>
      <c r="C72" s="17" t="s">
        <v>113</v>
      </c>
      <c r="D72" s="17" t="s">
        <v>114</v>
      </c>
      <c r="E72" s="17" t="s">
        <v>71</v>
      </c>
      <c r="F72" s="17" t="s">
        <v>71</v>
      </c>
      <c r="G72" s="17">
        <v>41.313215999999997</v>
      </c>
      <c r="H72" s="17">
        <v>39.648000000000003</v>
      </c>
      <c r="I72" s="17" t="s">
        <v>115</v>
      </c>
    </row>
    <row r="73" spans="1:9" x14ac:dyDescent="0.3">
      <c r="A73" s="17" t="s">
        <v>58</v>
      </c>
      <c r="B73" s="17" t="s">
        <v>62</v>
      </c>
      <c r="C73" s="17" t="s">
        <v>113</v>
      </c>
      <c r="D73" s="17" t="s">
        <v>114</v>
      </c>
      <c r="E73" s="17" t="s">
        <v>72</v>
      </c>
      <c r="F73" s="17" t="s">
        <v>116</v>
      </c>
      <c r="G73" s="17">
        <v>156.24098111999999</v>
      </c>
      <c r="H73" s="17">
        <v>149.94336000000001</v>
      </c>
      <c r="I73" s="17" t="s">
        <v>115</v>
      </c>
    </row>
    <row r="74" spans="1:9" x14ac:dyDescent="0.3">
      <c r="A74" s="17" t="s">
        <v>58</v>
      </c>
      <c r="B74" s="17" t="s">
        <v>62</v>
      </c>
      <c r="C74" s="17" t="s">
        <v>113</v>
      </c>
      <c r="D74" s="17" t="s">
        <v>114</v>
      </c>
      <c r="E74" s="17" t="s">
        <v>73</v>
      </c>
      <c r="F74" s="17" t="s">
        <v>169</v>
      </c>
      <c r="G74" s="17">
        <v>0</v>
      </c>
      <c r="H74" s="17">
        <v>0</v>
      </c>
      <c r="I74" s="17" t="s">
        <v>115</v>
      </c>
    </row>
    <row r="75" spans="1:9" x14ac:dyDescent="0.3">
      <c r="A75" s="17" t="s">
        <v>58</v>
      </c>
      <c r="B75" s="17" t="s">
        <v>62</v>
      </c>
      <c r="C75" s="17" t="s">
        <v>113</v>
      </c>
      <c r="D75" s="17" t="s">
        <v>114</v>
      </c>
      <c r="E75" s="17" t="s">
        <v>73</v>
      </c>
      <c r="F75" s="17" t="s">
        <v>117</v>
      </c>
      <c r="G75" s="17">
        <v>0</v>
      </c>
      <c r="H75" s="17">
        <v>0</v>
      </c>
      <c r="I75" s="17" t="s">
        <v>115</v>
      </c>
    </row>
    <row r="76" spans="1:9" x14ac:dyDescent="0.3">
      <c r="A76" s="17" t="s">
        <v>58</v>
      </c>
      <c r="B76" s="17" t="s">
        <v>62</v>
      </c>
      <c r="C76" s="17" t="s">
        <v>113</v>
      </c>
      <c r="D76" s="17" t="s">
        <v>114</v>
      </c>
      <c r="E76" s="17" t="s">
        <v>73</v>
      </c>
      <c r="F76" s="17" t="s">
        <v>118</v>
      </c>
      <c r="G76" s="17">
        <v>245.881048198592</v>
      </c>
      <c r="H76" s="17">
        <v>235.970295776</v>
      </c>
      <c r="I76" s="17" t="s">
        <v>115</v>
      </c>
    </row>
    <row r="77" spans="1:9" x14ac:dyDescent="0.3">
      <c r="A77" s="17" t="s">
        <v>58</v>
      </c>
      <c r="B77" s="17" t="s">
        <v>62</v>
      </c>
      <c r="C77" s="17" t="s">
        <v>113</v>
      </c>
      <c r="D77" s="17" t="s">
        <v>114</v>
      </c>
      <c r="E77" s="17" t="s">
        <v>73</v>
      </c>
      <c r="F77" s="17" t="s">
        <v>119</v>
      </c>
      <c r="G77" s="17">
        <v>1568.5017600000001</v>
      </c>
      <c r="H77" s="17">
        <v>1505.28</v>
      </c>
      <c r="I77" s="17" t="s">
        <v>115</v>
      </c>
    </row>
    <row r="78" spans="1:9" x14ac:dyDescent="0.3">
      <c r="A78" s="17" t="s">
        <v>58</v>
      </c>
      <c r="B78" s="17" t="s">
        <v>62</v>
      </c>
      <c r="C78" s="17" t="s">
        <v>113</v>
      </c>
      <c r="D78" s="17" t="s">
        <v>114</v>
      </c>
      <c r="E78" s="17" t="s">
        <v>73</v>
      </c>
      <c r="F78" s="17" t="s">
        <v>120</v>
      </c>
      <c r="G78" s="17">
        <v>15.2715976767123</v>
      </c>
      <c r="H78" s="17">
        <v>14.6560438356164</v>
      </c>
      <c r="I78" s="17" t="s">
        <v>115</v>
      </c>
    </row>
    <row r="79" spans="1:9" x14ac:dyDescent="0.3">
      <c r="A79" s="17" t="s">
        <v>58</v>
      </c>
      <c r="B79" s="17" t="s">
        <v>62</v>
      </c>
      <c r="C79" s="17" t="s">
        <v>113</v>
      </c>
      <c r="D79" s="17" t="s">
        <v>114</v>
      </c>
      <c r="E79" s="17" t="s">
        <v>74</v>
      </c>
      <c r="F79" s="17" t="s">
        <v>121</v>
      </c>
      <c r="G79" s="17">
        <v>3.3603864379999999</v>
      </c>
      <c r="H79" s="17">
        <v>3.224939</v>
      </c>
      <c r="I79" s="17" t="s">
        <v>115</v>
      </c>
    </row>
    <row r="80" spans="1:9" x14ac:dyDescent="0.3">
      <c r="A80" s="17" t="s">
        <v>58</v>
      </c>
      <c r="B80" s="17" t="s">
        <v>62</v>
      </c>
      <c r="C80" s="17" t="s">
        <v>113</v>
      </c>
      <c r="D80" s="17" t="s">
        <v>114</v>
      </c>
      <c r="E80" s="17" t="s">
        <v>75</v>
      </c>
      <c r="F80" s="17" t="s">
        <v>75</v>
      </c>
      <c r="G80" s="17">
        <v>54.029943674363899</v>
      </c>
      <c r="H80" s="17">
        <v>51.852153238353097</v>
      </c>
      <c r="I80" s="17" t="s">
        <v>115</v>
      </c>
    </row>
    <row r="81" spans="1:9" x14ac:dyDescent="0.3">
      <c r="A81" s="17" t="s">
        <v>58</v>
      </c>
      <c r="B81" s="17" t="s">
        <v>62</v>
      </c>
      <c r="C81" s="17" t="s">
        <v>113</v>
      </c>
      <c r="D81" s="17" t="s">
        <v>114</v>
      </c>
      <c r="E81" s="17" t="s">
        <v>76</v>
      </c>
      <c r="F81" s="17" t="s">
        <v>122</v>
      </c>
      <c r="G81" s="17">
        <v>125.340096</v>
      </c>
      <c r="H81" s="17">
        <v>120.288</v>
      </c>
      <c r="I81" s="17" t="s">
        <v>115</v>
      </c>
    </row>
    <row r="82" spans="1:9" x14ac:dyDescent="0.3">
      <c r="A82" s="17" t="s">
        <v>58</v>
      </c>
      <c r="B82" s="17" t="s">
        <v>62</v>
      </c>
      <c r="C82" s="17" t="s">
        <v>113</v>
      </c>
      <c r="D82" s="17" t="s">
        <v>114</v>
      </c>
      <c r="E82" s="17" t="s">
        <v>80</v>
      </c>
      <c r="F82" s="17" t="s">
        <v>80</v>
      </c>
      <c r="G82" s="17">
        <v>0.57428481423432298</v>
      </c>
      <c r="H82" s="17">
        <v>0.55113705780645195</v>
      </c>
      <c r="I82" s="17" t="s">
        <v>115</v>
      </c>
    </row>
    <row r="83" spans="1:9" x14ac:dyDescent="0.3">
      <c r="A83" s="17" t="s">
        <v>58</v>
      </c>
      <c r="B83" s="17" t="s">
        <v>62</v>
      </c>
      <c r="C83" s="17" t="s">
        <v>113</v>
      </c>
      <c r="D83" s="17" t="s">
        <v>114</v>
      </c>
      <c r="E83" s="17" t="s">
        <v>77</v>
      </c>
      <c r="F83" s="17" t="s">
        <v>77</v>
      </c>
      <c r="G83" s="17">
        <v>3.6422981313</v>
      </c>
      <c r="H83" s="17">
        <v>3.4954876499999998</v>
      </c>
      <c r="I83" s="17" t="s">
        <v>115</v>
      </c>
    </row>
    <row r="84" spans="1:9" x14ac:dyDescent="0.3">
      <c r="A84" s="17" t="s">
        <v>58</v>
      </c>
      <c r="B84" s="17" t="s">
        <v>62</v>
      </c>
      <c r="C84" s="17" t="s">
        <v>113</v>
      </c>
      <c r="D84" s="17" t="s">
        <v>114</v>
      </c>
      <c r="E84" s="17" t="s">
        <v>78</v>
      </c>
      <c r="F84" s="17" t="s">
        <v>123</v>
      </c>
      <c r="G84" s="17">
        <v>12.1673331612903</v>
      </c>
      <c r="H84" s="17">
        <v>11.6769032258065</v>
      </c>
      <c r="I84" s="17" t="s">
        <v>115</v>
      </c>
    </row>
    <row r="85" spans="1:9" x14ac:dyDescent="0.3">
      <c r="A85" s="17" t="s">
        <v>58</v>
      </c>
      <c r="B85" s="17" t="s">
        <v>62</v>
      </c>
      <c r="C85" s="17" t="s">
        <v>113</v>
      </c>
      <c r="D85" s="17" t="s">
        <v>114</v>
      </c>
      <c r="E85" s="17" t="s">
        <v>78</v>
      </c>
      <c r="F85" s="17" t="s">
        <v>124</v>
      </c>
      <c r="G85" s="17">
        <v>175.05600000000001</v>
      </c>
      <c r="H85" s="17">
        <v>168</v>
      </c>
      <c r="I85" s="17" t="s">
        <v>115</v>
      </c>
    </row>
    <row r="86" spans="1:9" x14ac:dyDescent="0.3">
      <c r="A86" s="17" t="s">
        <v>58</v>
      </c>
      <c r="B86" s="17" t="s">
        <v>62</v>
      </c>
      <c r="C86" s="17" t="s">
        <v>113</v>
      </c>
      <c r="D86" s="17" t="s">
        <v>114</v>
      </c>
      <c r="E86" s="17" t="s">
        <v>78</v>
      </c>
      <c r="F86" s="17" t="s">
        <v>125</v>
      </c>
      <c r="G86" s="17">
        <v>167.77367039999999</v>
      </c>
      <c r="H86" s="17">
        <v>161.0112</v>
      </c>
      <c r="I86" s="17" t="s">
        <v>115</v>
      </c>
    </row>
    <row r="87" spans="1:9" x14ac:dyDescent="0.3">
      <c r="A87" s="17" t="s">
        <v>58</v>
      </c>
      <c r="B87" s="17" t="s">
        <v>62</v>
      </c>
      <c r="C87" s="17" t="s">
        <v>113</v>
      </c>
      <c r="D87" s="17" t="s">
        <v>114</v>
      </c>
      <c r="E87" s="17" t="s">
        <v>79</v>
      </c>
      <c r="F87" s="17" t="s">
        <v>126</v>
      </c>
      <c r="G87" s="17">
        <v>8651.42955361452</v>
      </c>
      <c r="H87" s="17">
        <v>8302.7155025091397</v>
      </c>
      <c r="I87" s="17" t="s">
        <v>115</v>
      </c>
    </row>
    <row r="88" spans="1:9" x14ac:dyDescent="0.3">
      <c r="A88" s="17" t="s">
        <v>58</v>
      </c>
      <c r="B88" s="17" t="s">
        <v>62</v>
      </c>
      <c r="C88" s="17" t="s">
        <v>113</v>
      </c>
      <c r="D88" s="17" t="s">
        <v>114</v>
      </c>
      <c r="E88" s="17" t="s">
        <v>79</v>
      </c>
      <c r="F88" s="17" t="s">
        <v>79</v>
      </c>
      <c r="G88" s="17">
        <v>1365.0187777705901</v>
      </c>
      <c r="H88" s="17">
        <v>1309.99882703511</v>
      </c>
      <c r="I88" s="17" t="s">
        <v>115</v>
      </c>
    </row>
    <row r="89" spans="1:9" x14ac:dyDescent="0.3">
      <c r="A89" s="17" t="s">
        <v>58</v>
      </c>
      <c r="B89" s="17" t="s">
        <v>62</v>
      </c>
      <c r="C89" s="17" t="s">
        <v>113</v>
      </c>
      <c r="D89" s="17" t="s">
        <v>114</v>
      </c>
      <c r="E89" s="17" t="s">
        <v>81</v>
      </c>
      <c r="F89" s="17" t="s">
        <v>81</v>
      </c>
      <c r="G89" s="17">
        <v>182.40064250737001</v>
      </c>
      <c r="H89" s="17">
        <v>175.048601254674</v>
      </c>
      <c r="I89" s="17" t="s">
        <v>115</v>
      </c>
    </row>
    <row r="90" spans="1:9" x14ac:dyDescent="0.3">
      <c r="A90" s="17" t="s">
        <v>58</v>
      </c>
      <c r="B90" s="17" t="s">
        <v>62</v>
      </c>
      <c r="C90" s="17" t="s">
        <v>113</v>
      </c>
      <c r="D90" s="17" t="s">
        <v>114</v>
      </c>
      <c r="E90" s="17" t="s">
        <v>82</v>
      </c>
      <c r="F90" s="17" t="s">
        <v>82</v>
      </c>
      <c r="G90" s="17">
        <v>55.601360879070498</v>
      </c>
      <c r="H90" s="17">
        <v>53.3602311699333</v>
      </c>
      <c r="I90" s="17" t="s">
        <v>115</v>
      </c>
    </row>
    <row r="91" spans="1:9" x14ac:dyDescent="0.3">
      <c r="A91" s="17" t="s">
        <v>58</v>
      </c>
      <c r="B91" s="17" t="s">
        <v>62</v>
      </c>
      <c r="C91" s="17" t="s">
        <v>113</v>
      </c>
      <c r="D91" s="17" t="s">
        <v>114</v>
      </c>
      <c r="E91" s="17" t="s">
        <v>83</v>
      </c>
      <c r="F91" s="17" t="s">
        <v>127</v>
      </c>
      <c r="G91" s="17">
        <v>1.1650881561214199</v>
      </c>
      <c r="H91" s="17">
        <v>1.1181268292911899</v>
      </c>
      <c r="I91" s="17" t="s">
        <v>115</v>
      </c>
    </row>
    <row r="92" spans="1:9" x14ac:dyDescent="0.3">
      <c r="A92" s="17" t="s">
        <v>58</v>
      </c>
      <c r="B92" s="17" t="s">
        <v>62</v>
      </c>
      <c r="C92" s="17" t="s">
        <v>113</v>
      </c>
      <c r="D92" s="17" t="s">
        <v>114</v>
      </c>
      <c r="E92" s="17" t="s">
        <v>83</v>
      </c>
      <c r="F92" s="17" t="s">
        <v>128</v>
      </c>
      <c r="G92" s="17">
        <v>30.820413983947201</v>
      </c>
      <c r="H92" s="17">
        <v>29.5781324222142</v>
      </c>
      <c r="I92" s="17" t="s">
        <v>115</v>
      </c>
    </row>
    <row r="93" spans="1:9" x14ac:dyDescent="0.3">
      <c r="A93" s="17" t="s">
        <v>58</v>
      </c>
      <c r="B93" s="17" t="s">
        <v>62</v>
      </c>
      <c r="C93" s="17" t="s">
        <v>113</v>
      </c>
      <c r="D93" s="17" t="s">
        <v>114</v>
      </c>
      <c r="E93" s="17" t="s">
        <v>84</v>
      </c>
      <c r="F93" s="17" t="s">
        <v>129</v>
      </c>
      <c r="G93" s="17">
        <v>2361.9133515209301</v>
      </c>
      <c r="H93" s="17">
        <v>2266.71146978976</v>
      </c>
      <c r="I93" s="17" t="s">
        <v>115</v>
      </c>
    </row>
    <row r="94" spans="1:9" x14ac:dyDescent="0.3">
      <c r="A94" s="17" t="s">
        <v>58</v>
      </c>
      <c r="B94" s="17" t="s">
        <v>62</v>
      </c>
      <c r="C94" s="17" t="s">
        <v>113</v>
      </c>
      <c r="D94" s="17" t="s">
        <v>114</v>
      </c>
      <c r="E94" s="17" t="s">
        <v>85</v>
      </c>
      <c r="F94" s="17" t="s">
        <v>85</v>
      </c>
      <c r="G94" s="17">
        <v>78.1244192776185</v>
      </c>
      <c r="H94" s="17">
        <v>74.975450362397794</v>
      </c>
      <c r="I94" s="17" t="s">
        <v>115</v>
      </c>
    </row>
    <row r="95" spans="1:9" x14ac:dyDescent="0.3">
      <c r="A95" s="17" t="s">
        <v>58</v>
      </c>
      <c r="B95" s="17" t="s">
        <v>62</v>
      </c>
      <c r="C95" s="17" t="s">
        <v>113</v>
      </c>
      <c r="D95" s="17" t="s">
        <v>114</v>
      </c>
      <c r="E95" s="17" t="s">
        <v>87</v>
      </c>
      <c r="F95" s="17" t="s">
        <v>87</v>
      </c>
      <c r="G95" s="17">
        <v>1.3822529575739999</v>
      </c>
      <c r="H95" s="17">
        <v>1.3265383470000001</v>
      </c>
      <c r="I95" s="17" t="s">
        <v>115</v>
      </c>
    </row>
    <row r="96" spans="1:9" x14ac:dyDescent="0.3">
      <c r="A96" s="17" t="s">
        <v>58</v>
      </c>
      <c r="B96" s="17" t="s">
        <v>62</v>
      </c>
      <c r="C96" s="17" t="s">
        <v>113</v>
      </c>
      <c r="D96" s="17" t="s">
        <v>114</v>
      </c>
      <c r="E96" s="17" t="s">
        <v>88</v>
      </c>
      <c r="F96" s="17" t="s">
        <v>88</v>
      </c>
      <c r="G96" s="17">
        <v>11.14815020436</v>
      </c>
      <c r="H96" s="17">
        <v>10.69880058</v>
      </c>
      <c r="I96" s="17" t="s">
        <v>115</v>
      </c>
    </row>
    <row r="97" spans="1:9" x14ac:dyDescent="0.3">
      <c r="A97" s="17" t="s">
        <v>58</v>
      </c>
      <c r="B97" s="17" t="s">
        <v>62</v>
      </c>
      <c r="C97" s="17" t="s">
        <v>113</v>
      </c>
      <c r="D97" s="17" t="s">
        <v>114</v>
      </c>
      <c r="E97" s="17" t="s">
        <v>89</v>
      </c>
      <c r="F97" s="17" t="s">
        <v>89</v>
      </c>
      <c r="G97" s="17">
        <v>0.44393632667999999</v>
      </c>
      <c r="H97" s="17">
        <v>0.42604254000000003</v>
      </c>
      <c r="I97" s="17" t="s">
        <v>115</v>
      </c>
    </row>
    <row r="98" spans="1:9" x14ac:dyDescent="0.3">
      <c r="A98" s="17" t="s">
        <v>58</v>
      </c>
      <c r="B98" s="17" t="s">
        <v>62</v>
      </c>
      <c r="C98" s="17" t="s">
        <v>113</v>
      </c>
      <c r="D98" s="17" t="s">
        <v>114</v>
      </c>
      <c r="E98" s="17" t="s">
        <v>90</v>
      </c>
      <c r="F98" s="17" t="s">
        <v>90</v>
      </c>
      <c r="G98" s="17">
        <v>136.07677119297699</v>
      </c>
      <c r="H98" s="17">
        <v>130.59191093375901</v>
      </c>
      <c r="I98" s="17" t="s">
        <v>115</v>
      </c>
    </row>
    <row r="99" spans="1:9" x14ac:dyDescent="0.3">
      <c r="A99" s="17" t="s">
        <v>58</v>
      </c>
      <c r="B99" s="17" t="s">
        <v>62</v>
      </c>
      <c r="C99" s="17" t="s">
        <v>113</v>
      </c>
      <c r="D99" s="17" t="s">
        <v>114</v>
      </c>
      <c r="E99" s="17" t="s">
        <v>91</v>
      </c>
      <c r="F99" s="17" t="s">
        <v>91</v>
      </c>
      <c r="G99" s="17">
        <v>18.516344750822501</v>
      </c>
      <c r="H99" s="17">
        <v>17.770004559330602</v>
      </c>
      <c r="I99" s="17" t="s">
        <v>115</v>
      </c>
    </row>
    <row r="100" spans="1:9" x14ac:dyDescent="0.3">
      <c r="A100" s="17" t="s">
        <v>58</v>
      </c>
      <c r="B100" s="17" t="s">
        <v>62</v>
      </c>
      <c r="C100" s="17" t="s">
        <v>113</v>
      </c>
      <c r="D100" s="17" t="s">
        <v>114</v>
      </c>
      <c r="E100" s="17" t="s">
        <v>93</v>
      </c>
      <c r="F100" s="17" t="s">
        <v>130</v>
      </c>
      <c r="G100" s="17">
        <v>189.23569230000001</v>
      </c>
      <c r="H100" s="17">
        <v>181.60814999999999</v>
      </c>
      <c r="I100" s="17" t="s">
        <v>115</v>
      </c>
    </row>
    <row r="101" spans="1:9" x14ac:dyDescent="0.3">
      <c r="A101" s="17" t="s">
        <v>58</v>
      </c>
      <c r="B101" s="17" t="s">
        <v>62</v>
      </c>
      <c r="C101" s="17" t="s">
        <v>113</v>
      </c>
      <c r="D101" s="17" t="s">
        <v>114</v>
      </c>
      <c r="E101" s="17" t="s">
        <v>93</v>
      </c>
      <c r="F101" s="17" t="s">
        <v>131</v>
      </c>
      <c r="G101" s="17">
        <v>161.6244116</v>
      </c>
      <c r="H101" s="17">
        <v>155.10980000000001</v>
      </c>
      <c r="I101" s="17" t="s">
        <v>115</v>
      </c>
    </row>
    <row r="102" spans="1:9" x14ac:dyDescent="0.3">
      <c r="A102" s="17" t="s">
        <v>58</v>
      </c>
      <c r="B102" s="17" t="s">
        <v>62</v>
      </c>
      <c r="C102" s="17" t="s">
        <v>113</v>
      </c>
      <c r="D102" s="17" t="s">
        <v>114</v>
      </c>
      <c r="E102" s="17" t="s">
        <v>93</v>
      </c>
      <c r="F102" s="17" t="s">
        <v>132</v>
      </c>
      <c r="G102" s="17">
        <v>1.53974777</v>
      </c>
      <c r="H102" s="17">
        <v>1.4776849999999999</v>
      </c>
      <c r="I102" s="17" t="s">
        <v>115</v>
      </c>
    </row>
    <row r="103" spans="1:9" x14ac:dyDescent="0.3">
      <c r="A103" s="17" t="s">
        <v>58</v>
      </c>
      <c r="B103" s="17" t="s">
        <v>62</v>
      </c>
      <c r="C103" s="17" t="s">
        <v>113</v>
      </c>
      <c r="D103" s="17" t="s">
        <v>114</v>
      </c>
      <c r="E103" s="17" t="s">
        <v>93</v>
      </c>
      <c r="F103" s="17" t="s">
        <v>133</v>
      </c>
      <c r="G103" s="17">
        <v>16.658554838709701</v>
      </c>
      <c r="H103" s="17">
        <v>15.987096774193599</v>
      </c>
      <c r="I103" s="17" t="s">
        <v>115</v>
      </c>
    </row>
    <row r="104" spans="1:9" x14ac:dyDescent="0.3">
      <c r="A104" s="17" t="s">
        <v>58</v>
      </c>
      <c r="B104" s="17" t="s">
        <v>62</v>
      </c>
      <c r="C104" s="17" t="s">
        <v>113</v>
      </c>
      <c r="D104" s="17" t="s">
        <v>114</v>
      </c>
      <c r="E104" s="17" t="s">
        <v>93</v>
      </c>
      <c r="F104" s="17" t="s">
        <v>134</v>
      </c>
      <c r="G104" s="17">
        <v>2.8492114559999999</v>
      </c>
      <c r="H104" s="17">
        <v>2.7343679999999999</v>
      </c>
      <c r="I104" s="17" t="s">
        <v>115</v>
      </c>
    </row>
    <row r="105" spans="1:9" x14ac:dyDescent="0.3">
      <c r="A105" s="17" t="s">
        <v>58</v>
      </c>
      <c r="B105" s="17" t="s">
        <v>62</v>
      </c>
      <c r="C105" s="17" t="s">
        <v>113</v>
      </c>
      <c r="D105" s="17" t="s">
        <v>114</v>
      </c>
      <c r="E105" s="17" t="s">
        <v>93</v>
      </c>
      <c r="F105" s="17" t="s">
        <v>135</v>
      </c>
      <c r="G105" s="17">
        <v>15.002110967741899</v>
      </c>
      <c r="H105" s="17">
        <v>14.3974193548387</v>
      </c>
      <c r="I105" s="17" t="s">
        <v>115</v>
      </c>
    </row>
    <row r="106" spans="1:9" x14ac:dyDescent="0.3">
      <c r="A106" s="17" t="s">
        <v>58</v>
      </c>
      <c r="B106" s="17" t="s">
        <v>62</v>
      </c>
      <c r="C106" s="17" t="s">
        <v>113</v>
      </c>
      <c r="D106" s="17" t="s">
        <v>114</v>
      </c>
      <c r="E106" s="17" t="s">
        <v>93</v>
      </c>
      <c r="F106" s="17" t="s">
        <v>136</v>
      </c>
      <c r="G106" s="17">
        <v>150.06533564743299</v>
      </c>
      <c r="H106" s="17">
        <v>144.016636897729</v>
      </c>
      <c r="I106" s="17" t="s">
        <v>115</v>
      </c>
    </row>
    <row r="107" spans="1:9" x14ac:dyDescent="0.3">
      <c r="A107" s="17" t="s">
        <v>58</v>
      </c>
      <c r="B107" s="17" t="s">
        <v>62</v>
      </c>
      <c r="C107" s="17" t="s">
        <v>113</v>
      </c>
      <c r="D107" s="17" t="s">
        <v>114</v>
      </c>
      <c r="E107" s="17" t="s">
        <v>93</v>
      </c>
      <c r="F107" s="17" t="s">
        <v>137</v>
      </c>
      <c r="G107" s="17">
        <v>103.51112338</v>
      </c>
      <c r="H107" s="17">
        <v>99.338890000000006</v>
      </c>
      <c r="I107" s="17" t="s">
        <v>115</v>
      </c>
    </row>
    <row r="108" spans="1:9" x14ac:dyDescent="0.3">
      <c r="A108" s="17" t="s">
        <v>58</v>
      </c>
      <c r="B108" s="17" t="s">
        <v>62</v>
      </c>
      <c r="C108" s="17" t="s">
        <v>113</v>
      </c>
      <c r="D108" s="17" t="s">
        <v>114</v>
      </c>
      <c r="E108" s="17" t="s">
        <v>94</v>
      </c>
      <c r="F108" s="17" t="s">
        <v>94</v>
      </c>
      <c r="G108" s="17">
        <v>30.449335892058201</v>
      </c>
      <c r="H108" s="17">
        <v>29.222011412723798</v>
      </c>
      <c r="I108" s="17" t="s">
        <v>115</v>
      </c>
    </row>
    <row r="109" spans="1:9" x14ac:dyDescent="0.3">
      <c r="A109" s="17" t="s">
        <v>58</v>
      </c>
      <c r="B109" s="17" t="s">
        <v>62</v>
      </c>
      <c r="C109" s="17" t="s">
        <v>113</v>
      </c>
      <c r="D109" s="17" t="s">
        <v>114</v>
      </c>
      <c r="E109" s="17" t="s">
        <v>95</v>
      </c>
      <c r="F109" s="17" t="s">
        <v>138</v>
      </c>
      <c r="G109" s="17">
        <v>397.30709760000002</v>
      </c>
      <c r="H109" s="17">
        <v>381.2928</v>
      </c>
      <c r="I109" s="17" t="s">
        <v>115</v>
      </c>
    </row>
    <row r="110" spans="1:9" x14ac:dyDescent="0.3">
      <c r="A110" s="17" t="s">
        <v>58</v>
      </c>
      <c r="B110" s="17" t="s">
        <v>62</v>
      </c>
      <c r="C110" s="17" t="s">
        <v>113</v>
      </c>
      <c r="D110" s="17" t="s">
        <v>114</v>
      </c>
      <c r="E110" s="17" t="s">
        <v>98</v>
      </c>
      <c r="F110" s="17" t="s">
        <v>139</v>
      </c>
      <c r="G110" s="17">
        <v>110.86879999999999</v>
      </c>
      <c r="H110" s="17">
        <v>106.4</v>
      </c>
      <c r="I110" s="17" t="s">
        <v>115</v>
      </c>
    </row>
    <row r="111" spans="1:9" x14ac:dyDescent="0.3">
      <c r="A111" s="17" t="s">
        <v>58</v>
      </c>
      <c r="B111" s="17" t="s">
        <v>62</v>
      </c>
      <c r="C111" s="17" t="s">
        <v>113</v>
      </c>
      <c r="D111" s="17" t="s">
        <v>114</v>
      </c>
      <c r="E111" s="17" t="s">
        <v>98</v>
      </c>
      <c r="F111" s="17" t="s">
        <v>140</v>
      </c>
      <c r="G111" s="17">
        <v>3499.9529600000001</v>
      </c>
      <c r="H111" s="17">
        <v>3358.88</v>
      </c>
      <c r="I111" s="17" t="s">
        <v>115</v>
      </c>
    </row>
    <row r="112" spans="1:9" x14ac:dyDescent="0.3">
      <c r="A112" s="17" t="s">
        <v>58</v>
      </c>
      <c r="B112" s="17" t="s">
        <v>62</v>
      </c>
      <c r="C112" s="17" t="s">
        <v>113</v>
      </c>
      <c r="D112" s="17" t="s">
        <v>114</v>
      </c>
      <c r="E112" s="17" t="s">
        <v>98</v>
      </c>
      <c r="F112" s="17" t="s">
        <v>141</v>
      </c>
      <c r="G112" s="17">
        <v>55.528516129032297</v>
      </c>
      <c r="H112" s="17">
        <v>53.290322580645203</v>
      </c>
      <c r="I112" s="17" t="s">
        <v>115</v>
      </c>
    </row>
    <row r="113" spans="1:9" x14ac:dyDescent="0.3">
      <c r="A113" s="17" t="s">
        <v>58</v>
      </c>
      <c r="B113" s="17" t="s">
        <v>62</v>
      </c>
      <c r="C113" s="17" t="s">
        <v>113</v>
      </c>
      <c r="D113" s="17" t="s">
        <v>114</v>
      </c>
      <c r="E113" s="17" t="s">
        <v>96</v>
      </c>
      <c r="F113" s="17" t="s">
        <v>96</v>
      </c>
      <c r="G113" s="17">
        <v>25.170447647867999</v>
      </c>
      <c r="H113" s="17">
        <v>24.155899854000001</v>
      </c>
      <c r="I113" s="17" t="s">
        <v>115</v>
      </c>
    </row>
    <row r="114" spans="1:9" x14ac:dyDescent="0.3">
      <c r="A114" s="17" t="s">
        <v>58</v>
      </c>
      <c r="B114" s="17" t="s">
        <v>62</v>
      </c>
      <c r="C114" s="17" t="s">
        <v>113</v>
      </c>
      <c r="D114" s="17" t="s">
        <v>114</v>
      </c>
      <c r="E114" s="17" t="s">
        <v>97</v>
      </c>
      <c r="F114" s="17" t="s">
        <v>97</v>
      </c>
      <c r="G114" s="17">
        <v>110.86879999999999</v>
      </c>
      <c r="H114" s="17">
        <v>106.4</v>
      </c>
      <c r="I114" s="17" t="s">
        <v>115</v>
      </c>
    </row>
    <row r="115" spans="1:9" x14ac:dyDescent="0.3">
      <c r="A115" s="17" t="s">
        <v>58</v>
      </c>
      <c r="B115" s="17" t="s">
        <v>62</v>
      </c>
      <c r="C115" s="17" t="s">
        <v>113</v>
      </c>
      <c r="D115" s="17" t="s">
        <v>114</v>
      </c>
      <c r="E115" s="17" t="s">
        <v>99</v>
      </c>
      <c r="F115" s="17" t="s">
        <v>142</v>
      </c>
      <c r="G115" s="17">
        <v>71.057207573639005</v>
      </c>
      <c r="H115" s="17">
        <v>68.193097479499997</v>
      </c>
      <c r="I115" s="17" t="s">
        <v>115</v>
      </c>
    </row>
    <row r="116" spans="1:9" x14ac:dyDescent="0.3">
      <c r="A116" s="17" t="s">
        <v>58</v>
      </c>
      <c r="B116" s="17" t="s">
        <v>62</v>
      </c>
      <c r="C116" s="17" t="s">
        <v>113</v>
      </c>
      <c r="D116" s="17" t="s">
        <v>114</v>
      </c>
      <c r="E116" s="17" t="s">
        <v>99</v>
      </c>
      <c r="F116" s="17" t="s">
        <v>143</v>
      </c>
      <c r="G116" s="17">
        <v>3.5146634063994799</v>
      </c>
      <c r="H116" s="17">
        <v>3.3729975109399999</v>
      </c>
      <c r="I116" s="17" t="s">
        <v>115</v>
      </c>
    </row>
    <row r="117" spans="1:9" x14ac:dyDescent="0.3">
      <c r="A117" s="17" t="s">
        <v>58</v>
      </c>
      <c r="B117" s="17" t="s">
        <v>62</v>
      </c>
      <c r="C117" s="17" t="s">
        <v>113</v>
      </c>
      <c r="D117" s="17" t="s">
        <v>114</v>
      </c>
      <c r="E117" s="17" t="s">
        <v>99</v>
      </c>
      <c r="F117" s="17" t="s">
        <v>144</v>
      </c>
      <c r="G117" s="17">
        <v>7.6907207878534001</v>
      </c>
      <c r="H117" s="17">
        <v>7.3807301227000002</v>
      </c>
      <c r="I117" s="17" t="s">
        <v>115</v>
      </c>
    </row>
    <row r="118" spans="1:9" x14ac:dyDescent="0.3">
      <c r="A118" s="17" t="s">
        <v>58</v>
      </c>
      <c r="B118" s="17" t="s">
        <v>62</v>
      </c>
      <c r="C118" s="17" t="s">
        <v>113</v>
      </c>
      <c r="D118" s="17" t="s">
        <v>114</v>
      </c>
      <c r="E118" s="17" t="s">
        <v>99</v>
      </c>
      <c r="F118" s="17" t="s">
        <v>145</v>
      </c>
      <c r="G118" s="17">
        <v>6.9322175999999999E-5</v>
      </c>
      <c r="H118" s="17">
        <v>6.6527999999999997E-5</v>
      </c>
      <c r="I118" s="17" t="s">
        <v>115</v>
      </c>
    </row>
    <row r="119" spans="1:9" x14ac:dyDescent="0.3">
      <c r="A119" s="17" t="s">
        <v>58</v>
      </c>
      <c r="B119" s="17" t="s">
        <v>62</v>
      </c>
      <c r="C119" s="17" t="s">
        <v>113</v>
      </c>
      <c r="D119" s="17" t="s">
        <v>114</v>
      </c>
      <c r="E119" s="17" t="s">
        <v>99</v>
      </c>
      <c r="F119" s="17" t="s">
        <v>146</v>
      </c>
      <c r="G119" s="17">
        <v>4.8298288424800002E-2</v>
      </c>
      <c r="H119" s="17">
        <v>4.6351524400000003E-2</v>
      </c>
      <c r="I119" s="17" t="s">
        <v>115</v>
      </c>
    </row>
    <row r="120" spans="1:9" x14ac:dyDescent="0.3">
      <c r="A120" s="17" t="s">
        <v>58</v>
      </c>
      <c r="B120" s="17" t="s">
        <v>62</v>
      </c>
      <c r="C120" s="17" t="s">
        <v>113</v>
      </c>
      <c r="D120" s="17" t="s">
        <v>114</v>
      </c>
      <c r="E120" s="17" t="s">
        <v>99</v>
      </c>
      <c r="F120" s="17" t="s">
        <v>147</v>
      </c>
      <c r="G120" s="17">
        <v>8.4631980951090995</v>
      </c>
      <c r="H120" s="17">
        <v>8.1220711085499993</v>
      </c>
      <c r="I120" s="17" t="s">
        <v>115</v>
      </c>
    </row>
    <row r="121" spans="1:9" x14ac:dyDescent="0.3">
      <c r="A121" s="17" t="s">
        <v>58</v>
      </c>
      <c r="B121" s="17" t="s">
        <v>62</v>
      </c>
      <c r="C121" s="17" t="s">
        <v>113</v>
      </c>
      <c r="D121" s="17" t="s">
        <v>114</v>
      </c>
      <c r="E121" s="17" t="s">
        <v>99</v>
      </c>
      <c r="F121" s="17" t="s">
        <v>148</v>
      </c>
      <c r="G121" s="17">
        <v>606.01358659093603</v>
      </c>
      <c r="H121" s="17">
        <v>581.58693530799997</v>
      </c>
      <c r="I121" s="17" t="s">
        <v>115</v>
      </c>
    </row>
    <row r="122" spans="1:9" x14ac:dyDescent="0.3">
      <c r="A122" s="17" t="s">
        <v>58</v>
      </c>
      <c r="B122" s="17" t="s">
        <v>62</v>
      </c>
      <c r="C122" s="17" t="s">
        <v>113</v>
      </c>
      <c r="D122" s="17" t="s">
        <v>114</v>
      </c>
      <c r="E122" s="17" t="s">
        <v>99</v>
      </c>
      <c r="F122" s="17" t="s">
        <v>149</v>
      </c>
      <c r="G122" s="17">
        <v>1.8997744E-4</v>
      </c>
      <c r="H122" s="17">
        <v>1.8232E-4</v>
      </c>
      <c r="I122" s="17" t="s">
        <v>115</v>
      </c>
    </row>
    <row r="123" spans="1:9" x14ac:dyDescent="0.3">
      <c r="A123" s="17" t="s">
        <v>58</v>
      </c>
      <c r="B123" s="17" t="s">
        <v>62</v>
      </c>
      <c r="C123" s="17" t="s">
        <v>113</v>
      </c>
      <c r="D123" s="17" t="s">
        <v>114</v>
      </c>
      <c r="E123" s="17" t="s">
        <v>99</v>
      </c>
      <c r="F123" s="17" t="s">
        <v>150</v>
      </c>
      <c r="G123" s="17">
        <v>1.7947147812600001E-2</v>
      </c>
      <c r="H123" s="17">
        <v>1.72237503E-2</v>
      </c>
      <c r="I123" s="17" t="s">
        <v>115</v>
      </c>
    </row>
    <row r="124" spans="1:9" x14ac:dyDescent="0.3">
      <c r="A124" s="17" t="s">
        <v>58</v>
      </c>
      <c r="B124" s="17" t="s">
        <v>62</v>
      </c>
      <c r="C124" s="17" t="s">
        <v>113</v>
      </c>
      <c r="D124" s="17" t="s">
        <v>114</v>
      </c>
      <c r="E124" s="17" t="s">
        <v>99</v>
      </c>
      <c r="F124" s="17" t="s">
        <v>151</v>
      </c>
      <c r="G124" s="17">
        <v>3.0547592640071999</v>
      </c>
      <c r="H124" s="17">
        <v>2.9316307716000001</v>
      </c>
      <c r="I124" s="17" t="s">
        <v>115</v>
      </c>
    </row>
    <row r="125" spans="1:9" x14ac:dyDescent="0.3">
      <c r="A125" s="17" t="s">
        <v>58</v>
      </c>
      <c r="B125" s="17" t="s">
        <v>62</v>
      </c>
      <c r="C125" s="17" t="s">
        <v>113</v>
      </c>
      <c r="D125" s="17" t="s">
        <v>114</v>
      </c>
      <c r="E125" s="17" t="s">
        <v>99</v>
      </c>
      <c r="F125" s="17" t="s">
        <v>152</v>
      </c>
      <c r="G125" s="17">
        <v>29.583095226716001</v>
      </c>
      <c r="H125" s="17">
        <v>28.390686398</v>
      </c>
      <c r="I125" s="17" t="s">
        <v>115</v>
      </c>
    </row>
    <row r="126" spans="1:9" x14ac:dyDescent="0.3">
      <c r="A126" s="17" t="s">
        <v>58</v>
      </c>
      <c r="B126" s="17" t="s">
        <v>62</v>
      </c>
      <c r="C126" s="17" t="s">
        <v>113</v>
      </c>
      <c r="D126" s="17" t="s">
        <v>114</v>
      </c>
      <c r="E126" s="17" t="s">
        <v>99</v>
      </c>
      <c r="F126" s="17" t="s">
        <v>153</v>
      </c>
      <c r="G126" s="17">
        <v>1.169030705572</v>
      </c>
      <c r="H126" s="17">
        <v>1.1219104660000001</v>
      </c>
      <c r="I126" s="17" t="s">
        <v>115</v>
      </c>
    </row>
    <row r="127" spans="1:9" x14ac:dyDescent="0.3">
      <c r="A127" s="17" t="s">
        <v>58</v>
      </c>
      <c r="B127" s="17" t="s">
        <v>62</v>
      </c>
      <c r="C127" s="17" t="s">
        <v>113</v>
      </c>
      <c r="D127" s="17" t="s">
        <v>114</v>
      </c>
      <c r="E127" s="17" t="s">
        <v>99</v>
      </c>
      <c r="F127" s="17" t="s">
        <v>154</v>
      </c>
      <c r="G127" s="17">
        <v>1.268765391712E-2</v>
      </c>
      <c r="H127" s="17">
        <v>1.2176251359999999E-2</v>
      </c>
      <c r="I127" s="17" t="s">
        <v>115</v>
      </c>
    </row>
    <row r="128" spans="1:9" x14ac:dyDescent="0.3">
      <c r="A128" s="17" t="s">
        <v>58</v>
      </c>
      <c r="B128" s="17" t="s">
        <v>62</v>
      </c>
      <c r="C128" s="17" t="s">
        <v>113</v>
      </c>
      <c r="D128" s="17" t="s">
        <v>114</v>
      </c>
      <c r="E128" s="17" t="s">
        <v>101</v>
      </c>
      <c r="F128" s="17" t="s">
        <v>155</v>
      </c>
      <c r="G128" s="17">
        <v>5.8499049957599997E-2</v>
      </c>
      <c r="H128" s="17">
        <v>5.6141122799999998E-2</v>
      </c>
      <c r="I128" s="17" t="s">
        <v>115</v>
      </c>
    </row>
    <row r="129" spans="1:9" x14ac:dyDescent="0.3">
      <c r="A129" s="17" t="s">
        <v>58</v>
      </c>
      <c r="B129" s="17" t="s">
        <v>62</v>
      </c>
      <c r="C129" s="17" t="s">
        <v>113</v>
      </c>
      <c r="D129" s="17" t="s">
        <v>114</v>
      </c>
      <c r="E129" s="17" t="s">
        <v>101</v>
      </c>
      <c r="F129" s="17" t="s">
        <v>157</v>
      </c>
      <c r="G129" s="17">
        <v>1268.46936935484</v>
      </c>
      <c r="H129" s="17">
        <v>1217.3410454461</v>
      </c>
      <c r="I129" s="17" t="s">
        <v>115</v>
      </c>
    </row>
    <row r="130" spans="1:9" x14ac:dyDescent="0.3">
      <c r="A130" s="17" t="s">
        <v>58</v>
      </c>
      <c r="B130" s="17" t="s">
        <v>62</v>
      </c>
      <c r="C130" s="17" t="s">
        <v>113</v>
      </c>
      <c r="D130" s="17" t="s">
        <v>114</v>
      </c>
      <c r="E130" s="17" t="s">
        <v>101</v>
      </c>
      <c r="F130" s="17" t="s">
        <v>158</v>
      </c>
      <c r="G130" s="17">
        <v>379.862109700605</v>
      </c>
      <c r="H130" s="17">
        <v>364.55096900249998</v>
      </c>
      <c r="I130" s="17" t="s">
        <v>115</v>
      </c>
    </row>
    <row r="131" spans="1:9" x14ac:dyDescent="0.3">
      <c r="A131" s="17" t="s">
        <v>58</v>
      </c>
      <c r="B131" s="17" t="s">
        <v>62</v>
      </c>
      <c r="C131" s="17" t="s">
        <v>113</v>
      </c>
      <c r="D131" s="17" t="s">
        <v>114</v>
      </c>
      <c r="E131" s="17" t="s">
        <v>101</v>
      </c>
      <c r="F131" s="17" t="s">
        <v>159</v>
      </c>
      <c r="G131" s="17">
        <v>0.102534850656</v>
      </c>
      <c r="H131" s="17">
        <v>9.8401968000000006E-2</v>
      </c>
      <c r="I131" s="17" t="s">
        <v>115</v>
      </c>
    </row>
    <row r="132" spans="1:9" x14ac:dyDescent="0.3">
      <c r="A132" s="17" t="s">
        <v>58</v>
      </c>
      <c r="B132" s="17" t="s">
        <v>62</v>
      </c>
      <c r="C132" s="17" t="s">
        <v>113</v>
      </c>
      <c r="D132" s="17" t="s">
        <v>114</v>
      </c>
      <c r="E132" s="17" t="s">
        <v>101</v>
      </c>
      <c r="F132" s="17" t="s">
        <v>160</v>
      </c>
      <c r="G132" s="17">
        <v>458.25373638859799</v>
      </c>
      <c r="H132" s="17">
        <v>439.78285641899998</v>
      </c>
      <c r="I132" s="17" t="s">
        <v>115</v>
      </c>
    </row>
    <row r="133" spans="1:9" x14ac:dyDescent="0.3">
      <c r="A133" s="17" t="s">
        <v>58</v>
      </c>
      <c r="B133" s="17" t="s">
        <v>62</v>
      </c>
      <c r="C133" s="17" t="s">
        <v>113</v>
      </c>
      <c r="D133" s="17" t="s">
        <v>114</v>
      </c>
      <c r="E133" s="17" t="s">
        <v>101</v>
      </c>
      <c r="F133" s="17" t="s">
        <v>161</v>
      </c>
      <c r="G133" s="17">
        <v>32.5959187402634</v>
      </c>
      <c r="H133" s="17">
        <v>31.2820717277</v>
      </c>
      <c r="I133" s="17" t="s">
        <v>115</v>
      </c>
    </row>
    <row r="134" spans="1:9" x14ac:dyDescent="0.3">
      <c r="A134" s="17" t="s">
        <v>58</v>
      </c>
      <c r="B134" s="17" t="s">
        <v>62</v>
      </c>
      <c r="C134" s="17" t="s">
        <v>113</v>
      </c>
      <c r="D134" s="17" t="s">
        <v>114</v>
      </c>
      <c r="E134" s="17" t="s">
        <v>101</v>
      </c>
      <c r="F134" s="17" t="s">
        <v>162</v>
      </c>
      <c r="G134" s="17">
        <v>114.12983510303999</v>
      </c>
      <c r="H134" s="17">
        <v>109.529592229405</v>
      </c>
      <c r="I134" s="17" t="s">
        <v>115</v>
      </c>
    </row>
    <row r="135" spans="1:9" x14ac:dyDescent="0.3">
      <c r="A135" s="17" t="s">
        <v>58</v>
      </c>
      <c r="B135" s="17" t="s">
        <v>62</v>
      </c>
      <c r="C135" s="17" t="s">
        <v>113</v>
      </c>
      <c r="D135" s="17" t="s">
        <v>114</v>
      </c>
      <c r="E135" s="17" t="s">
        <v>101</v>
      </c>
      <c r="F135" s="17" t="s">
        <v>163</v>
      </c>
      <c r="G135" s="17">
        <v>238.06437168727999</v>
      </c>
      <c r="H135" s="17">
        <v>228.46868684</v>
      </c>
      <c r="I135" s="17" t="s">
        <v>115</v>
      </c>
    </row>
    <row r="136" spans="1:9" x14ac:dyDescent="0.3">
      <c r="A136" s="17" t="s">
        <v>58</v>
      </c>
      <c r="B136" s="17" t="s">
        <v>62</v>
      </c>
      <c r="C136" s="17" t="s">
        <v>113</v>
      </c>
      <c r="D136" s="17" t="s">
        <v>114</v>
      </c>
      <c r="E136" s="17" t="s">
        <v>101</v>
      </c>
      <c r="F136" s="17" t="s">
        <v>164</v>
      </c>
      <c r="G136" s="17">
        <v>21.276112644944401</v>
      </c>
      <c r="H136" s="17">
        <v>20.418534208200001</v>
      </c>
      <c r="I136" s="17" t="s">
        <v>115</v>
      </c>
    </row>
    <row r="137" spans="1:9" x14ac:dyDescent="0.3">
      <c r="A137" s="17" t="s">
        <v>58</v>
      </c>
      <c r="B137" s="17" t="s">
        <v>62</v>
      </c>
      <c r="C137" s="17" t="s">
        <v>113</v>
      </c>
      <c r="D137" s="17" t="s">
        <v>114</v>
      </c>
      <c r="E137" s="17" t="s">
        <v>102</v>
      </c>
      <c r="F137" s="17" t="s">
        <v>165</v>
      </c>
      <c r="G137" s="17">
        <v>18.1168893</v>
      </c>
      <c r="H137" s="17">
        <v>17.386649999999999</v>
      </c>
      <c r="I137" s="17" t="s">
        <v>115</v>
      </c>
    </row>
    <row r="138" spans="1:9" x14ac:dyDescent="0.3">
      <c r="A138" s="17" t="s">
        <v>58</v>
      </c>
      <c r="B138" s="17" t="s">
        <v>62</v>
      </c>
      <c r="C138" s="17" t="s">
        <v>113</v>
      </c>
      <c r="D138" s="17" t="s">
        <v>114</v>
      </c>
      <c r="E138" s="17" t="s">
        <v>102</v>
      </c>
      <c r="F138" s="17" t="s">
        <v>166</v>
      </c>
      <c r="G138" s="17">
        <v>364.44312340403798</v>
      </c>
      <c r="H138" s="17">
        <v>349.75347735512298</v>
      </c>
      <c r="I138" s="17" t="s">
        <v>115</v>
      </c>
    </row>
    <row r="139" spans="1:9" x14ac:dyDescent="0.3">
      <c r="A139" s="17" t="s">
        <v>58</v>
      </c>
      <c r="B139" s="17" t="s">
        <v>62</v>
      </c>
      <c r="C139" s="17" t="s">
        <v>167</v>
      </c>
      <c r="D139" s="17" t="s">
        <v>168</v>
      </c>
      <c r="E139" s="17" t="s">
        <v>100</v>
      </c>
      <c r="F139" s="17" t="s">
        <v>100</v>
      </c>
      <c r="G139" s="17">
        <v>0</v>
      </c>
      <c r="H139" s="17">
        <v>0</v>
      </c>
      <c r="I139" s="17" t="s">
        <v>115</v>
      </c>
    </row>
    <row r="140" spans="1:9" x14ac:dyDescent="0.3">
      <c r="A140" s="17" t="s">
        <v>58</v>
      </c>
      <c r="B140" s="17" t="s">
        <v>62</v>
      </c>
      <c r="C140" s="17" t="s">
        <v>167</v>
      </c>
      <c r="D140" s="17" t="s">
        <v>114</v>
      </c>
      <c r="E140" s="17" t="s">
        <v>100</v>
      </c>
      <c r="F140" s="17" t="s">
        <v>100</v>
      </c>
      <c r="G140" s="17">
        <v>221.27078399999999</v>
      </c>
      <c r="H140" s="17">
        <v>212.352</v>
      </c>
      <c r="I140" s="17" t="s">
        <v>115</v>
      </c>
    </row>
    <row r="141" spans="1:9" x14ac:dyDescent="0.3">
      <c r="A141" s="17" t="s">
        <v>58</v>
      </c>
      <c r="B141" s="17" t="s">
        <v>63</v>
      </c>
      <c r="C141" s="17" t="s">
        <v>113</v>
      </c>
      <c r="D141" s="17" t="s">
        <v>114</v>
      </c>
      <c r="E141" s="17" t="s">
        <v>71</v>
      </c>
      <c r="F141" s="17" t="s">
        <v>71</v>
      </c>
      <c r="G141" s="17">
        <v>46.119332399999998</v>
      </c>
      <c r="H141" s="17">
        <v>43.896000000000001</v>
      </c>
      <c r="I141" s="17" t="s">
        <v>115</v>
      </c>
    </row>
    <row r="142" spans="1:9" x14ac:dyDescent="0.3">
      <c r="A142" s="17" t="s">
        <v>58</v>
      </c>
      <c r="B142" s="17" t="s">
        <v>63</v>
      </c>
      <c r="C142" s="17" t="s">
        <v>113</v>
      </c>
      <c r="D142" s="17" t="s">
        <v>114</v>
      </c>
      <c r="E142" s="17" t="s">
        <v>72</v>
      </c>
      <c r="F142" s="17" t="s">
        <v>116</v>
      </c>
      <c r="G142" s="17">
        <v>174.417061668</v>
      </c>
      <c r="H142" s="17">
        <v>166.00872000000001</v>
      </c>
      <c r="I142" s="17" t="s">
        <v>115</v>
      </c>
    </row>
    <row r="143" spans="1:9" x14ac:dyDescent="0.3">
      <c r="A143" s="17" t="s">
        <v>58</v>
      </c>
      <c r="B143" s="17" t="s">
        <v>63</v>
      </c>
      <c r="C143" s="17" t="s">
        <v>113</v>
      </c>
      <c r="D143" s="17" t="s">
        <v>114</v>
      </c>
      <c r="E143" s="17" t="s">
        <v>73</v>
      </c>
      <c r="F143" s="17" t="s">
        <v>117</v>
      </c>
      <c r="G143" s="17">
        <v>0</v>
      </c>
      <c r="H143" s="17">
        <v>0</v>
      </c>
      <c r="I143" s="17" t="s">
        <v>115</v>
      </c>
    </row>
    <row r="144" spans="1:9" x14ac:dyDescent="0.3">
      <c r="A144" s="17" t="s">
        <v>58</v>
      </c>
      <c r="B144" s="17" t="s">
        <v>63</v>
      </c>
      <c r="C144" s="17" t="s">
        <v>113</v>
      </c>
      <c r="D144" s="17" t="s">
        <v>114</v>
      </c>
      <c r="E144" s="17" t="s">
        <v>73</v>
      </c>
      <c r="F144" s="17" t="s">
        <v>118</v>
      </c>
      <c r="G144" s="17">
        <v>288.59758512000002</v>
      </c>
      <c r="H144" s="17">
        <v>274.6848</v>
      </c>
      <c r="I144" s="17" t="s">
        <v>115</v>
      </c>
    </row>
    <row r="145" spans="1:9" x14ac:dyDescent="0.3">
      <c r="A145" s="17" t="s">
        <v>58</v>
      </c>
      <c r="B145" s="17" t="s">
        <v>63</v>
      </c>
      <c r="C145" s="17" t="s">
        <v>113</v>
      </c>
      <c r="D145" s="17" t="s">
        <v>114</v>
      </c>
      <c r="E145" s="17" t="s">
        <v>73</v>
      </c>
      <c r="F145" s="17" t="s">
        <v>119</v>
      </c>
      <c r="G145" s="17">
        <v>1750.971264</v>
      </c>
      <c r="H145" s="17">
        <v>1666.56</v>
      </c>
      <c r="I145" s="17" t="s">
        <v>115</v>
      </c>
    </row>
    <row r="146" spans="1:9" x14ac:dyDescent="0.3">
      <c r="A146" s="17" t="s">
        <v>58</v>
      </c>
      <c r="B146" s="17" t="s">
        <v>63</v>
      </c>
      <c r="C146" s="17" t="s">
        <v>113</v>
      </c>
      <c r="D146" s="17" t="s">
        <v>114</v>
      </c>
      <c r="E146" s="17" t="s">
        <v>73</v>
      </c>
      <c r="F146" s="17" t="s">
        <v>120</v>
      </c>
      <c r="G146" s="17">
        <v>17.0481980761644</v>
      </c>
      <c r="H146" s="17">
        <v>16.226334246575298</v>
      </c>
      <c r="I146" s="17" t="s">
        <v>115</v>
      </c>
    </row>
    <row r="147" spans="1:9" x14ac:dyDescent="0.3">
      <c r="A147" s="17" t="s">
        <v>58</v>
      </c>
      <c r="B147" s="17" t="s">
        <v>63</v>
      </c>
      <c r="C147" s="17" t="s">
        <v>113</v>
      </c>
      <c r="D147" s="17" t="s">
        <v>114</v>
      </c>
      <c r="E147" s="17" t="s">
        <v>74</v>
      </c>
      <c r="F147" s="17" t="s">
        <v>121</v>
      </c>
      <c r="G147" s="17">
        <v>16.086348650034999</v>
      </c>
      <c r="H147" s="17">
        <v>15.3108539</v>
      </c>
      <c r="I147" s="17" t="s">
        <v>115</v>
      </c>
    </row>
    <row r="148" spans="1:9" x14ac:dyDescent="0.3">
      <c r="A148" s="17" t="s">
        <v>58</v>
      </c>
      <c r="B148" s="17" t="s">
        <v>63</v>
      </c>
      <c r="C148" s="17" t="s">
        <v>113</v>
      </c>
      <c r="D148" s="17" t="s">
        <v>114</v>
      </c>
      <c r="E148" s="17" t="s">
        <v>76</v>
      </c>
      <c r="F148" s="17" t="s">
        <v>122</v>
      </c>
      <c r="G148" s="17">
        <v>139.92136439999999</v>
      </c>
      <c r="H148" s="17">
        <v>133.17599999999999</v>
      </c>
      <c r="I148" s="17" t="s">
        <v>115</v>
      </c>
    </row>
    <row r="149" spans="1:9" x14ac:dyDescent="0.3">
      <c r="A149" s="17" t="s">
        <v>58</v>
      </c>
      <c r="B149" s="17" t="s">
        <v>63</v>
      </c>
      <c r="C149" s="17" t="s">
        <v>113</v>
      </c>
      <c r="D149" s="17" t="s">
        <v>114</v>
      </c>
      <c r="E149" s="17" t="s">
        <v>80</v>
      </c>
      <c r="F149" s="17" t="s">
        <v>80</v>
      </c>
      <c r="G149" s="17">
        <v>0.64120674853979998</v>
      </c>
      <c r="H149" s="17">
        <v>0.61029529199999999</v>
      </c>
      <c r="I149" s="17" t="s">
        <v>115</v>
      </c>
    </row>
    <row r="150" spans="1:9" x14ac:dyDescent="0.3">
      <c r="A150" s="17" t="s">
        <v>58</v>
      </c>
      <c r="B150" s="17" t="s">
        <v>63</v>
      </c>
      <c r="C150" s="17" t="s">
        <v>113</v>
      </c>
      <c r="D150" s="17" t="s">
        <v>114</v>
      </c>
      <c r="E150" s="17" t="s">
        <v>77</v>
      </c>
      <c r="F150" s="17" t="s">
        <v>77</v>
      </c>
      <c r="G150" s="17">
        <v>4.2370545958400001</v>
      </c>
      <c r="H150" s="17">
        <v>4.0327935999999998</v>
      </c>
      <c r="I150" s="17" t="s">
        <v>115</v>
      </c>
    </row>
    <row r="151" spans="1:9" x14ac:dyDescent="0.3">
      <c r="A151" s="17" t="s">
        <v>58</v>
      </c>
      <c r="B151" s="17" t="s">
        <v>63</v>
      </c>
      <c r="C151" s="17" t="s">
        <v>113</v>
      </c>
      <c r="D151" s="17" t="s">
        <v>114</v>
      </c>
      <c r="E151" s="17" t="s">
        <v>78</v>
      </c>
      <c r="F151" s="17" t="s">
        <v>123</v>
      </c>
      <c r="G151" s="17">
        <v>13.582803200000001</v>
      </c>
      <c r="H151" s="17">
        <v>12.928000000000001</v>
      </c>
      <c r="I151" s="17" t="s">
        <v>115</v>
      </c>
    </row>
    <row r="152" spans="1:9" x14ac:dyDescent="0.3">
      <c r="A152" s="17" t="s">
        <v>58</v>
      </c>
      <c r="B152" s="17" t="s">
        <v>63</v>
      </c>
      <c r="C152" s="17" t="s">
        <v>113</v>
      </c>
      <c r="D152" s="17" t="s">
        <v>114</v>
      </c>
      <c r="E152" s="17" t="s">
        <v>78</v>
      </c>
      <c r="F152" s="17" t="s">
        <v>124</v>
      </c>
      <c r="G152" s="17">
        <v>195.42089999999999</v>
      </c>
      <c r="H152" s="17">
        <v>186</v>
      </c>
      <c r="I152" s="17" t="s">
        <v>115</v>
      </c>
    </row>
    <row r="153" spans="1:9" x14ac:dyDescent="0.3">
      <c r="A153" s="17" t="s">
        <v>58</v>
      </c>
      <c r="B153" s="17" t="s">
        <v>63</v>
      </c>
      <c r="C153" s="17" t="s">
        <v>113</v>
      </c>
      <c r="D153" s="17" t="s">
        <v>114</v>
      </c>
      <c r="E153" s="17" t="s">
        <v>78</v>
      </c>
      <c r="F153" s="17" t="s">
        <v>125</v>
      </c>
      <c r="G153" s="17">
        <v>187.29139056</v>
      </c>
      <c r="H153" s="17">
        <v>178.26240000000001</v>
      </c>
      <c r="I153" s="17" t="s">
        <v>115</v>
      </c>
    </row>
    <row r="154" spans="1:9" x14ac:dyDescent="0.3">
      <c r="A154" s="17" t="s">
        <v>58</v>
      </c>
      <c r="B154" s="17" t="s">
        <v>63</v>
      </c>
      <c r="C154" s="17" t="s">
        <v>113</v>
      </c>
      <c r="D154" s="17" t="s">
        <v>114</v>
      </c>
      <c r="E154" s="17" t="s">
        <v>79</v>
      </c>
      <c r="F154" s="17" t="s">
        <v>126</v>
      </c>
      <c r="G154" s="17">
        <v>8087.3307322151704</v>
      </c>
      <c r="H154" s="17">
        <v>7697.4546539905396</v>
      </c>
      <c r="I154" s="17" t="s">
        <v>115</v>
      </c>
    </row>
    <row r="155" spans="1:9" x14ac:dyDescent="0.3">
      <c r="A155" s="17" t="s">
        <v>58</v>
      </c>
      <c r="B155" s="17" t="s">
        <v>63</v>
      </c>
      <c r="C155" s="17" t="s">
        <v>113</v>
      </c>
      <c r="D155" s="17" t="s">
        <v>114</v>
      </c>
      <c r="E155" s="17" t="s">
        <v>79</v>
      </c>
      <c r="F155" s="17" t="s">
        <v>79</v>
      </c>
      <c r="G155" s="17">
        <v>1566.54386641774</v>
      </c>
      <c r="H155" s="17">
        <v>1491.0235248824399</v>
      </c>
      <c r="I155" s="17" t="s">
        <v>115</v>
      </c>
    </row>
    <row r="156" spans="1:9" x14ac:dyDescent="0.3">
      <c r="A156" s="17" t="s">
        <v>58</v>
      </c>
      <c r="B156" s="17" t="s">
        <v>63</v>
      </c>
      <c r="C156" s="17" t="s">
        <v>113</v>
      </c>
      <c r="D156" s="17" t="s">
        <v>114</v>
      </c>
      <c r="E156" s="17" t="s">
        <v>81</v>
      </c>
      <c r="F156" s="17" t="s">
        <v>81</v>
      </c>
      <c r="G156" s="17">
        <v>202.47353453431501</v>
      </c>
      <c r="H156" s="17">
        <v>192.71263935117699</v>
      </c>
      <c r="I156" s="17" t="s">
        <v>115</v>
      </c>
    </row>
    <row r="157" spans="1:9" x14ac:dyDescent="0.3">
      <c r="A157" s="17" t="s">
        <v>58</v>
      </c>
      <c r="B157" s="17" t="s">
        <v>63</v>
      </c>
      <c r="C157" s="17" t="s">
        <v>113</v>
      </c>
      <c r="D157" s="17" t="s">
        <v>114</v>
      </c>
      <c r="E157" s="17" t="s">
        <v>82</v>
      </c>
      <c r="F157" s="17" t="s">
        <v>82</v>
      </c>
      <c r="G157" s="17">
        <v>72.252276702327904</v>
      </c>
      <c r="H157" s="17">
        <v>68.7691207369989</v>
      </c>
      <c r="I157" s="17" t="s">
        <v>115</v>
      </c>
    </row>
    <row r="158" spans="1:9" x14ac:dyDescent="0.3">
      <c r="A158" s="17" t="s">
        <v>58</v>
      </c>
      <c r="B158" s="17" t="s">
        <v>63</v>
      </c>
      <c r="C158" s="17" t="s">
        <v>113</v>
      </c>
      <c r="D158" s="17" t="s">
        <v>114</v>
      </c>
      <c r="E158" s="17" t="s">
        <v>83</v>
      </c>
      <c r="F158" s="17" t="s">
        <v>127</v>
      </c>
      <c r="G158" s="17">
        <v>1.2517289825482101</v>
      </c>
      <c r="H158" s="17">
        <v>1.19138531627869</v>
      </c>
      <c r="I158" s="17" t="s">
        <v>115</v>
      </c>
    </row>
    <row r="159" spans="1:9" x14ac:dyDescent="0.3">
      <c r="A159" s="17" t="s">
        <v>58</v>
      </c>
      <c r="B159" s="17" t="s">
        <v>63</v>
      </c>
      <c r="C159" s="17" t="s">
        <v>113</v>
      </c>
      <c r="D159" s="17" t="s">
        <v>114</v>
      </c>
      <c r="E159" s="17" t="s">
        <v>83</v>
      </c>
      <c r="F159" s="17" t="s">
        <v>128</v>
      </c>
      <c r="G159" s="17">
        <v>33.7038207231504</v>
      </c>
      <c r="H159" s="17">
        <v>32.079018439204702</v>
      </c>
      <c r="I159" s="17" t="s">
        <v>115</v>
      </c>
    </row>
    <row r="160" spans="1:9" x14ac:dyDescent="0.3">
      <c r="A160" s="17" t="s">
        <v>58</v>
      </c>
      <c r="B160" s="17" t="s">
        <v>63</v>
      </c>
      <c r="C160" s="17" t="s">
        <v>113</v>
      </c>
      <c r="D160" s="17" t="s">
        <v>114</v>
      </c>
      <c r="E160" s="17" t="s">
        <v>84</v>
      </c>
      <c r="F160" s="17" t="s">
        <v>129</v>
      </c>
      <c r="G160" s="17">
        <v>10637.9792284615</v>
      </c>
      <c r="H160" s="17">
        <v>10125.140844678501</v>
      </c>
      <c r="I160" s="17" t="s">
        <v>115</v>
      </c>
    </row>
    <row r="161" spans="1:9" x14ac:dyDescent="0.3">
      <c r="A161" s="17" t="s">
        <v>58</v>
      </c>
      <c r="B161" s="17" t="s">
        <v>63</v>
      </c>
      <c r="C161" s="17" t="s">
        <v>113</v>
      </c>
      <c r="D161" s="17" t="s">
        <v>114</v>
      </c>
      <c r="E161" s="17" t="s">
        <v>85</v>
      </c>
      <c r="F161" s="17" t="s">
        <v>85</v>
      </c>
      <c r="G161" s="17">
        <v>92.824215891810596</v>
      </c>
      <c r="H161" s="17">
        <v>88.349322697197493</v>
      </c>
      <c r="I161" s="17" t="s">
        <v>115</v>
      </c>
    </row>
    <row r="162" spans="1:9" x14ac:dyDescent="0.3">
      <c r="A162" s="17" t="s">
        <v>58</v>
      </c>
      <c r="B162" s="17" t="s">
        <v>63</v>
      </c>
      <c r="C162" s="17" t="s">
        <v>113</v>
      </c>
      <c r="D162" s="17" t="s">
        <v>114</v>
      </c>
      <c r="E162" s="17" t="s">
        <v>87</v>
      </c>
      <c r="F162" s="17" t="s">
        <v>87</v>
      </c>
      <c r="G162" s="17">
        <v>0.5836923036867</v>
      </c>
      <c r="H162" s="17">
        <v>0.55555351799999997</v>
      </c>
      <c r="I162" s="17" t="s">
        <v>115</v>
      </c>
    </row>
    <row r="163" spans="1:9" x14ac:dyDescent="0.3">
      <c r="A163" s="17" t="s">
        <v>58</v>
      </c>
      <c r="B163" s="17" t="s">
        <v>63</v>
      </c>
      <c r="C163" s="17" t="s">
        <v>113</v>
      </c>
      <c r="D163" s="17" t="s">
        <v>114</v>
      </c>
      <c r="E163" s="17" t="s">
        <v>88</v>
      </c>
      <c r="F163" s="17" t="s">
        <v>88</v>
      </c>
      <c r="G163" s="17">
        <v>12.4610271930298</v>
      </c>
      <c r="H163" s="17">
        <v>11.8603028535</v>
      </c>
      <c r="I163" s="17" t="s">
        <v>115</v>
      </c>
    </row>
    <row r="164" spans="1:9" x14ac:dyDescent="0.3">
      <c r="A164" s="17" t="s">
        <v>58</v>
      </c>
      <c r="B164" s="17" t="s">
        <v>63</v>
      </c>
      <c r="C164" s="17" t="s">
        <v>113</v>
      </c>
      <c r="D164" s="17" t="s">
        <v>114</v>
      </c>
      <c r="E164" s="17" t="s">
        <v>89</v>
      </c>
      <c r="F164" s="17" t="s">
        <v>89</v>
      </c>
      <c r="G164" s="17">
        <v>0.61069806629699996</v>
      </c>
      <c r="H164" s="17">
        <v>0.58125738000000005</v>
      </c>
      <c r="I164" s="17" t="s">
        <v>115</v>
      </c>
    </row>
    <row r="165" spans="1:9" x14ac:dyDescent="0.3">
      <c r="A165" s="17" t="s">
        <v>58</v>
      </c>
      <c r="B165" s="17" t="s">
        <v>63</v>
      </c>
      <c r="C165" s="17" t="s">
        <v>113</v>
      </c>
      <c r="D165" s="17" t="s">
        <v>114</v>
      </c>
      <c r="E165" s="17" t="s">
        <v>90</v>
      </c>
      <c r="F165" s="17" t="s">
        <v>90</v>
      </c>
      <c r="G165" s="17">
        <v>171.15025150865901</v>
      </c>
      <c r="H165" s="17">
        <v>162.89939704816899</v>
      </c>
      <c r="I165" s="17" t="s">
        <v>115</v>
      </c>
    </row>
    <row r="166" spans="1:9" x14ac:dyDescent="0.3">
      <c r="A166" s="17" t="s">
        <v>58</v>
      </c>
      <c r="B166" s="17" t="s">
        <v>63</v>
      </c>
      <c r="C166" s="17" t="s">
        <v>113</v>
      </c>
      <c r="D166" s="17" t="s">
        <v>114</v>
      </c>
      <c r="E166" s="17" t="s">
        <v>91</v>
      </c>
      <c r="F166" s="17" t="s">
        <v>91</v>
      </c>
      <c r="G166" s="17">
        <v>30.849497806236801</v>
      </c>
      <c r="H166" s="17">
        <v>29.362297440857301</v>
      </c>
      <c r="I166" s="17" t="s">
        <v>115</v>
      </c>
    </row>
    <row r="167" spans="1:9" x14ac:dyDescent="0.3">
      <c r="A167" s="17" t="s">
        <v>58</v>
      </c>
      <c r="B167" s="17" t="s">
        <v>63</v>
      </c>
      <c r="C167" s="17" t="s">
        <v>113</v>
      </c>
      <c r="D167" s="17" t="s">
        <v>114</v>
      </c>
      <c r="E167" s="17" t="s">
        <v>93</v>
      </c>
      <c r="F167" s="17" t="s">
        <v>130</v>
      </c>
      <c r="G167" s="17">
        <v>220.64489469349999</v>
      </c>
      <c r="H167" s="17">
        <v>210.00799000000001</v>
      </c>
      <c r="I167" s="17" t="s">
        <v>115</v>
      </c>
    </row>
    <row r="168" spans="1:9" x14ac:dyDescent="0.3">
      <c r="A168" s="17" t="s">
        <v>58</v>
      </c>
      <c r="B168" s="17" t="s">
        <v>63</v>
      </c>
      <c r="C168" s="17" t="s">
        <v>113</v>
      </c>
      <c r="D168" s="17" t="s">
        <v>114</v>
      </c>
      <c r="E168" s="17" t="s">
        <v>93</v>
      </c>
      <c r="F168" s="17" t="s">
        <v>131</v>
      </c>
      <c r="G168" s="17">
        <v>182.28861552000001</v>
      </c>
      <c r="H168" s="17">
        <v>173.5008</v>
      </c>
      <c r="I168" s="17" t="s">
        <v>115</v>
      </c>
    </row>
    <row r="169" spans="1:9" x14ac:dyDescent="0.3">
      <c r="A169" s="17" t="s">
        <v>58</v>
      </c>
      <c r="B169" s="17" t="s">
        <v>63</v>
      </c>
      <c r="C169" s="17" t="s">
        <v>113</v>
      </c>
      <c r="D169" s="17" t="s">
        <v>114</v>
      </c>
      <c r="E169" s="17" t="s">
        <v>93</v>
      </c>
      <c r="F169" s="17" t="s">
        <v>132</v>
      </c>
      <c r="G169" s="17">
        <v>1.7240031798</v>
      </c>
      <c r="H169" s="17">
        <v>1.640892</v>
      </c>
      <c r="I169" s="17" t="s">
        <v>115</v>
      </c>
    </row>
    <row r="170" spans="1:9" x14ac:dyDescent="0.3">
      <c r="A170" s="17" t="s">
        <v>58</v>
      </c>
      <c r="B170" s="17" t="s">
        <v>63</v>
      </c>
      <c r="C170" s="17" t="s">
        <v>113</v>
      </c>
      <c r="D170" s="17" t="s">
        <v>114</v>
      </c>
      <c r="E170" s="17" t="s">
        <v>93</v>
      </c>
      <c r="F170" s="17" t="s">
        <v>133</v>
      </c>
      <c r="G170" s="17">
        <v>18.596505000000001</v>
      </c>
      <c r="H170" s="17">
        <v>17.7</v>
      </c>
      <c r="I170" s="17" t="s">
        <v>115</v>
      </c>
    </row>
    <row r="171" spans="1:9" x14ac:dyDescent="0.3">
      <c r="A171" s="17" t="s">
        <v>58</v>
      </c>
      <c r="B171" s="17" t="s">
        <v>63</v>
      </c>
      <c r="C171" s="17" t="s">
        <v>113</v>
      </c>
      <c r="D171" s="17" t="s">
        <v>114</v>
      </c>
      <c r="E171" s="17" t="s">
        <v>93</v>
      </c>
      <c r="F171" s="17" t="s">
        <v>134</v>
      </c>
      <c r="G171" s="17">
        <v>3.1806705684000001</v>
      </c>
      <c r="H171" s="17">
        <v>3.027336</v>
      </c>
      <c r="I171" s="17" t="s">
        <v>115</v>
      </c>
    </row>
    <row r="172" spans="1:9" x14ac:dyDescent="0.3">
      <c r="A172" s="17" t="s">
        <v>58</v>
      </c>
      <c r="B172" s="17" t="s">
        <v>63</v>
      </c>
      <c r="C172" s="17" t="s">
        <v>113</v>
      </c>
      <c r="D172" s="17" t="s">
        <v>114</v>
      </c>
      <c r="E172" s="17" t="s">
        <v>93</v>
      </c>
      <c r="F172" s="17" t="s">
        <v>135</v>
      </c>
      <c r="G172" s="17">
        <v>16.747361000000001</v>
      </c>
      <c r="H172" s="17">
        <v>15.94</v>
      </c>
      <c r="I172" s="17" t="s">
        <v>115</v>
      </c>
    </row>
    <row r="173" spans="1:9" x14ac:dyDescent="0.3">
      <c r="A173" s="17" t="s">
        <v>58</v>
      </c>
      <c r="B173" s="17" t="s">
        <v>63</v>
      </c>
      <c r="C173" s="17" t="s">
        <v>113</v>
      </c>
      <c r="D173" s="17" t="s">
        <v>114</v>
      </c>
      <c r="E173" s="17" t="s">
        <v>93</v>
      </c>
      <c r="F173" s="17" t="s">
        <v>136</v>
      </c>
      <c r="G173" s="17">
        <v>146.91231004143901</v>
      </c>
      <c r="H173" s="17">
        <v>139.82992437199701</v>
      </c>
      <c r="I173" s="17" t="s">
        <v>115</v>
      </c>
    </row>
    <row r="174" spans="1:9" x14ac:dyDescent="0.3">
      <c r="A174" s="17" t="s">
        <v>58</v>
      </c>
      <c r="B174" s="17" t="s">
        <v>63</v>
      </c>
      <c r="C174" s="17" t="s">
        <v>113</v>
      </c>
      <c r="D174" s="17" t="s">
        <v>114</v>
      </c>
      <c r="E174" s="17" t="s">
        <v>93</v>
      </c>
      <c r="F174" s="17" t="s">
        <v>137</v>
      </c>
      <c r="G174" s="17">
        <v>116.2510919395</v>
      </c>
      <c r="H174" s="17">
        <v>110.64682999999999</v>
      </c>
      <c r="I174" s="17" t="s">
        <v>115</v>
      </c>
    </row>
    <row r="175" spans="1:9" x14ac:dyDescent="0.3">
      <c r="A175" s="17" t="s">
        <v>58</v>
      </c>
      <c r="B175" s="17" t="s">
        <v>63</v>
      </c>
      <c r="C175" s="17" t="s">
        <v>113</v>
      </c>
      <c r="D175" s="17" t="s">
        <v>114</v>
      </c>
      <c r="E175" s="17" t="s">
        <v>94</v>
      </c>
      <c r="F175" s="17" t="s">
        <v>94</v>
      </c>
      <c r="G175" s="17">
        <v>31.141996797080601</v>
      </c>
      <c r="H175" s="17">
        <v>29.640695566630701</v>
      </c>
      <c r="I175" s="17" t="s">
        <v>115</v>
      </c>
    </row>
    <row r="176" spans="1:9" x14ac:dyDescent="0.3">
      <c r="A176" s="17" t="s">
        <v>58</v>
      </c>
      <c r="B176" s="17" t="s">
        <v>63</v>
      </c>
      <c r="C176" s="17" t="s">
        <v>113</v>
      </c>
      <c r="D176" s="17" t="s">
        <v>114</v>
      </c>
      <c r="E176" s="17" t="s">
        <v>95</v>
      </c>
      <c r="F176" s="17" t="s">
        <v>138</v>
      </c>
      <c r="G176" s="17">
        <v>443.52727463999997</v>
      </c>
      <c r="H176" s="17">
        <v>422.1456</v>
      </c>
      <c r="I176" s="17" t="s">
        <v>115</v>
      </c>
    </row>
    <row r="177" spans="1:9" x14ac:dyDescent="0.3">
      <c r="A177" s="17" t="s">
        <v>58</v>
      </c>
      <c r="B177" s="17" t="s">
        <v>63</v>
      </c>
      <c r="C177" s="17" t="s">
        <v>113</v>
      </c>
      <c r="D177" s="17" t="s">
        <v>114</v>
      </c>
      <c r="E177" s="17" t="s">
        <v>98</v>
      </c>
      <c r="F177" s="17" t="s">
        <v>139</v>
      </c>
      <c r="G177" s="17">
        <v>123.76657</v>
      </c>
      <c r="H177" s="17">
        <v>117.8</v>
      </c>
      <c r="I177" s="17" t="s">
        <v>115</v>
      </c>
    </row>
    <row r="178" spans="1:9" x14ac:dyDescent="0.3">
      <c r="A178" s="17" t="s">
        <v>58</v>
      </c>
      <c r="B178" s="17" t="s">
        <v>63</v>
      </c>
      <c r="C178" s="17" t="s">
        <v>113</v>
      </c>
      <c r="D178" s="17" t="s">
        <v>114</v>
      </c>
      <c r="E178" s="17" t="s">
        <v>98</v>
      </c>
      <c r="F178" s="17" t="s">
        <v>140</v>
      </c>
      <c r="G178" s="17">
        <v>3907.115194</v>
      </c>
      <c r="H178" s="17">
        <v>3718.76</v>
      </c>
      <c r="I178" s="17" t="s">
        <v>115</v>
      </c>
    </row>
    <row r="179" spans="1:9" x14ac:dyDescent="0.3">
      <c r="A179" s="17" t="s">
        <v>58</v>
      </c>
      <c r="B179" s="17" t="s">
        <v>63</v>
      </c>
      <c r="C179" s="17" t="s">
        <v>113</v>
      </c>
      <c r="D179" s="17" t="s">
        <v>114</v>
      </c>
      <c r="E179" s="17" t="s">
        <v>98</v>
      </c>
      <c r="F179" s="17" t="s">
        <v>141</v>
      </c>
      <c r="G179" s="17">
        <v>61.988349999999997</v>
      </c>
      <c r="H179" s="17">
        <v>59</v>
      </c>
      <c r="I179" s="17" t="s">
        <v>115</v>
      </c>
    </row>
    <row r="180" spans="1:9" x14ac:dyDescent="0.3">
      <c r="A180" s="17" t="s">
        <v>58</v>
      </c>
      <c r="B180" s="17" t="s">
        <v>63</v>
      </c>
      <c r="C180" s="17" t="s">
        <v>113</v>
      </c>
      <c r="D180" s="17" t="s">
        <v>114</v>
      </c>
      <c r="E180" s="17" t="s">
        <v>96</v>
      </c>
      <c r="F180" s="17" t="s">
        <v>96</v>
      </c>
      <c r="G180" s="17">
        <v>28.412135117585599</v>
      </c>
      <c r="H180" s="17">
        <v>27.042435746999999</v>
      </c>
      <c r="I180" s="17" t="s">
        <v>115</v>
      </c>
    </row>
    <row r="181" spans="1:9" x14ac:dyDescent="0.3">
      <c r="A181" s="17" t="s">
        <v>58</v>
      </c>
      <c r="B181" s="17" t="s">
        <v>63</v>
      </c>
      <c r="C181" s="17" t="s">
        <v>113</v>
      </c>
      <c r="D181" s="17" t="s">
        <v>114</v>
      </c>
      <c r="E181" s="17" t="s">
        <v>97</v>
      </c>
      <c r="F181" s="17" t="s">
        <v>97</v>
      </c>
      <c r="G181" s="17">
        <v>123.76657</v>
      </c>
      <c r="H181" s="17">
        <v>117.8</v>
      </c>
      <c r="I181" s="17" t="s">
        <v>115</v>
      </c>
    </row>
    <row r="182" spans="1:9" x14ac:dyDescent="0.3">
      <c r="A182" s="17" t="s">
        <v>58</v>
      </c>
      <c r="B182" s="17" t="s">
        <v>63</v>
      </c>
      <c r="C182" s="17" t="s">
        <v>113</v>
      </c>
      <c r="D182" s="17" t="s">
        <v>114</v>
      </c>
      <c r="E182" s="17" t="s">
        <v>99</v>
      </c>
      <c r="F182" s="17" t="s">
        <v>142</v>
      </c>
      <c r="G182" s="17">
        <v>76.311503162380106</v>
      </c>
      <c r="H182" s="17">
        <v>72.632658984800003</v>
      </c>
      <c r="I182" s="17" t="s">
        <v>115</v>
      </c>
    </row>
    <row r="183" spans="1:9" x14ac:dyDescent="0.3">
      <c r="A183" s="17" t="s">
        <v>58</v>
      </c>
      <c r="B183" s="17" t="s">
        <v>63</v>
      </c>
      <c r="C183" s="17" t="s">
        <v>113</v>
      </c>
      <c r="D183" s="17" t="s">
        <v>114</v>
      </c>
      <c r="E183" s="17" t="s">
        <v>99</v>
      </c>
      <c r="F183" s="17" t="s">
        <v>143</v>
      </c>
      <c r="G183" s="17">
        <v>4.9926215769754902</v>
      </c>
      <c r="H183" s="17">
        <v>4.7519360176800003</v>
      </c>
      <c r="I183" s="17" t="s">
        <v>115</v>
      </c>
    </row>
    <row r="184" spans="1:9" x14ac:dyDescent="0.3">
      <c r="A184" s="17" t="s">
        <v>58</v>
      </c>
      <c r="B184" s="17" t="s">
        <v>63</v>
      </c>
      <c r="C184" s="17" t="s">
        <v>113</v>
      </c>
      <c r="D184" s="17" t="s">
        <v>114</v>
      </c>
      <c r="E184" s="17" t="s">
        <v>99</v>
      </c>
      <c r="F184" s="17" t="s">
        <v>144</v>
      </c>
      <c r="G184" s="17">
        <v>22.2532187031177</v>
      </c>
      <c r="H184" s="17">
        <v>21.180429927300001</v>
      </c>
      <c r="I184" s="17" t="s">
        <v>115</v>
      </c>
    </row>
    <row r="185" spans="1:9" x14ac:dyDescent="0.3">
      <c r="A185" s="17" t="s">
        <v>58</v>
      </c>
      <c r="B185" s="17" t="s">
        <v>63</v>
      </c>
      <c r="C185" s="17" t="s">
        <v>113</v>
      </c>
      <c r="D185" s="17" t="s">
        <v>114</v>
      </c>
      <c r="E185" s="17" t="s">
        <v>99</v>
      </c>
      <c r="F185" s="17" t="s">
        <v>145</v>
      </c>
      <c r="G185" s="17">
        <v>7.7386676399999996E-5</v>
      </c>
      <c r="H185" s="17">
        <v>7.3656000000000001E-5</v>
      </c>
      <c r="I185" s="17" t="s">
        <v>115</v>
      </c>
    </row>
    <row r="186" spans="1:9" x14ac:dyDescent="0.3">
      <c r="A186" s="17" t="s">
        <v>58</v>
      </c>
      <c r="B186" s="17" t="s">
        <v>63</v>
      </c>
      <c r="C186" s="17" t="s">
        <v>113</v>
      </c>
      <c r="D186" s="17" t="s">
        <v>114</v>
      </c>
      <c r="E186" s="17" t="s">
        <v>99</v>
      </c>
      <c r="F186" s="17" t="s">
        <v>146</v>
      </c>
      <c r="G186" s="17">
        <v>6.9484103157400001E-2</v>
      </c>
      <c r="H186" s="17">
        <v>6.6134395999999998E-2</v>
      </c>
      <c r="I186" s="17" t="s">
        <v>115</v>
      </c>
    </row>
    <row r="187" spans="1:9" x14ac:dyDescent="0.3">
      <c r="A187" s="17" t="s">
        <v>58</v>
      </c>
      <c r="B187" s="17" t="s">
        <v>63</v>
      </c>
      <c r="C187" s="17" t="s">
        <v>113</v>
      </c>
      <c r="D187" s="17" t="s">
        <v>114</v>
      </c>
      <c r="E187" s="17" t="s">
        <v>99</v>
      </c>
      <c r="F187" s="17" t="s">
        <v>147</v>
      </c>
      <c r="G187" s="17">
        <v>6.4637748281073604</v>
      </c>
      <c r="H187" s="17">
        <v>6.1521675420999999</v>
      </c>
      <c r="I187" s="17" t="s">
        <v>115</v>
      </c>
    </row>
    <row r="188" spans="1:9" x14ac:dyDescent="0.3">
      <c r="A188" s="17" t="s">
        <v>58</v>
      </c>
      <c r="B188" s="17" t="s">
        <v>63</v>
      </c>
      <c r="C188" s="17" t="s">
        <v>113</v>
      </c>
      <c r="D188" s="17" t="s">
        <v>114</v>
      </c>
      <c r="E188" s="17" t="s">
        <v>99</v>
      </c>
      <c r="F188" s="17" t="s">
        <v>148</v>
      </c>
      <c r="G188" s="17">
        <v>636.17959493164199</v>
      </c>
      <c r="H188" s="17">
        <v>605.51048867999998</v>
      </c>
      <c r="I188" s="17" t="s">
        <v>115</v>
      </c>
    </row>
    <row r="189" spans="1:9" x14ac:dyDescent="0.3">
      <c r="A189" s="17" t="s">
        <v>58</v>
      </c>
      <c r="B189" s="17" t="s">
        <v>63</v>
      </c>
      <c r="C189" s="17" t="s">
        <v>113</v>
      </c>
      <c r="D189" s="17" t="s">
        <v>114</v>
      </c>
      <c r="E189" s="17" t="s">
        <v>99</v>
      </c>
      <c r="F189" s="17" t="s">
        <v>149</v>
      </c>
      <c r="G189" s="17">
        <v>1.6219766596E-4</v>
      </c>
      <c r="H189" s="17">
        <v>1.5437839999999999E-4</v>
      </c>
      <c r="I189" s="17" t="s">
        <v>115</v>
      </c>
    </row>
    <row r="190" spans="1:9" x14ac:dyDescent="0.3">
      <c r="A190" s="17" t="s">
        <v>58</v>
      </c>
      <c r="B190" s="17" t="s">
        <v>63</v>
      </c>
      <c r="C190" s="17" t="s">
        <v>113</v>
      </c>
      <c r="D190" s="17" t="s">
        <v>114</v>
      </c>
      <c r="E190" s="17" t="s">
        <v>99</v>
      </c>
      <c r="F190" s="17" t="s">
        <v>150</v>
      </c>
      <c r="G190" s="17">
        <v>1.9137117798019999E-2</v>
      </c>
      <c r="H190" s="17">
        <v>1.82145508E-2</v>
      </c>
      <c r="I190" s="17" t="s">
        <v>115</v>
      </c>
    </row>
    <row r="191" spans="1:9" x14ac:dyDescent="0.3">
      <c r="A191" s="17" t="s">
        <v>58</v>
      </c>
      <c r="B191" s="17" t="s">
        <v>63</v>
      </c>
      <c r="C191" s="17" t="s">
        <v>113</v>
      </c>
      <c r="D191" s="17" t="s">
        <v>114</v>
      </c>
      <c r="E191" s="17" t="s">
        <v>99</v>
      </c>
      <c r="F191" s="17" t="s">
        <v>151</v>
      </c>
      <c r="G191" s="17">
        <v>3.5405252686872299</v>
      </c>
      <c r="H191" s="17">
        <v>3.3698427342000001</v>
      </c>
      <c r="I191" s="17" t="s">
        <v>115</v>
      </c>
    </row>
    <row r="192" spans="1:9" x14ac:dyDescent="0.3">
      <c r="A192" s="17" t="s">
        <v>58</v>
      </c>
      <c r="B192" s="17" t="s">
        <v>63</v>
      </c>
      <c r="C192" s="17" t="s">
        <v>113</v>
      </c>
      <c r="D192" s="17" t="s">
        <v>114</v>
      </c>
      <c r="E192" s="17" t="s">
        <v>99</v>
      </c>
      <c r="F192" s="17" t="s">
        <v>152</v>
      </c>
      <c r="G192" s="17">
        <v>29.071972770456998</v>
      </c>
      <c r="H192" s="17">
        <v>27.670463779999999</v>
      </c>
      <c r="I192" s="17" t="s">
        <v>115</v>
      </c>
    </row>
    <row r="193" spans="1:9" x14ac:dyDescent="0.3">
      <c r="A193" s="17" t="s">
        <v>58</v>
      </c>
      <c r="B193" s="17" t="s">
        <v>63</v>
      </c>
      <c r="C193" s="17" t="s">
        <v>113</v>
      </c>
      <c r="D193" s="17" t="s">
        <v>114</v>
      </c>
      <c r="E193" s="17" t="s">
        <v>99</v>
      </c>
      <c r="F193" s="17" t="s">
        <v>153</v>
      </c>
      <c r="G193" s="17">
        <v>1.18109299981102</v>
      </c>
      <c r="H193" s="17">
        <v>1.1241545708</v>
      </c>
      <c r="I193" s="17" t="s">
        <v>115</v>
      </c>
    </row>
    <row r="194" spans="1:9" x14ac:dyDescent="0.3">
      <c r="A194" s="17" t="s">
        <v>58</v>
      </c>
      <c r="B194" s="17" t="s">
        <v>63</v>
      </c>
      <c r="C194" s="17" t="s">
        <v>113</v>
      </c>
      <c r="D194" s="17" t="s">
        <v>114</v>
      </c>
      <c r="E194" s="17" t="s">
        <v>99</v>
      </c>
      <c r="F194" s="17" t="s">
        <v>154</v>
      </c>
      <c r="G194" s="17">
        <v>1.1646980280818E-2</v>
      </c>
      <c r="H194" s="17">
        <v>1.1085499719999999E-2</v>
      </c>
      <c r="I194" s="17" t="s">
        <v>115</v>
      </c>
    </row>
    <row r="195" spans="1:9" x14ac:dyDescent="0.3">
      <c r="A195" s="17" t="s">
        <v>58</v>
      </c>
      <c r="B195" s="17" t="s">
        <v>63</v>
      </c>
      <c r="C195" s="17" t="s">
        <v>113</v>
      </c>
      <c r="D195" s="17" t="s">
        <v>114</v>
      </c>
      <c r="E195" s="17" t="s">
        <v>101</v>
      </c>
      <c r="F195" s="17" t="s">
        <v>170</v>
      </c>
      <c r="G195" s="17">
        <v>5.4626750800000003</v>
      </c>
      <c r="H195" s="17">
        <v>5.19932906296102</v>
      </c>
      <c r="I195" s="17" t="s">
        <v>115</v>
      </c>
    </row>
    <row r="196" spans="1:9" x14ac:dyDescent="0.3">
      <c r="A196" s="17" t="s">
        <v>58</v>
      </c>
      <c r="B196" s="17" t="s">
        <v>63</v>
      </c>
      <c r="C196" s="17" t="s">
        <v>113</v>
      </c>
      <c r="D196" s="17" t="s">
        <v>114</v>
      </c>
      <c r="E196" s="17" t="s">
        <v>101</v>
      </c>
      <c r="F196" s="17" t="s">
        <v>171</v>
      </c>
      <c r="G196" s="17">
        <v>8.0001599999999992E-3</v>
      </c>
      <c r="H196" s="17">
        <v>7.6144862704040396E-3</v>
      </c>
      <c r="I196" s="17" t="s">
        <v>115</v>
      </c>
    </row>
    <row r="197" spans="1:9" x14ac:dyDescent="0.3">
      <c r="A197" s="17" t="s">
        <v>58</v>
      </c>
      <c r="B197" s="17" t="s">
        <v>63</v>
      </c>
      <c r="C197" s="17" t="s">
        <v>113</v>
      </c>
      <c r="D197" s="17" t="s">
        <v>114</v>
      </c>
      <c r="E197" s="17" t="s">
        <v>101</v>
      </c>
      <c r="F197" s="17" t="s">
        <v>157</v>
      </c>
      <c r="G197" s="17">
        <v>1498.25000120291</v>
      </c>
      <c r="H197" s="17">
        <v>1426.0219875343</v>
      </c>
      <c r="I197" s="17" t="s">
        <v>115</v>
      </c>
    </row>
    <row r="198" spans="1:9" x14ac:dyDescent="0.3">
      <c r="A198" s="17" t="s">
        <v>58</v>
      </c>
      <c r="B198" s="17" t="s">
        <v>63</v>
      </c>
      <c r="C198" s="17" t="s">
        <v>113</v>
      </c>
      <c r="D198" s="17" t="s">
        <v>114</v>
      </c>
      <c r="E198" s="17" t="s">
        <v>101</v>
      </c>
      <c r="F198" s="17" t="s">
        <v>158</v>
      </c>
      <c r="G198" s="17">
        <v>424.04437441593598</v>
      </c>
      <c r="H198" s="17">
        <v>403.60193634030003</v>
      </c>
      <c r="I198" s="17" t="s">
        <v>115</v>
      </c>
    </row>
    <row r="199" spans="1:9" x14ac:dyDescent="0.3">
      <c r="A199" s="17" t="s">
        <v>58</v>
      </c>
      <c r="B199" s="17" t="s">
        <v>63</v>
      </c>
      <c r="C199" s="17" t="s">
        <v>113</v>
      </c>
      <c r="D199" s="17" t="s">
        <v>114</v>
      </c>
      <c r="E199" s="17" t="s">
        <v>101</v>
      </c>
      <c r="F199" s="17" t="s">
        <v>159</v>
      </c>
      <c r="G199" s="17">
        <v>20.215354437698402</v>
      </c>
      <c r="H199" s="17">
        <v>19.240807535999998</v>
      </c>
      <c r="I199" s="17" t="s">
        <v>115</v>
      </c>
    </row>
    <row r="200" spans="1:9" x14ac:dyDescent="0.3">
      <c r="A200" s="17" t="s">
        <v>58</v>
      </c>
      <c r="B200" s="17" t="s">
        <v>63</v>
      </c>
      <c r="C200" s="17" t="s">
        <v>113</v>
      </c>
      <c r="D200" s="17" t="s">
        <v>114</v>
      </c>
      <c r="E200" s="17" t="s">
        <v>101</v>
      </c>
      <c r="F200" s="17" t="s">
        <v>160</v>
      </c>
      <c r="G200" s="17">
        <v>547.66787186399301</v>
      </c>
      <c r="H200" s="17">
        <v>521.26576106599998</v>
      </c>
      <c r="I200" s="17" t="s">
        <v>115</v>
      </c>
    </row>
    <row r="201" spans="1:9" x14ac:dyDescent="0.3">
      <c r="A201" s="17" t="s">
        <v>58</v>
      </c>
      <c r="B201" s="17" t="s">
        <v>63</v>
      </c>
      <c r="C201" s="17" t="s">
        <v>113</v>
      </c>
      <c r="D201" s="17" t="s">
        <v>114</v>
      </c>
      <c r="E201" s="17" t="s">
        <v>101</v>
      </c>
      <c r="F201" s="17" t="s">
        <v>161</v>
      </c>
      <c r="G201" s="17">
        <v>83.223519863472802</v>
      </c>
      <c r="H201" s="17">
        <v>79.211459442700004</v>
      </c>
      <c r="I201" s="17" t="s">
        <v>115</v>
      </c>
    </row>
    <row r="202" spans="1:9" x14ac:dyDescent="0.3">
      <c r="A202" s="17" t="s">
        <v>58</v>
      </c>
      <c r="B202" s="17" t="s">
        <v>63</v>
      </c>
      <c r="C202" s="17" t="s">
        <v>113</v>
      </c>
      <c r="D202" s="17" t="s">
        <v>114</v>
      </c>
      <c r="E202" s="17" t="s">
        <v>101</v>
      </c>
      <c r="F202" s="17" t="s">
        <v>162</v>
      </c>
      <c r="G202" s="17">
        <v>130.468831973113</v>
      </c>
      <c r="H202" s="17">
        <v>124.17915763871299</v>
      </c>
      <c r="I202" s="17" t="s">
        <v>115</v>
      </c>
    </row>
    <row r="203" spans="1:9" x14ac:dyDescent="0.3">
      <c r="A203" s="17" t="s">
        <v>58</v>
      </c>
      <c r="B203" s="17" t="s">
        <v>63</v>
      </c>
      <c r="C203" s="17" t="s">
        <v>113</v>
      </c>
      <c r="D203" s="17" t="s">
        <v>114</v>
      </c>
      <c r="E203" s="17" t="s">
        <v>101</v>
      </c>
      <c r="F203" s="17" t="s">
        <v>163</v>
      </c>
      <c r="G203" s="17">
        <v>224.596215455672</v>
      </c>
      <c r="H203" s="17">
        <v>213.76882449499999</v>
      </c>
      <c r="I203" s="17" t="s">
        <v>115</v>
      </c>
    </row>
    <row r="204" spans="1:9" x14ac:dyDescent="0.3">
      <c r="A204" s="17" t="s">
        <v>58</v>
      </c>
      <c r="B204" s="17" t="s">
        <v>63</v>
      </c>
      <c r="C204" s="17" t="s">
        <v>113</v>
      </c>
      <c r="D204" s="17" t="s">
        <v>114</v>
      </c>
      <c r="E204" s="17" t="s">
        <v>101</v>
      </c>
      <c r="F204" s="17" t="s">
        <v>164</v>
      </c>
      <c r="G204" s="17">
        <v>6.1164813021795002E-2</v>
      </c>
      <c r="H204" s="17">
        <v>5.8216164299999998E-2</v>
      </c>
      <c r="I204" s="17" t="s">
        <v>115</v>
      </c>
    </row>
    <row r="205" spans="1:9" x14ac:dyDescent="0.3">
      <c r="A205" s="17" t="s">
        <v>58</v>
      </c>
      <c r="B205" s="17" t="s">
        <v>63</v>
      </c>
      <c r="C205" s="17" t="s">
        <v>113</v>
      </c>
      <c r="D205" s="17" t="s">
        <v>114</v>
      </c>
      <c r="E205" s="17" t="s">
        <v>102</v>
      </c>
      <c r="F205" s="17" t="s">
        <v>165</v>
      </c>
      <c r="G205" s="17">
        <v>19.4735845701965</v>
      </c>
      <c r="H205" s="17">
        <v>18.534797097222199</v>
      </c>
      <c r="I205" s="17" t="s">
        <v>115</v>
      </c>
    </row>
    <row r="206" spans="1:9" x14ac:dyDescent="0.3">
      <c r="A206" s="17" t="s">
        <v>58</v>
      </c>
      <c r="B206" s="17" t="s">
        <v>63</v>
      </c>
      <c r="C206" s="17" t="s">
        <v>113</v>
      </c>
      <c r="D206" s="17" t="s">
        <v>114</v>
      </c>
      <c r="E206" s="17" t="s">
        <v>102</v>
      </c>
      <c r="F206" s="17" t="s">
        <v>166</v>
      </c>
      <c r="G206" s="17">
        <v>419.55101729021197</v>
      </c>
      <c r="H206" s="17">
        <v>399.32519610737302</v>
      </c>
      <c r="I206" s="17" t="s">
        <v>115</v>
      </c>
    </row>
    <row r="207" spans="1:9" x14ac:dyDescent="0.3">
      <c r="A207" s="17" t="s">
        <v>58</v>
      </c>
      <c r="B207" s="17" t="s">
        <v>63</v>
      </c>
      <c r="C207" s="17" t="s">
        <v>113</v>
      </c>
      <c r="D207" s="17" t="s">
        <v>114</v>
      </c>
      <c r="E207" s="17" t="s">
        <v>103</v>
      </c>
      <c r="F207" s="17" t="s">
        <v>103</v>
      </c>
      <c r="G207" s="17">
        <v>3.6263017155345798</v>
      </c>
      <c r="H207" s="17">
        <v>3.4514840484791098</v>
      </c>
      <c r="I207" s="17" t="s">
        <v>115</v>
      </c>
    </row>
    <row r="208" spans="1:9" x14ac:dyDescent="0.3">
      <c r="A208" s="17" t="s">
        <v>58</v>
      </c>
      <c r="B208" s="17" t="s">
        <v>63</v>
      </c>
      <c r="C208" s="17" t="s">
        <v>167</v>
      </c>
      <c r="D208" s="17" t="s">
        <v>168</v>
      </c>
      <c r="E208" s="17" t="s">
        <v>100</v>
      </c>
      <c r="F208" s="17" t="s">
        <v>100</v>
      </c>
      <c r="G208" s="17">
        <v>0</v>
      </c>
      <c r="H208" s="17">
        <v>0</v>
      </c>
      <c r="I208" s="17" t="s">
        <v>115</v>
      </c>
    </row>
    <row r="209" spans="1:9" x14ac:dyDescent="0.3">
      <c r="A209" s="17" t="s">
        <v>58</v>
      </c>
      <c r="B209" s="17" t="s">
        <v>63</v>
      </c>
      <c r="C209" s="17" t="s">
        <v>167</v>
      </c>
      <c r="D209" s="17" t="s">
        <v>114</v>
      </c>
      <c r="E209" s="17" t="s">
        <v>100</v>
      </c>
      <c r="F209" s="17" t="s">
        <v>100</v>
      </c>
      <c r="G209" s="17">
        <v>247.01201760000001</v>
      </c>
      <c r="H209" s="17">
        <v>235.10400000000001</v>
      </c>
      <c r="I209" s="17" t="s">
        <v>115</v>
      </c>
    </row>
    <row r="210" spans="1:9" x14ac:dyDescent="0.3">
      <c r="A210" s="17" t="s">
        <v>58</v>
      </c>
      <c r="B210" s="17" t="s">
        <v>64</v>
      </c>
      <c r="C210" s="17" t="s">
        <v>113</v>
      </c>
      <c r="D210" s="17" t="s">
        <v>114</v>
      </c>
      <c r="E210" s="17" t="s">
        <v>71</v>
      </c>
      <c r="F210" s="17" t="s">
        <v>71</v>
      </c>
      <c r="G210" s="17">
        <v>45.869903999999998</v>
      </c>
      <c r="H210" s="17">
        <v>42.48</v>
      </c>
      <c r="I210" s="17" t="s">
        <v>115</v>
      </c>
    </row>
    <row r="211" spans="1:9" x14ac:dyDescent="0.3">
      <c r="A211" s="17" t="s">
        <v>58</v>
      </c>
      <c r="B211" s="17" t="s">
        <v>64</v>
      </c>
      <c r="C211" s="17" t="s">
        <v>113</v>
      </c>
      <c r="D211" s="17" t="s">
        <v>114</v>
      </c>
      <c r="E211" s="17" t="s">
        <v>72</v>
      </c>
      <c r="F211" s="17" t="s">
        <v>116</v>
      </c>
      <c r="G211" s="17">
        <v>173.47375728</v>
      </c>
      <c r="H211" s="17">
        <v>160.65360000000001</v>
      </c>
      <c r="I211" s="17" t="s">
        <v>115</v>
      </c>
    </row>
    <row r="212" spans="1:9" x14ac:dyDescent="0.3">
      <c r="A212" s="17" t="s">
        <v>58</v>
      </c>
      <c r="B212" s="17" t="s">
        <v>64</v>
      </c>
      <c r="C212" s="17" t="s">
        <v>113</v>
      </c>
      <c r="D212" s="17" t="s">
        <v>114</v>
      </c>
      <c r="E212" s="17" t="s">
        <v>73</v>
      </c>
      <c r="F212" s="17" t="s">
        <v>117</v>
      </c>
      <c r="G212" s="17">
        <v>0</v>
      </c>
      <c r="H212" s="17">
        <v>0</v>
      </c>
      <c r="I212" s="17" t="s">
        <v>115</v>
      </c>
    </row>
    <row r="213" spans="1:9" x14ac:dyDescent="0.3">
      <c r="A213" s="17" t="s">
        <v>58</v>
      </c>
      <c r="B213" s="17" t="s">
        <v>64</v>
      </c>
      <c r="C213" s="17" t="s">
        <v>113</v>
      </c>
      <c r="D213" s="17" t="s">
        <v>114</v>
      </c>
      <c r="E213" s="17" t="s">
        <v>73</v>
      </c>
      <c r="F213" s="17" t="s">
        <v>118</v>
      </c>
      <c r="G213" s="17">
        <v>358.88402321473302</v>
      </c>
      <c r="H213" s="17">
        <v>332.36156993399999</v>
      </c>
      <c r="I213" s="17" t="s">
        <v>115</v>
      </c>
    </row>
    <row r="214" spans="1:9" x14ac:dyDescent="0.3">
      <c r="A214" s="17" t="s">
        <v>58</v>
      </c>
      <c r="B214" s="17" t="s">
        <v>64</v>
      </c>
      <c r="C214" s="17" t="s">
        <v>113</v>
      </c>
      <c r="D214" s="17" t="s">
        <v>114</v>
      </c>
      <c r="E214" s="17" t="s">
        <v>73</v>
      </c>
      <c r="F214" s="17" t="s">
        <v>119</v>
      </c>
      <c r="G214" s="17">
        <v>1741.50144</v>
      </c>
      <c r="H214" s="17">
        <v>1612.8</v>
      </c>
      <c r="I214" s="17" t="s">
        <v>115</v>
      </c>
    </row>
    <row r="215" spans="1:9" x14ac:dyDescent="0.3">
      <c r="A215" s="17" t="s">
        <v>58</v>
      </c>
      <c r="B215" s="17" t="s">
        <v>64</v>
      </c>
      <c r="C215" s="17" t="s">
        <v>113</v>
      </c>
      <c r="D215" s="17" t="s">
        <v>114</v>
      </c>
      <c r="E215" s="17" t="s">
        <v>73</v>
      </c>
      <c r="F215" s="17" t="s">
        <v>120</v>
      </c>
      <c r="G215" s="17">
        <v>20.444667978197199</v>
      </c>
      <c r="H215" s="17">
        <v>18.933754378771201</v>
      </c>
      <c r="I215" s="17" t="s">
        <v>115</v>
      </c>
    </row>
    <row r="216" spans="1:9" x14ac:dyDescent="0.3">
      <c r="A216" s="17" t="s">
        <v>58</v>
      </c>
      <c r="B216" s="17" t="s">
        <v>64</v>
      </c>
      <c r="C216" s="17" t="s">
        <v>113</v>
      </c>
      <c r="D216" s="17" t="s">
        <v>114</v>
      </c>
      <c r="E216" s="17" t="s">
        <v>74</v>
      </c>
      <c r="F216" s="17" t="s">
        <v>121</v>
      </c>
      <c r="G216" s="17">
        <v>9.0214632612199992</v>
      </c>
      <c r="H216" s="17">
        <v>8.3547539000000004</v>
      </c>
      <c r="I216" s="17" t="s">
        <v>115</v>
      </c>
    </row>
    <row r="217" spans="1:9" x14ac:dyDescent="0.3">
      <c r="A217" s="17" t="s">
        <v>58</v>
      </c>
      <c r="B217" s="17" t="s">
        <v>64</v>
      </c>
      <c r="C217" s="17" t="s">
        <v>113</v>
      </c>
      <c r="D217" s="17" t="s">
        <v>114</v>
      </c>
      <c r="E217" s="17" t="s">
        <v>76</v>
      </c>
      <c r="F217" s="17" t="s">
        <v>122</v>
      </c>
      <c r="G217" s="17">
        <v>139.164624</v>
      </c>
      <c r="H217" s="17">
        <v>128.88</v>
      </c>
      <c r="I217" s="17" t="s">
        <v>115</v>
      </c>
    </row>
    <row r="218" spans="1:9" x14ac:dyDescent="0.3">
      <c r="A218" s="17" t="s">
        <v>58</v>
      </c>
      <c r="B218" s="17" t="s">
        <v>64</v>
      </c>
      <c r="C218" s="17" t="s">
        <v>113</v>
      </c>
      <c r="D218" s="17" t="s">
        <v>114</v>
      </c>
      <c r="E218" s="17" t="s">
        <v>80</v>
      </c>
      <c r="F218" s="17" t="s">
        <v>80</v>
      </c>
      <c r="G218" s="17">
        <v>0.642915591355536</v>
      </c>
      <c r="H218" s="17">
        <v>0.59540247393548396</v>
      </c>
      <c r="I218" s="17" t="s">
        <v>115</v>
      </c>
    </row>
    <row r="219" spans="1:9" x14ac:dyDescent="0.3">
      <c r="A219" s="17" t="s">
        <v>58</v>
      </c>
      <c r="B219" s="17" t="s">
        <v>64</v>
      </c>
      <c r="C219" s="17" t="s">
        <v>113</v>
      </c>
      <c r="D219" s="17" t="s">
        <v>114</v>
      </c>
      <c r="E219" s="17" t="s">
        <v>77</v>
      </c>
      <c r="F219" s="17" t="s">
        <v>77</v>
      </c>
      <c r="G219" s="17">
        <v>4.3363959769699996</v>
      </c>
      <c r="H219" s="17">
        <v>4.0159251500000002</v>
      </c>
      <c r="I219" s="17" t="s">
        <v>115</v>
      </c>
    </row>
    <row r="220" spans="1:9" x14ac:dyDescent="0.3">
      <c r="A220" s="17" t="s">
        <v>58</v>
      </c>
      <c r="B220" s="17" t="s">
        <v>64</v>
      </c>
      <c r="C220" s="17" t="s">
        <v>113</v>
      </c>
      <c r="D220" s="17" t="s">
        <v>114</v>
      </c>
      <c r="E220" s="17" t="s">
        <v>78</v>
      </c>
      <c r="F220" s="17" t="s">
        <v>123</v>
      </c>
      <c r="G220" s="17">
        <v>13.4905799913978</v>
      </c>
      <c r="H220" s="17">
        <v>12.493591397849499</v>
      </c>
      <c r="I220" s="17" t="s">
        <v>115</v>
      </c>
    </row>
    <row r="221" spans="1:9" x14ac:dyDescent="0.3">
      <c r="A221" s="17" t="s">
        <v>58</v>
      </c>
      <c r="B221" s="17" t="s">
        <v>64</v>
      </c>
      <c r="C221" s="17" t="s">
        <v>113</v>
      </c>
      <c r="D221" s="17" t="s">
        <v>114</v>
      </c>
      <c r="E221" s="17" t="s">
        <v>78</v>
      </c>
      <c r="F221" s="17" t="s">
        <v>124</v>
      </c>
      <c r="G221" s="17">
        <v>194.09405000000001</v>
      </c>
      <c r="H221" s="17">
        <v>179.75</v>
      </c>
      <c r="I221" s="17" t="s">
        <v>115</v>
      </c>
    </row>
    <row r="222" spans="1:9" x14ac:dyDescent="0.3">
      <c r="A222" s="17" t="s">
        <v>58</v>
      </c>
      <c r="B222" s="17" t="s">
        <v>64</v>
      </c>
      <c r="C222" s="17" t="s">
        <v>113</v>
      </c>
      <c r="D222" s="17" t="s">
        <v>114</v>
      </c>
      <c r="E222" s="17" t="s">
        <v>78</v>
      </c>
      <c r="F222" s="17" t="s">
        <v>125</v>
      </c>
      <c r="G222" s="17">
        <v>186.01973752000001</v>
      </c>
      <c r="H222" s="17">
        <v>172.2724</v>
      </c>
      <c r="I222" s="17" t="s">
        <v>115</v>
      </c>
    </row>
    <row r="223" spans="1:9" x14ac:dyDescent="0.3">
      <c r="A223" s="17" t="s">
        <v>58</v>
      </c>
      <c r="B223" s="17" t="s">
        <v>64</v>
      </c>
      <c r="C223" s="17" t="s">
        <v>113</v>
      </c>
      <c r="D223" s="17" t="s">
        <v>114</v>
      </c>
      <c r="E223" s="17" t="s">
        <v>79</v>
      </c>
      <c r="F223" s="17" t="s">
        <v>126</v>
      </c>
      <c r="G223" s="17">
        <v>3136.9561480992302</v>
      </c>
      <c r="H223" s="17">
        <v>2905.1270125015999</v>
      </c>
      <c r="I223" s="17" t="s">
        <v>115</v>
      </c>
    </row>
    <row r="224" spans="1:9" x14ac:dyDescent="0.3">
      <c r="A224" s="17" t="s">
        <v>58</v>
      </c>
      <c r="B224" s="17" t="s">
        <v>64</v>
      </c>
      <c r="C224" s="17" t="s">
        <v>113</v>
      </c>
      <c r="D224" s="17" t="s">
        <v>114</v>
      </c>
      <c r="E224" s="17" t="s">
        <v>79</v>
      </c>
      <c r="F224" s="17" t="s">
        <v>79</v>
      </c>
      <c r="G224" s="17">
        <v>1687.5113615002599</v>
      </c>
      <c r="H224" s="17">
        <v>1562.7999273016001</v>
      </c>
      <c r="I224" s="17" t="s">
        <v>115</v>
      </c>
    </row>
    <row r="225" spans="1:9" x14ac:dyDescent="0.3">
      <c r="A225" s="17" t="s">
        <v>58</v>
      </c>
      <c r="B225" s="17" t="s">
        <v>64</v>
      </c>
      <c r="C225" s="17" t="s">
        <v>113</v>
      </c>
      <c r="D225" s="17" t="s">
        <v>114</v>
      </c>
      <c r="E225" s="17" t="s">
        <v>81</v>
      </c>
      <c r="F225" s="17" t="s">
        <v>81</v>
      </c>
      <c r="G225" s="17">
        <v>222.69751891568399</v>
      </c>
      <c r="H225" s="17">
        <v>206.23959892172999</v>
      </c>
      <c r="I225" s="17" t="s">
        <v>115</v>
      </c>
    </row>
    <row r="226" spans="1:9" x14ac:dyDescent="0.3">
      <c r="A226" s="17" t="s">
        <v>58</v>
      </c>
      <c r="B226" s="17" t="s">
        <v>64</v>
      </c>
      <c r="C226" s="17" t="s">
        <v>113</v>
      </c>
      <c r="D226" s="17" t="s">
        <v>114</v>
      </c>
      <c r="E226" s="17" t="s">
        <v>82</v>
      </c>
      <c r="F226" s="17" t="s">
        <v>82</v>
      </c>
      <c r="G226" s="17">
        <v>80.992077751112106</v>
      </c>
      <c r="H226" s="17">
        <v>75.006554687082897</v>
      </c>
      <c r="I226" s="17" t="s">
        <v>115</v>
      </c>
    </row>
    <row r="227" spans="1:9" x14ac:dyDescent="0.3">
      <c r="A227" s="17" t="s">
        <v>58</v>
      </c>
      <c r="B227" s="17" t="s">
        <v>64</v>
      </c>
      <c r="C227" s="17" t="s">
        <v>113</v>
      </c>
      <c r="D227" s="17" t="s">
        <v>114</v>
      </c>
      <c r="E227" s="17" t="s">
        <v>83</v>
      </c>
      <c r="F227" s="17" t="s">
        <v>127</v>
      </c>
      <c r="G227" s="17">
        <v>2.3463652435626101</v>
      </c>
      <c r="H227" s="17">
        <v>2.1729628112267201</v>
      </c>
      <c r="I227" s="17" t="s">
        <v>115</v>
      </c>
    </row>
    <row r="228" spans="1:9" x14ac:dyDescent="0.3">
      <c r="A228" s="17" t="s">
        <v>58</v>
      </c>
      <c r="B228" s="17" t="s">
        <v>64</v>
      </c>
      <c r="C228" s="17" t="s">
        <v>113</v>
      </c>
      <c r="D228" s="17" t="s">
        <v>114</v>
      </c>
      <c r="E228" s="17" t="s">
        <v>83</v>
      </c>
      <c r="F228" s="17" t="s">
        <v>128</v>
      </c>
      <c r="G228" s="17">
        <v>47.880286686369097</v>
      </c>
      <c r="H228" s="17">
        <v>44.341810230013998</v>
      </c>
      <c r="I228" s="17" t="s">
        <v>115</v>
      </c>
    </row>
    <row r="229" spans="1:9" x14ac:dyDescent="0.3">
      <c r="A229" s="17" t="s">
        <v>58</v>
      </c>
      <c r="B229" s="17" t="s">
        <v>64</v>
      </c>
      <c r="C229" s="17" t="s">
        <v>113</v>
      </c>
      <c r="D229" s="17" t="s">
        <v>114</v>
      </c>
      <c r="E229" s="17" t="s">
        <v>84</v>
      </c>
      <c r="F229" s="17" t="s">
        <v>172</v>
      </c>
      <c r="G229" s="17">
        <v>0.21658272022808001</v>
      </c>
      <c r="H229" s="17">
        <v>0.20057669959999999</v>
      </c>
      <c r="I229" s="17" t="s">
        <v>115</v>
      </c>
    </row>
    <row r="230" spans="1:9" x14ac:dyDescent="0.3">
      <c r="A230" s="17" t="s">
        <v>58</v>
      </c>
      <c r="B230" s="17" t="s">
        <v>64</v>
      </c>
      <c r="C230" s="17" t="s">
        <v>113</v>
      </c>
      <c r="D230" s="17" t="s">
        <v>114</v>
      </c>
      <c r="E230" s="17" t="s">
        <v>84</v>
      </c>
      <c r="F230" s="17" t="s">
        <v>129</v>
      </c>
      <c r="G230" s="17">
        <v>3837.6825138488798</v>
      </c>
      <c r="H230" s="17">
        <v>3554.0678957667001</v>
      </c>
      <c r="I230" s="17" t="s">
        <v>115</v>
      </c>
    </row>
    <row r="231" spans="1:9" x14ac:dyDescent="0.3">
      <c r="A231" s="17" t="s">
        <v>58</v>
      </c>
      <c r="B231" s="17" t="s">
        <v>64</v>
      </c>
      <c r="C231" s="17" t="s">
        <v>113</v>
      </c>
      <c r="D231" s="17" t="s">
        <v>114</v>
      </c>
      <c r="E231" s="17" t="s">
        <v>85</v>
      </c>
      <c r="F231" s="17" t="s">
        <v>85</v>
      </c>
      <c r="G231" s="17">
        <v>107.64588911760301</v>
      </c>
      <c r="H231" s="17">
        <v>99.690580771997602</v>
      </c>
      <c r="I231" s="17" t="s">
        <v>115</v>
      </c>
    </row>
    <row r="232" spans="1:9" x14ac:dyDescent="0.3">
      <c r="A232" s="17" t="s">
        <v>58</v>
      </c>
      <c r="B232" s="17" t="s">
        <v>64</v>
      </c>
      <c r="C232" s="17" t="s">
        <v>113</v>
      </c>
      <c r="D232" s="17" t="s">
        <v>114</v>
      </c>
      <c r="E232" s="17" t="s">
        <v>86</v>
      </c>
      <c r="F232" s="17" t="s">
        <v>86</v>
      </c>
      <c r="G232" s="17">
        <v>3.77478418663635E-4</v>
      </c>
      <c r="H232" s="17">
        <v>3.4958179168701202E-4</v>
      </c>
      <c r="I232" s="17" t="s">
        <v>115</v>
      </c>
    </row>
    <row r="233" spans="1:9" x14ac:dyDescent="0.3">
      <c r="A233" s="17" t="s">
        <v>58</v>
      </c>
      <c r="B233" s="17" t="s">
        <v>64</v>
      </c>
      <c r="C233" s="17" t="s">
        <v>113</v>
      </c>
      <c r="D233" s="17" t="s">
        <v>114</v>
      </c>
      <c r="E233" s="17" t="s">
        <v>87</v>
      </c>
      <c r="F233" s="17" t="s">
        <v>87</v>
      </c>
      <c r="G233" s="17">
        <v>2.882892805479</v>
      </c>
      <c r="H233" s="17">
        <v>2.6698396049999999</v>
      </c>
      <c r="I233" s="17" t="s">
        <v>115</v>
      </c>
    </row>
    <row r="234" spans="1:9" x14ac:dyDescent="0.3">
      <c r="A234" s="17" t="s">
        <v>58</v>
      </c>
      <c r="B234" s="17" t="s">
        <v>64</v>
      </c>
      <c r="C234" s="17" t="s">
        <v>113</v>
      </c>
      <c r="D234" s="17" t="s">
        <v>114</v>
      </c>
      <c r="E234" s="17" t="s">
        <v>88</v>
      </c>
      <c r="F234" s="17" t="s">
        <v>88</v>
      </c>
      <c r="G234" s="17">
        <v>12.3812802037959</v>
      </c>
      <c r="H234" s="17">
        <v>11.4662717205</v>
      </c>
      <c r="I234" s="17" t="s">
        <v>115</v>
      </c>
    </row>
    <row r="235" spans="1:9" x14ac:dyDescent="0.3">
      <c r="A235" s="17" t="s">
        <v>58</v>
      </c>
      <c r="B235" s="17" t="s">
        <v>64</v>
      </c>
      <c r="C235" s="17" t="s">
        <v>113</v>
      </c>
      <c r="D235" s="17" t="s">
        <v>114</v>
      </c>
      <c r="E235" s="17" t="s">
        <v>89</v>
      </c>
      <c r="F235" s="17" t="s">
        <v>89</v>
      </c>
      <c r="G235" s="17">
        <v>0.62507873803799996</v>
      </c>
      <c r="H235" s="17">
        <v>0.57888381</v>
      </c>
      <c r="I235" s="17" t="s">
        <v>115</v>
      </c>
    </row>
    <row r="236" spans="1:9" x14ac:dyDescent="0.3">
      <c r="A236" s="17" t="s">
        <v>58</v>
      </c>
      <c r="B236" s="17" t="s">
        <v>64</v>
      </c>
      <c r="C236" s="17" t="s">
        <v>113</v>
      </c>
      <c r="D236" s="17" t="s">
        <v>114</v>
      </c>
      <c r="E236" s="17" t="s">
        <v>90</v>
      </c>
      <c r="F236" s="17" t="s">
        <v>90</v>
      </c>
      <c r="G236" s="17">
        <v>221.599256731016</v>
      </c>
      <c r="H236" s="17">
        <v>205.222501140041</v>
      </c>
      <c r="I236" s="17" t="s">
        <v>115</v>
      </c>
    </row>
    <row r="237" spans="1:9" x14ac:dyDescent="0.3">
      <c r="A237" s="17" t="s">
        <v>58</v>
      </c>
      <c r="B237" s="17" t="s">
        <v>64</v>
      </c>
      <c r="C237" s="17" t="s">
        <v>113</v>
      </c>
      <c r="D237" s="17" t="s">
        <v>114</v>
      </c>
      <c r="E237" s="17" t="s">
        <v>91</v>
      </c>
      <c r="F237" s="17" t="s">
        <v>91</v>
      </c>
      <c r="G237" s="17">
        <v>15.0806752844409</v>
      </c>
      <c r="H237" s="17">
        <v>13.966174554955501</v>
      </c>
      <c r="I237" s="17" t="s">
        <v>115</v>
      </c>
    </row>
    <row r="238" spans="1:9" x14ac:dyDescent="0.3">
      <c r="A238" s="17" t="s">
        <v>58</v>
      </c>
      <c r="B238" s="17" t="s">
        <v>64</v>
      </c>
      <c r="C238" s="17" t="s">
        <v>113</v>
      </c>
      <c r="D238" s="17" t="s">
        <v>114</v>
      </c>
      <c r="E238" s="17" t="s">
        <v>93</v>
      </c>
      <c r="F238" s="17" t="s">
        <v>130</v>
      </c>
      <c r="G238" s="17">
        <v>650.53128261079996</v>
      </c>
      <c r="H238" s="17">
        <v>602.45534599999996</v>
      </c>
      <c r="I238" s="17" t="s">
        <v>115</v>
      </c>
    </row>
    <row r="239" spans="1:9" x14ac:dyDescent="0.3">
      <c r="A239" s="17" t="s">
        <v>58</v>
      </c>
      <c r="B239" s="17" t="s">
        <v>64</v>
      </c>
      <c r="C239" s="17" t="s">
        <v>113</v>
      </c>
      <c r="D239" s="17" t="s">
        <v>114</v>
      </c>
      <c r="E239" s="17" t="s">
        <v>93</v>
      </c>
      <c r="F239" s="17" t="s">
        <v>131</v>
      </c>
      <c r="G239" s="17">
        <v>183.9352916</v>
      </c>
      <c r="H239" s="17">
        <v>170.34200000000001</v>
      </c>
      <c r="I239" s="17" t="s">
        <v>115</v>
      </c>
    </row>
    <row r="240" spans="1:9" x14ac:dyDescent="0.3">
      <c r="A240" s="17" t="s">
        <v>58</v>
      </c>
      <c r="B240" s="17" t="s">
        <v>64</v>
      </c>
      <c r="C240" s="17" t="s">
        <v>113</v>
      </c>
      <c r="D240" s="17" t="s">
        <v>114</v>
      </c>
      <c r="E240" s="17" t="s">
        <v>93</v>
      </c>
      <c r="F240" s="17" t="s">
        <v>132</v>
      </c>
      <c r="G240" s="17">
        <v>1.714679208</v>
      </c>
      <c r="H240" s="17">
        <v>1.58796</v>
      </c>
      <c r="I240" s="17" t="s">
        <v>115</v>
      </c>
    </row>
    <row r="241" spans="1:9" x14ac:dyDescent="0.3">
      <c r="A241" s="17" t="s">
        <v>58</v>
      </c>
      <c r="B241" s="17" t="s">
        <v>64</v>
      </c>
      <c r="C241" s="17" t="s">
        <v>113</v>
      </c>
      <c r="D241" s="17" t="s">
        <v>114</v>
      </c>
      <c r="E241" s="17" t="s">
        <v>93</v>
      </c>
      <c r="F241" s="17" t="s">
        <v>133</v>
      </c>
      <c r="G241" s="17">
        <v>18.4702402419355</v>
      </c>
      <c r="H241" s="17">
        <v>17.1052419354839</v>
      </c>
      <c r="I241" s="17" t="s">
        <v>115</v>
      </c>
    </row>
    <row r="242" spans="1:9" x14ac:dyDescent="0.3">
      <c r="A242" s="17" t="s">
        <v>58</v>
      </c>
      <c r="B242" s="17" t="s">
        <v>64</v>
      </c>
      <c r="C242" s="17" t="s">
        <v>113</v>
      </c>
      <c r="D242" s="17" t="s">
        <v>114</v>
      </c>
      <c r="E242" s="17" t="s">
        <v>93</v>
      </c>
      <c r="F242" s="17" t="s">
        <v>134</v>
      </c>
      <c r="G242" s="17">
        <v>3.1634684640000001</v>
      </c>
      <c r="H242" s="17">
        <v>2.9296799999999998</v>
      </c>
      <c r="I242" s="17" t="s">
        <v>115</v>
      </c>
    </row>
    <row r="243" spans="1:9" x14ac:dyDescent="0.3">
      <c r="A243" s="17" t="s">
        <v>58</v>
      </c>
      <c r="B243" s="17" t="s">
        <v>64</v>
      </c>
      <c r="C243" s="17" t="s">
        <v>113</v>
      </c>
      <c r="D243" s="17" t="s">
        <v>114</v>
      </c>
      <c r="E243" s="17" t="s">
        <v>93</v>
      </c>
      <c r="F243" s="17" t="s">
        <v>135</v>
      </c>
      <c r="G243" s="17">
        <v>16.5179792580645</v>
      </c>
      <c r="H243" s="17">
        <v>15.2972580645161</v>
      </c>
      <c r="I243" s="17" t="s">
        <v>115</v>
      </c>
    </row>
    <row r="244" spans="1:9" x14ac:dyDescent="0.3">
      <c r="A244" s="17" t="s">
        <v>58</v>
      </c>
      <c r="B244" s="17" t="s">
        <v>64</v>
      </c>
      <c r="C244" s="17" t="s">
        <v>113</v>
      </c>
      <c r="D244" s="17" t="s">
        <v>114</v>
      </c>
      <c r="E244" s="17" t="s">
        <v>93</v>
      </c>
      <c r="F244" s="17" t="s">
        <v>136</v>
      </c>
      <c r="G244" s="17">
        <v>248.983984132313</v>
      </c>
      <c r="H244" s="17">
        <v>230.58342668300901</v>
      </c>
      <c r="I244" s="17" t="s">
        <v>115</v>
      </c>
    </row>
    <row r="245" spans="1:9" x14ac:dyDescent="0.3">
      <c r="A245" s="17" t="s">
        <v>58</v>
      </c>
      <c r="B245" s="17" t="s">
        <v>64</v>
      </c>
      <c r="C245" s="17" t="s">
        <v>113</v>
      </c>
      <c r="D245" s="17" t="s">
        <v>114</v>
      </c>
      <c r="E245" s="17" t="s">
        <v>93</v>
      </c>
      <c r="F245" s="17" t="s">
        <v>137</v>
      </c>
      <c r="G245" s="17">
        <v>126.40662503</v>
      </c>
      <c r="H245" s="17">
        <v>117.06485000000001</v>
      </c>
      <c r="I245" s="17" t="s">
        <v>115</v>
      </c>
    </row>
    <row r="246" spans="1:9" x14ac:dyDescent="0.3">
      <c r="A246" s="17" t="s">
        <v>58</v>
      </c>
      <c r="B246" s="17" t="s">
        <v>64</v>
      </c>
      <c r="C246" s="17" t="s">
        <v>113</v>
      </c>
      <c r="D246" s="17" t="s">
        <v>114</v>
      </c>
      <c r="E246" s="17" t="s">
        <v>94</v>
      </c>
      <c r="F246" s="17" t="s">
        <v>94</v>
      </c>
      <c r="G246" s="17">
        <v>29.476224399496498</v>
      </c>
      <c r="H246" s="17">
        <v>27.297855528335401</v>
      </c>
      <c r="I246" s="17" t="s">
        <v>115</v>
      </c>
    </row>
    <row r="247" spans="1:9" x14ac:dyDescent="0.3">
      <c r="A247" s="17" t="s">
        <v>58</v>
      </c>
      <c r="B247" s="17" t="s">
        <v>64</v>
      </c>
      <c r="C247" s="17" t="s">
        <v>113</v>
      </c>
      <c r="D247" s="17" t="s">
        <v>114</v>
      </c>
      <c r="E247" s="17" t="s">
        <v>95</v>
      </c>
      <c r="F247" s="17" t="s">
        <v>138</v>
      </c>
      <c r="G247" s="17">
        <v>441.12853439999998</v>
      </c>
      <c r="H247" s="17">
        <v>408.52800000000002</v>
      </c>
      <c r="I247" s="17" t="s">
        <v>115</v>
      </c>
    </row>
    <row r="248" spans="1:9" x14ac:dyDescent="0.3">
      <c r="A248" s="17" t="s">
        <v>58</v>
      </c>
      <c r="B248" s="17" t="s">
        <v>64</v>
      </c>
      <c r="C248" s="17" t="s">
        <v>113</v>
      </c>
      <c r="D248" s="17" t="s">
        <v>114</v>
      </c>
      <c r="E248" s="17" t="s">
        <v>98</v>
      </c>
      <c r="F248" s="17" t="s">
        <v>139</v>
      </c>
      <c r="G248" s="17">
        <v>122.926231666666</v>
      </c>
      <c r="H248" s="17">
        <v>113.841666666666</v>
      </c>
      <c r="I248" s="17" t="s">
        <v>115</v>
      </c>
    </row>
    <row r="249" spans="1:9" x14ac:dyDescent="0.3">
      <c r="A249" s="17" t="s">
        <v>58</v>
      </c>
      <c r="B249" s="17" t="s">
        <v>64</v>
      </c>
      <c r="C249" s="17" t="s">
        <v>113</v>
      </c>
      <c r="D249" s="17" t="s">
        <v>114</v>
      </c>
      <c r="E249" s="17" t="s">
        <v>98</v>
      </c>
      <c r="F249" s="17" t="s">
        <v>140</v>
      </c>
      <c r="G249" s="17">
        <v>3875.1898393333399</v>
      </c>
      <c r="H249" s="17">
        <v>3588.8033333333401</v>
      </c>
      <c r="I249" s="17" t="s">
        <v>115</v>
      </c>
    </row>
    <row r="250" spans="1:9" x14ac:dyDescent="0.3">
      <c r="A250" s="17" t="s">
        <v>58</v>
      </c>
      <c r="B250" s="17" t="s">
        <v>64</v>
      </c>
      <c r="C250" s="17" t="s">
        <v>113</v>
      </c>
      <c r="D250" s="17" t="s">
        <v>114</v>
      </c>
      <c r="E250" s="17" t="s">
        <v>98</v>
      </c>
      <c r="F250" s="17" t="s">
        <v>141</v>
      </c>
      <c r="G250" s="17">
        <v>61.567467473118299</v>
      </c>
      <c r="H250" s="17">
        <v>57.017473118279597</v>
      </c>
      <c r="I250" s="17" t="s">
        <v>115</v>
      </c>
    </row>
    <row r="251" spans="1:9" x14ac:dyDescent="0.3">
      <c r="A251" s="17" t="s">
        <v>58</v>
      </c>
      <c r="B251" s="17" t="s">
        <v>64</v>
      </c>
      <c r="C251" s="17" t="s">
        <v>113</v>
      </c>
      <c r="D251" s="17" t="s">
        <v>114</v>
      </c>
      <c r="E251" s="17" t="s">
        <v>96</v>
      </c>
      <c r="F251" s="17" t="s">
        <v>96</v>
      </c>
      <c r="G251" s="17">
        <v>28.324190441710801</v>
      </c>
      <c r="H251" s="17">
        <v>26.230959846000001</v>
      </c>
      <c r="I251" s="17" t="s">
        <v>115</v>
      </c>
    </row>
    <row r="252" spans="1:9" x14ac:dyDescent="0.3">
      <c r="A252" s="17" t="s">
        <v>58</v>
      </c>
      <c r="B252" s="17" t="s">
        <v>64</v>
      </c>
      <c r="C252" s="17" t="s">
        <v>113</v>
      </c>
      <c r="D252" s="17" t="s">
        <v>114</v>
      </c>
      <c r="E252" s="17" t="s">
        <v>97</v>
      </c>
      <c r="F252" s="17" t="s">
        <v>97</v>
      </c>
      <c r="G252" s="17">
        <v>123.0972</v>
      </c>
      <c r="H252" s="17">
        <v>114</v>
      </c>
      <c r="I252" s="17" t="s">
        <v>115</v>
      </c>
    </row>
    <row r="253" spans="1:9" x14ac:dyDescent="0.3">
      <c r="A253" s="17" t="s">
        <v>58</v>
      </c>
      <c r="B253" s="17" t="s">
        <v>64</v>
      </c>
      <c r="C253" s="17" t="s">
        <v>113</v>
      </c>
      <c r="D253" s="17" t="s">
        <v>114</v>
      </c>
      <c r="E253" s="17" t="s">
        <v>99</v>
      </c>
      <c r="F253" s="17" t="s">
        <v>142</v>
      </c>
      <c r="G253" s="17">
        <v>94.687473275795398</v>
      </c>
      <c r="H253" s="17">
        <v>87.689825223</v>
      </c>
      <c r="I253" s="17" t="s">
        <v>115</v>
      </c>
    </row>
    <row r="254" spans="1:9" x14ac:dyDescent="0.3">
      <c r="A254" s="17" t="s">
        <v>58</v>
      </c>
      <c r="B254" s="17" t="s">
        <v>64</v>
      </c>
      <c r="C254" s="17" t="s">
        <v>113</v>
      </c>
      <c r="D254" s="17" t="s">
        <v>114</v>
      </c>
      <c r="E254" s="17" t="s">
        <v>99</v>
      </c>
      <c r="F254" s="17" t="s">
        <v>143</v>
      </c>
      <c r="G254" s="17">
        <v>2.1912488400621402</v>
      </c>
      <c r="H254" s="17">
        <v>2.0293099093000002</v>
      </c>
      <c r="I254" s="17" t="s">
        <v>115</v>
      </c>
    </row>
    <row r="255" spans="1:9" x14ac:dyDescent="0.3">
      <c r="A255" s="17" t="s">
        <v>58</v>
      </c>
      <c r="B255" s="17" t="s">
        <v>64</v>
      </c>
      <c r="C255" s="17" t="s">
        <v>113</v>
      </c>
      <c r="D255" s="17" t="s">
        <v>114</v>
      </c>
      <c r="E255" s="17" t="s">
        <v>99</v>
      </c>
      <c r="F255" s="17" t="s">
        <v>144</v>
      </c>
      <c r="G255" s="17">
        <v>83.868923187676103</v>
      </c>
      <c r="H255" s="17">
        <v>77.670793839300003</v>
      </c>
      <c r="I255" s="17" t="s">
        <v>115</v>
      </c>
    </row>
    <row r="256" spans="1:9" x14ac:dyDescent="0.3">
      <c r="A256" s="17" t="s">
        <v>58</v>
      </c>
      <c r="B256" s="17" t="s">
        <v>64</v>
      </c>
      <c r="C256" s="17" t="s">
        <v>113</v>
      </c>
      <c r="D256" s="17" t="s">
        <v>114</v>
      </c>
      <c r="E256" s="17" t="s">
        <v>99</v>
      </c>
      <c r="F256" s="17" t="s">
        <v>145</v>
      </c>
      <c r="G256" s="17">
        <v>9.4499776800000007E-5</v>
      </c>
      <c r="H256" s="17">
        <v>8.7515999999999994E-5</v>
      </c>
      <c r="I256" s="17" t="s">
        <v>115</v>
      </c>
    </row>
    <row r="257" spans="1:9" x14ac:dyDescent="0.3">
      <c r="A257" s="17" t="s">
        <v>58</v>
      </c>
      <c r="B257" s="17" t="s">
        <v>64</v>
      </c>
      <c r="C257" s="17" t="s">
        <v>113</v>
      </c>
      <c r="D257" s="17" t="s">
        <v>114</v>
      </c>
      <c r="E257" s="17" t="s">
        <v>99</v>
      </c>
      <c r="F257" s="17" t="s">
        <v>146</v>
      </c>
      <c r="G257" s="17">
        <v>5.5211473215359998E-2</v>
      </c>
      <c r="H257" s="17">
        <v>5.1131203200000003E-2</v>
      </c>
      <c r="I257" s="17" t="s">
        <v>115</v>
      </c>
    </row>
    <row r="258" spans="1:9" x14ac:dyDescent="0.3">
      <c r="A258" s="17" t="s">
        <v>58</v>
      </c>
      <c r="B258" s="17" t="s">
        <v>64</v>
      </c>
      <c r="C258" s="17" t="s">
        <v>113</v>
      </c>
      <c r="D258" s="17" t="s">
        <v>114</v>
      </c>
      <c r="E258" s="17" t="s">
        <v>99</v>
      </c>
      <c r="F258" s="17" t="s">
        <v>147</v>
      </c>
      <c r="G258" s="17">
        <v>6.5185371270005996</v>
      </c>
      <c r="H258" s="17">
        <v>6.0368004510100004</v>
      </c>
      <c r="I258" s="17" t="s">
        <v>115</v>
      </c>
    </row>
    <row r="259" spans="1:9" x14ac:dyDescent="0.3">
      <c r="A259" s="17" t="s">
        <v>58</v>
      </c>
      <c r="B259" s="17" t="s">
        <v>64</v>
      </c>
      <c r="C259" s="17" t="s">
        <v>113</v>
      </c>
      <c r="D259" s="17" t="s">
        <v>114</v>
      </c>
      <c r="E259" s="17" t="s">
        <v>99</v>
      </c>
      <c r="F259" s="17" t="s">
        <v>148</v>
      </c>
      <c r="G259" s="17">
        <v>877.55301913817596</v>
      </c>
      <c r="H259" s="17">
        <v>812.69959171899995</v>
      </c>
      <c r="I259" s="17" t="s">
        <v>115</v>
      </c>
    </row>
    <row r="260" spans="1:9" x14ac:dyDescent="0.3">
      <c r="A260" s="17" t="s">
        <v>58</v>
      </c>
      <c r="B260" s="17" t="s">
        <v>64</v>
      </c>
      <c r="C260" s="17" t="s">
        <v>113</v>
      </c>
      <c r="D260" s="17" t="s">
        <v>114</v>
      </c>
      <c r="E260" s="17" t="s">
        <v>99</v>
      </c>
      <c r="F260" s="17" t="s">
        <v>149</v>
      </c>
      <c r="G260" s="17">
        <v>7.8976571999999995E-6</v>
      </c>
      <c r="H260" s="17">
        <v>7.3139999999999998E-6</v>
      </c>
      <c r="I260" s="17" t="s">
        <v>115</v>
      </c>
    </row>
    <row r="261" spans="1:9" x14ac:dyDescent="0.3">
      <c r="A261" s="17" t="s">
        <v>58</v>
      </c>
      <c r="B261" s="17" t="s">
        <v>64</v>
      </c>
      <c r="C261" s="17" t="s">
        <v>113</v>
      </c>
      <c r="D261" s="17" t="s">
        <v>114</v>
      </c>
      <c r="E261" s="17" t="s">
        <v>99</v>
      </c>
      <c r="F261" s="17" t="s">
        <v>150</v>
      </c>
      <c r="G261" s="17">
        <v>6.1263370830000005E-4</v>
      </c>
      <c r="H261" s="17">
        <v>5.6735849999999997E-4</v>
      </c>
      <c r="I261" s="17" t="s">
        <v>115</v>
      </c>
    </row>
    <row r="262" spans="1:9" x14ac:dyDescent="0.3">
      <c r="A262" s="17" t="s">
        <v>58</v>
      </c>
      <c r="B262" s="17" t="s">
        <v>64</v>
      </c>
      <c r="C262" s="17" t="s">
        <v>113</v>
      </c>
      <c r="D262" s="17" t="s">
        <v>114</v>
      </c>
      <c r="E262" s="17" t="s">
        <v>99</v>
      </c>
      <c r="F262" s="17" t="s">
        <v>151</v>
      </c>
      <c r="G262" s="17">
        <v>4.3595981993383202</v>
      </c>
      <c r="H262" s="17">
        <v>4.0374126684</v>
      </c>
      <c r="I262" s="17" t="s">
        <v>115</v>
      </c>
    </row>
    <row r="263" spans="1:9" x14ac:dyDescent="0.3">
      <c r="A263" s="17" t="s">
        <v>58</v>
      </c>
      <c r="B263" s="17" t="s">
        <v>64</v>
      </c>
      <c r="C263" s="17" t="s">
        <v>113</v>
      </c>
      <c r="D263" s="17" t="s">
        <v>114</v>
      </c>
      <c r="E263" s="17" t="s">
        <v>99</v>
      </c>
      <c r="F263" s="17" t="s">
        <v>152</v>
      </c>
      <c r="G263" s="17">
        <v>22.531072806816201</v>
      </c>
      <c r="H263" s="17">
        <v>20.865968518999999</v>
      </c>
      <c r="I263" s="17" t="s">
        <v>115</v>
      </c>
    </row>
    <row r="264" spans="1:9" x14ac:dyDescent="0.3">
      <c r="A264" s="17" t="s">
        <v>58</v>
      </c>
      <c r="B264" s="17" t="s">
        <v>64</v>
      </c>
      <c r="C264" s="17" t="s">
        <v>113</v>
      </c>
      <c r="D264" s="17" t="s">
        <v>114</v>
      </c>
      <c r="E264" s="17" t="s">
        <v>99</v>
      </c>
      <c r="F264" s="17" t="s">
        <v>153</v>
      </c>
      <c r="G264" s="17">
        <v>1.0905000591165599</v>
      </c>
      <c r="H264" s="17">
        <v>1.0099092971999999</v>
      </c>
      <c r="I264" s="17" t="s">
        <v>115</v>
      </c>
    </row>
    <row r="265" spans="1:9" x14ac:dyDescent="0.3">
      <c r="A265" s="17" t="s">
        <v>58</v>
      </c>
      <c r="B265" s="17" t="s">
        <v>64</v>
      </c>
      <c r="C265" s="17" t="s">
        <v>113</v>
      </c>
      <c r="D265" s="17" t="s">
        <v>114</v>
      </c>
      <c r="E265" s="17" t="s">
        <v>99</v>
      </c>
      <c r="F265" s="17" t="s">
        <v>154</v>
      </c>
      <c r="G265" s="17">
        <v>8.6856194380400004E-3</v>
      </c>
      <c r="H265" s="17">
        <v>8.0437297999999997E-3</v>
      </c>
      <c r="I265" s="17" t="s">
        <v>115</v>
      </c>
    </row>
    <row r="266" spans="1:9" x14ac:dyDescent="0.3">
      <c r="A266" s="17" t="s">
        <v>58</v>
      </c>
      <c r="B266" s="17" t="s">
        <v>64</v>
      </c>
      <c r="C266" s="17" t="s">
        <v>113</v>
      </c>
      <c r="D266" s="17" t="s">
        <v>114</v>
      </c>
      <c r="E266" s="17" t="s">
        <v>101</v>
      </c>
      <c r="F266" s="17" t="s">
        <v>170</v>
      </c>
      <c r="G266" s="17">
        <v>30.42140324</v>
      </c>
      <c r="H266" s="17">
        <v>28.173183219114598</v>
      </c>
      <c r="I266" s="17" t="s">
        <v>115</v>
      </c>
    </row>
    <row r="267" spans="1:9" x14ac:dyDescent="0.3">
      <c r="A267" s="17" t="s">
        <v>58</v>
      </c>
      <c r="B267" s="17" t="s">
        <v>64</v>
      </c>
      <c r="C267" s="17" t="s">
        <v>113</v>
      </c>
      <c r="D267" s="17" t="s">
        <v>114</v>
      </c>
      <c r="E267" s="17" t="s">
        <v>101</v>
      </c>
      <c r="F267" s="17" t="s">
        <v>173</v>
      </c>
      <c r="G267" s="17">
        <v>47.634654255306401</v>
      </c>
      <c r="H267" s="17">
        <v>44.114330668000001</v>
      </c>
      <c r="I267" s="17" t="s">
        <v>115</v>
      </c>
    </row>
    <row r="268" spans="1:9" x14ac:dyDescent="0.3">
      <c r="A268" s="17" t="s">
        <v>58</v>
      </c>
      <c r="B268" s="17" t="s">
        <v>64</v>
      </c>
      <c r="C268" s="17" t="s">
        <v>113</v>
      </c>
      <c r="D268" s="17" t="s">
        <v>114</v>
      </c>
      <c r="E268" s="17" t="s">
        <v>101</v>
      </c>
      <c r="F268" s="17" t="s">
        <v>155</v>
      </c>
      <c r="G268" s="17">
        <v>0.41145483026536001</v>
      </c>
      <c r="H268" s="17">
        <v>0.38104725899737002</v>
      </c>
      <c r="I268" s="17" t="s">
        <v>115</v>
      </c>
    </row>
    <row r="269" spans="1:9" x14ac:dyDescent="0.3">
      <c r="A269" s="17" t="s">
        <v>58</v>
      </c>
      <c r="B269" s="17" t="s">
        <v>64</v>
      </c>
      <c r="C269" s="17" t="s">
        <v>113</v>
      </c>
      <c r="D269" s="17" t="s">
        <v>114</v>
      </c>
      <c r="E269" s="17" t="s">
        <v>101</v>
      </c>
      <c r="F269" s="17" t="s">
        <v>157</v>
      </c>
      <c r="G269" s="17">
        <v>2826.3999474633001</v>
      </c>
      <c r="H269" s="17">
        <v>2617.5217146353998</v>
      </c>
      <c r="I269" s="17" t="s">
        <v>115</v>
      </c>
    </row>
    <row r="270" spans="1:9" x14ac:dyDescent="0.3">
      <c r="A270" s="17" t="s">
        <v>58</v>
      </c>
      <c r="B270" s="17" t="s">
        <v>64</v>
      </c>
      <c r="C270" s="17" t="s">
        <v>113</v>
      </c>
      <c r="D270" s="17" t="s">
        <v>114</v>
      </c>
      <c r="E270" s="17" t="s">
        <v>101</v>
      </c>
      <c r="F270" s="17" t="s">
        <v>158</v>
      </c>
      <c r="G270" s="17">
        <v>421.738176266685</v>
      </c>
      <c r="H270" s="17">
        <v>390.57063925419999</v>
      </c>
      <c r="I270" s="17" t="s">
        <v>115</v>
      </c>
    </row>
    <row r="271" spans="1:9" x14ac:dyDescent="0.3">
      <c r="A271" s="17" t="s">
        <v>58</v>
      </c>
      <c r="B271" s="17" t="s">
        <v>64</v>
      </c>
      <c r="C271" s="17" t="s">
        <v>113</v>
      </c>
      <c r="D271" s="17" t="s">
        <v>114</v>
      </c>
      <c r="E271" s="17" t="s">
        <v>101</v>
      </c>
      <c r="F271" s="17" t="s">
        <v>159</v>
      </c>
      <c r="G271" s="17">
        <v>112.06251934634901</v>
      </c>
      <c r="H271" s="17">
        <v>103.780810656</v>
      </c>
      <c r="I271" s="17" t="s">
        <v>115</v>
      </c>
    </row>
    <row r="272" spans="1:9" x14ac:dyDescent="0.3">
      <c r="A272" s="17" t="s">
        <v>58</v>
      </c>
      <c r="B272" s="17" t="s">
        <v>64</v>
      </c>
      <c r="C272" s="17" t="s">
        <v>113</v>
      </c>
      <c r="D272" s="17" t="s">
        <v>114</v>
      </c>
      <c r="E272" s="17" t="s">
        <v>101</v>
      </c>
      <c r="F272" s="17" t="s">
        <v>160</v>
      </c>
      <c r="G272" s="17">
        <v>604.15141164186002</v>
      </c>
      <c r="H272" s="17">
        <v>559.50306690299999</v>
      </c>
      <c r="I272" s="17" t="s">
        <v>115</v>
      </c>
    </row>
    <row r="273" spans="1:9" x14ac:dyDescent="0.3">
      <c r="A273" s="17" t="s">
        <v>58</v>
      </c>
      <c r="B273" s="17" t="s">
        <v>64</v>
      </c>
      <c r="C273" s="17" t="s">
        <v>113</v>
      </c>
      <c r="D273" s="17" t="s">
        <v>114</v>
      </c>
      <c r="E273" s="17" t="s">
        <v>101</v>
      </c>
      <c r="F273" s="17" t="s">
        <v>161</v>
      </c>
      <c r="G273" s="17">
        <v>108.5454079016</v>
      </c>
      <c r="H273" s="17">
        <v>100.52362280200001</v>
      </c>
      <c r="I273" s="17" t="s">
        <v>115</v>
      </c>
    </row>
    <row r="274" spans="1:9" x14ac:dyDescent="0.3">
      <c r="A274" s="17" t="s">
        <v>58</v>
      </c>
      <c r="B274" s="17" t="s">
        <v>64</v>
      </c>
      <c r="C274" s="17" t="s">
        <v>113</v>
      </c>
      <c r="D274" s="17" t="s">
        <v>114</v>
      </c>
      <c r="E274" s="17" t="s">
        <v>101</v>
      </c>
      <c r="F274" s="17" t="s">
        <v>162</v>
      </c>
      <c r="G274" s="17">
        <v>122.432127104583</v>
      </c>
      <c r="H274" s="17">
        <v>113.384077703819</v>
      </c>
      <c r="I274" s="17" t="s">
        <v>115</v>
      </c>
    </row>
    <row r="275" spans="1:9" x14ac:dyDescent="0.3">
      <c r="A275" s="17" t="s">
        <v>58</v>
      </c>
      <c r="B275" s="17" t="s">
        <v>64</v>
      </c>
      <c r="C275" s="17" t="s">
        <v>113</v>
      </c>
      <c r="D275" s="17" t="s">
        <v>114</v>
      </c>
      <c r="E275" s="17" t="s">
        <v>101</v>
      </c>
      <c r="F275" s="17" t="s">
        <v>163</v>
      </c>
      <c r="G275" s="17">
        <v>231.10753361634301</v>
      </c>
      <c r="H275" s="17">
        <v>214.02809188399999</v>
      </c>
      <c r="I275" s="17" t="s">
        <v>115</v>
      </c>
    </row>
    <row r="276" spans="1:9" x14ac:dyDescent="0.3">
      <c r="A276" s="17" t="s">
        <v>58</v>
      </c>
      <c r="B276" s="17" t="s">
        <v>64</v>
      </c>
      <c r="C276" s="17" t="s">
        <v>113</v>
      </c>
      <c r="D276" s="17" t="s">
        <v>114</v>
      </c>
      <c r="E276" s="17" t="s">
        <v>101</v>
      </c>
      <c r="F276" s="17" t="s">
        <v>164</v>
      </c>
      <c r="G276" s="17">
        <v>0.27938542186802001</v>
      </c>
      <c r="H276" s="17">
        <v>0.25873811990000001</v>
      </c>
      <c r="I276" s="17" t="s">
        <v>115</v>
      </c>
    </row>
    <row r="277" spans="1:9" x14ac:dyDescent="0.3">
      <c r="A277" s="17" t="s">
        <v>58</v>
      </c>
      <c r="B277" s="17" t="s">
        <v>64</v>
      </c>
      <c r="C277" s="17" t="s">
        <v>113</v>
      </c>
      <c r="D277" s="17" t="s">
        <v>114</v>
      </c>
      <c r="E277" s="17" t="s">
        <v>102</v>
      </c>
      <c r="F277" s="17" t="s">
        <v>165</v>
      </c>
      <c r="G277" s="17">
        <v>23.3951895450389</v>
      </c>
      <c r="H277" s="17">
        <v>21.666224805555601</v>
      </c>
      <c r="I277" s="17" t="s">
        <v>115</v>
      </c>
    </row>
    <row r="278" spans="1:9" x14ac:dyDescent="0.3">
      <c r="A278" s="17" t="s">
        <v>58</v>
      </c>
      <c r="B278" s="17" t="s">
        <v>64</v>
      </c>
      <c r="C278" s="17" t="s">
        <v>113</v>
      </c>
      <c r="D278" s="17" t="s">
        <v>114</v>
      </c>
      <c r="E278" s="17" t="s">
        <v>102</v>
      </c>
      <c r="F278" s="17" t="s">
        <v>166</v>
      </c>
      <c r="G278" s="17">
        <v>437.31355918752701</v>
      </c>
      <c r="H278" s="17">
        <v>404.99496127757601</v>
      </c>
      <c r="I278" s="17" t="s">
        <v>115</v>
      </c>
    </row>
    <row r="279" spans="1:9" x14ac:dyDescent="0.3">
      <c r="A279" s="17" t="s">
        <v>58</v>
      </c>
      <c r="B279" s="17" t="s">
        <v>64</v>
      </c>
      <c r="C279" s="17" t="s">
        <v>113</v>
      </c>
      <c r="D279" s="17" t="s">
        <v>114</v>
      </c>
      <c r="E279" s="17" t="s">
        <v>103</v>
      </c>
      <c r="F279" s="17" t="s">
        <v>103</v>
      </c>
      <c r="G279" s="17">
        <v>30.741906</v>
      </c>
      <c r="H279" s="17">
        <v>28.47</v>
      </c>
      <c r="I279" s="17" t="s">
        <v>115</v>
      </c>
    </row>
    <row r="280" spans="1:9" x14ac:dyDescent="0.3">
      <c r="A280" s="17" t="s">
        <v>58</v>
      </c>
      <c r="B280" s="17" t="s">
        <v>64</v>
      </c>
      <c r="C280" s="17" t="s">
        <v>167</v>
      </c>
      <c r="D280" s="17" t="s">
        <v>168</v>
      </c>
      <c r="E280" s="17" t="s">
        <v>100</v>
      </c>
      <c r="F280" s="17" t="s">
        <v>100</v>
      </c>
      <c r="G280" s="17">
        <v>0</v>
      </c>
      <c r="H280" s="17">
        <v>0</v>
      </c>
      <c r="I280" s="17" t="s">
        <v>115</v>
      </c>
    </row>
    <row r="281" spans="1:9" x14ac:dyDescent="0.3">
      <c r="A281" s="17" t="s">
        <v>58</v>
      </c>
      <c r="B281" s="17" t="s">
        <v>64</v>
      </c>
      <c r="C281" s="17" t="s">
        <v>167</v>
      </c>
      <c r="D281" s="17" t="s">
        <v>114</v>
      </c>
      <c r="E281" s="17" t="s">
        <v>100</v>
      </c>
      <c r="F281" s="17" t="s">
        <v>100</v>
      </c>
      <c r="G281" s="17">
        <v>246.053301432604</v>
      </c>
      <c r="H281" s="17">
        <v>227.86932898000001</v>
      </c>
      <c r="I281" s="17" t="s">
        <v>115</v>
      </c>
    </row>
    <row r="282" spans="1:9" x14ac:dyDescent="0.3">
      <c r="A282" s="17" t="s">
        <v>58</v>
      </c>
      <c r="B282" s="17" t="s">
        <v>65</v>
      </c>
      <c r="C282" s="17" t="s">
        <v>113</v>
      </c>
      <c r="D282" s="17" t="s">
        <v>114</v>
      </c>
      <c r="E282" s="17" t="s">
        <v>71</v>
      </c>
      <c r="F282" s="17" t="s">
        <v>71</v>
      </c>
      <c r="G282" s="17">
        <v>49.949258399999998</v>
      </c>
      <c r="H282" s="17">
        <v>43.896000000000001</v>
      </c>
      <c r="I282" s="17" t="s">
        <v>115</v>
      </c>
    </row>
    <row r="283" spans="1:9" x14ac:dyDescent="0.3">
      <c r="A283" s="17" t="s">
        <v>58</v>
      </c>
      <c r="B283" s="17" t="s">
        <v>65</v>
      </c>
      <c r="C283" s="17" t="s">
        <v>113</v>
      </c>
      <c r="D283" s="17" t="s">
        <v>114</v>
      </c>
      <c r="E283" s="17" t="s">
        <v>72</v>
      </c>
      <c r="F283" s="17" t="s">
        <v>116</v>
      </c>
      <c r="G283" s="17">
        <v>188.90132248800001</v>
      </c>
      <c r="H283" s="17">
        <v>166.00872000000001</v>
      </c>
      <c r="I283" s="17" t="s">
        <v>115</v>
      </c>
    </row>
    <row r="284" spans="1:9" x14ac:dyDescent="0.3">
      <c r="A284" s="17" t="s">
        <v>58</v>
      </c>
      <c r="B284" s="17" t="s">
        <v>65</v>
      </c>
      <c r="C284" s="17" t="s">
        <v>113</v>
      </c>
      <c r="D284" s="17" t="s">
        <v>114</v>
      </c>
      <c r="E284" s="17" t="s">
        <v>73</v>
      </c>
      <c r="F284" s="17" t="s">
        <v>117</v>
      </c>
      <c r="G284" s="17">
        <v>0</v>
      </c>
      <c r="H284" s="17">
        <v>0</v>
      </c>
      <c r="I284" s="17" t="s">
        <v>115</v>
      </c>
    </row>
    <row r="285" spans="1:9" x14ac:dyDescent="0.3">
      <c r="A285" s="17" t="s">
        <v>58</v>
      </c>
      <c r="B285" s="17" t="s">
        <v>65</v>
      </c>
      <c r="C285" s="17" t="s">
        <v>113</v>
      </c>
      <c r="D285" s="17" t="s">
        <v>114</v>
      </c>
      <c r="E285" s="17" t="s">
        <v>73</v>
      </c>
      <c r="F285" s="17" t="s">
        <v>118</v>
      </c>
      <c r="G285" s="17">
        <v>557.23054032000005</v>
      </c>
      <c r="H285" s="17">
        <v>489.70080000000002</v>
      </c>
      <c r="I285" s="17" t="s">
        <v>115</v>
      </c>
    </row>
    <row r="286" spans="1:9" x14ac:dyDescent="0.3">
      <c r="A286" s="17" t="s">
        <v>58</v>
      </c>
      <c r="B286" s="17" t="s">
        <v>65</v>
      </c>
      <c r="C286" s="17" t="s">
        <v>113</v>
      </c>
      <c r="D286" s="17" t="s">
        <v>114</v>
      </c>
      <c r="E286" s="17" t="s">
        <v>73</v>
      </c>
      <c r="F286" s="17" t="s">
        <v>119</v>
      </c>
      <c r="G286" s="17">
        <v>1896.3786239999999</v>
      </c>
      <c r="H286" s="17">
        <v>1666.56</v>
      </c>
      <c r="I286" s="17" t="s">
        <v>115</v>
      </c>
    </row>
    <row r="287" spans="1:9" x14ac:dyDescent="0.3">
      <c r="A287" s="17" t="s">
        <v>58</v>
      </c>
      <c r="B287" s="17" t="s">
        <v>65</v>
      </c>
      <c r="C287" s="17" t="s">
        <v>113</v>
      </c>
      <c r="D287" s="17" t="s">
        <v>114</v>
      </c>
      <c r="E287" s="17" t="s">
        <v>73</v>
      </c>
      <c r="F287" s="17" t="s">
        <v>120</v>
      </c>
      <c r="G287" s="17">
        <v>24.6187444421649</v>
      </c>
      <c r="H287" s="17">
        <v>21.6352442588671</v>
      </c>
      <c r="I287" s="17" t="s">
        <v>115</v>
      </c>
    </row>
    <row r="288" spans="1:9" x14ac:dyDescent="0.3">
      <c r="A288" s="17" t="s">
        <v>58</v>
      </c>
      <c r="B288" s="17" t="s">
        <v>65</v>
      </c>
      <c r="C288" s="17" t="s">
        <v>113</v>
      </c>
      <c r="D288" s="17" t="s">
        <v>114</v>
      </c>
      <c r="E288" s="17" t="s">
        <v>74</v>
      </c>
      <c r="F288" s="17" t="s">
        <v>121</v>
      </c>
      <c r="G288" s="17">
        <v>0.87948291000000001</v>
      </c>
      <c r="H288" s="17">
        <v>0.77290000000000003</v>
      </c>
      <c r="I288" s="17" t="s">
        <v>115</v>
      </c>
    </row>
    <row r="289" spans="1:9" x14ac:dyDescent="0.3">
      <c r="A289" s="17" t="s">
        <v>58</v>
      </c>
      <c r="B289" s="17" t="s">
        <v>65</v>
      </c>
      <c r="C289" s="17" t="s">
        <v>113</v>
      </c>
      <c r="D289" s="17" t="s">
        <v>114</v>
      </c>
      <c r="E289" s="17" t="s">
        <v>76</v>
      </c>
      <c r="F289" s="17" t="s">
        <v>122</v>
      </c>
      <c r="G289" s="17">
        <v>151.54097039999999</v>
      </c>
      <c r="H289" s="17">
        <v>133.17599999999999</v>
      </c>
      <c r="I289" s="17" t="s">
        <v>115</v>
      </c>
    </row>
    <row r="290" spans="1:9" x14ac:dyDescent="0.3">
      <c r="A290" s="17" t="s">
        <v>58</v>
      </c>
      <c r="B290" s="17" t="s">
        <v>65</v>
      </c>
      <c r="C290" s="17" t="s">
        <v>113</v>
      </c>
      <c r="D290" s="17" t="s">
        <v>114</v>
      </c>
      <c r="E290" s="17" t="s">
        <v>80</v>
      </c>
      <c r="F290" s="17" t="s">
        <v>80</v>
      </c>
      <c r="G290" s="17">
        <v>0.71345076944520003</v>
      </c>
      <c r="H290" s="17">
        <v>0.62698898800000002</v>
      </c>
      <c r="I290" s="17" t="s">
        <v>115</v>
      </c>
    </row>
    <row r="291" spans="1:9" x14ac:dyDescent="0.3">
      <c r="A291" s="17" t="s">
        <v>58</v>
      </c>
      <c r="B291" s="17" t="s">
        <v>65</v>
      </c>
      <c r="C291" s="17" t="s">
        <v>113</v>
      </c>
      <c r="D291" s="17" t="s">
        <v>114</v>
      </c>
      <c r="E291" s="17" t="s">
        <v>77</v>
      </c>
      <c r="F291" s="17" t="s">
        <v>77</v>
      </c>
      <c r="G291" s="17">
        <v>0.76192854715000002</v>
      </c>
      <c r="H291" s="17">
        <v>0.66959183333333305</v>
      </c>
      <c r="I291" s="17" t="s">
        <v>115</v>
      </c>
    </row>
    <row r="292" spans="1:9" x14ac:dyDescent="0.3">
      <c r="A292" s="17" t="s">
        <v>58</v>
      </c>
      <c r="B292" s="17" t="s">
        <v>65</v>
      </c>
      <c r="C292" s="17" t="s">
        <v>113</v>
      </c>
      <c r="D292" s="17" t="s">
        <v>114</v>
      </c>
      <c r="E292" s="17" t="s">
        <v>78</v>
      </c>
      <c r="F292" s="17" t="s">
        <v>123</v>
      </c>
      <c r="G292" s="17">
        <v>14.7107712</v>
      </c>
      <c r="H292" s="17">
        <v>12.928000000000001</v>
      </c>
      <c r="I292" s="17" t="s">
        <v>115</v>
      </c>
    </row>
    <row r="293" spans="1:9" x14ac:dyDescent="0.3">
      <c r="A293" s="17" t="s">
        <v>58</v>
      </c>
      <c r="B293" s="17" t="s">
        <v>65</v>
      </c>
      <c r="C293" s="17" t="s">
        <v>113</v>
      </c>
      <c r="D293" s="17" t="s">
        <v>114</v>
      </c>
      <c r="E293" s="17" t="s">
        <v>78</v>
      </c>
      <c r="F293" s="17" t="s">
        <v>124</v>
      </c>
      <c r="G293" s="17">
        <v>211.64940000000001</v>
      </c>
      <c r="H293" s="17">
        <v>186</v>
      </c>
      <c r="I293" s="17" t="s">
        <v>115</v>
      </c>
    </row>
    <row r="294" spans="1:9" x14ac:dyDescent="0.3">
      <c r="A294" s="17" t="s">
        <v>58</v>
      </c>
      <c r="B294" s="17" t="s">
        <v>65</v>
      </c>
      <c r="C294" s="17" t="s">
        <v>113</v>
      </c>
      <c r="D294" s="17" t="s">
        <v>114</v>
      </c>
      <c r="E294" s="17" t="s">
        <v>78</v>
      </c>
      <c r="F294" s="17" t="s">
        <v>125</v>
      </c>
      <c r="G294" s="17">
        <v>202.84478496</v>
      </c>
      <c r="H294" s="17">
        <v>178.26240000000001</v>
      </c>
      <c r="I294" s="17" t="s">
        <v>115</v>
      </c>
    </row>
    <row r="295" spans="1:9" x14ac:dyDescent="0.3">
      <c r="A295" s="17" t="s">
        <v>58</v>
      </c>
      <c r="B295" s="17" t="s">
        <v>65</v>
      </c>
      <c r="C295" s="17" t="s">
        <v>113</v>
      </c>
      <c r="D295" s="17" t="s">
        <v>114</v>
      </c>
      <c r="E295" s="17" t="s">
        <v>79</v>
      </c>
      <c r="F295" s="17" t="s">
        <v>126</v>
      </c>
      <c r="G295" s="17">
        <v>3555.9103353115202</v>
      </c>
      <c r="H295" s="17">
        <v>3124.9761273499598</v>
      </c>
      <c r="I295" s="17" t="s">
        <v>115</v>
      </c>
    </row>
    <row r="296" spans="1:9" x14ac:dyDescent="0.3">
      <c r="A296" s="17" t="s">
        <v>58</v>
      </c>
      <c r="B296" s="17" t="s">
        <v>65</v>
      </c>
      <c r="C296" s="17" t="s">
        <v>113</v>
      </c>
      <c r="D296" s="17" t="s">
        <v>114</v>
      </c>
      <c r="E296" s="17" t="s">
        <v>79</v>
      </c>
      <c r="F296" s="17" t="s">
        <v>79</v>
      </c>
      <c r="G296" s="17">
        <v>1787.68241055565</v>
      </c>
      <c r="H296" s="17">
        <v>1571.0364799680599</v>
      </c>
      <c r="I296" s="17" t="s">
        <v>115</v>
      </c>
    </row>
    <row r="297" spans="1:9" x14ac:dyDescent="0.3">
      <c r="A297" s="17" t="s">
        <v>58</v>
      </c>
      <c r="B297" s="17" t="s">
        <v>65</v>
      </c>
      <c r="C297" s="17" t="s">
        <v>113</v>
      </c>
      <c r="D297" s="17" t="s">
        <v>114</v>
      </c>
      <c r="E297" s="17" t="s">
        <v>81</v>
      </c>
      <c r="F297" s="17" t="s">
        <v>81</v>
      </c>
      <c r="G297" s="17">
        <v>259.31850031133001</v>
      </c>
      <c r="H297" s="17">
        <v>227.89217006004901</v>
      </c>
      <c r="I297" s="17" t="s">
        <v>115</v>
      </c>
    </row>
    <row r="298" spans="1:9" x14ac:dyDescent="0.3">
      <c r="A298" s="17" t="s">
        <v>58</v>
      </c>
      <c r="B298" s="17" t="s">
        <v>65</v>
      </c>
      <c r="C298" s="17" t="s">
        <v>113</v>
      </c>
      <c r="D298" s="17" t="s">
        <v>114</v>
      </c>
      <c r="E298" s="17" t="s">
        <v>82</v>
      </c>
      <c r="F298" s="17" t="s">
        <v>82</v>
      </c>
      <c r="G298" s="17">
        <v>99.496792432738999</v>
      </c>
      <c r="H298" s="17">
        <v>87.438959867069997</v>
      </c>
      <c r="I298" s="17" t="s">
        <v>115</v>
      </c>
    </row>
    <row r="299" spans="1:9" x14ac:dyDescent="0.3">
      <c r="A299" s="17" t="s">
        <v>58</v>
      </c>
      <c r="B299" s="17" t="s">
        <v>65</v>
      </c>
      <c r="C299" s="17" t="s">
        <v>113</v>
      </c>
      <c r="D299" s="17" t="s">
        <v>114</v>
      </c>
      <c r="E299" s="17" t="s">
        <v>83</v>
      </c>
      <c r="F299" s="17" t="s">
        <v>127</v>
      </c>
      <c r="G299" s="17">
        <v>1.80669099374019</v>
      </c>
      <c r="H299" s="17">
        <v>1.5877414480536001</v>
      </c>
      <c r="I299" s="17" t="s">
        <v>115</v>
      </c>
    </row>
    <row r="300" spans="1:9" x14ac:dyDescent="0.3">
      <c r="A300" s="17" t="s">
        <v>58</v>
      </c>
      <c r="B300" s="17" t="s">
        <v>65</v>
      </c>
      <c r="C300" s="17" t="s">
        <v>113</v>
      </c>
      <c r="D300" s="17" t="s">
        <v>114</v>
      </c>
      <c r="E300" s="17" t="s">
        <v>83</v>
      </c>
      <c r="F300" s="17" t="s">
        <v>128</v>
      </c>
      <c r="G300" s="17">
        <v>63.0687823922866</v>
      </c>
      <c r="H300" s="17">
        <v>55.425593103336503</v>
      </c>
      <c r="I300" s="17" t="s">
        <v>115</v>
      </c>
    </row>
    <row r="301" spans="1:9" x14ac:dyDescent="0.3">
      <c r="A301" s="17" t="s">
        <v>58</v>
      </c>
      <c r="B301" s="17" t="s">
        <v>65</v>
      </c>
      <c r="C301" s="17" t="s">
        <v>113</v>
      </c>
      <c r="D301" s="17" t="s">
        <v>114</v>
      </c>
      <c r="E301" s="17" t="s">
        <v>84</v>
      </c>
      <c r="F301" s="17" t="s">
        <v>172</v>
      </c>
      <c r="G301" s="17">
        <v>0.18856291626234001</v>
      </c>
      <c r="H301" s="17">
        <v>0.16571132459999999</v>
      </c>
      <c r="I301" s="17" t="s">
        <v>115</v>
      </c>
    </row>
    <row r="302" spans="1:9" x14ac:dyDescent="0.3">
      <c r="A302" s="17" t="s">
        <v>58</v>
      </c>
      <c r="B302" s="17" t="s">
        <v>65</v>
      </c>
      <c r="C302" s="17" t="s">
        <v>113</v>
      </c>
      <c r="D302" s="17" t="s">
        <v>114</v>
      </c>
      <c r="E302" s="17" t="s">
        <v>84</v>
      </c>
      <c r="F302" s="17" t="s">
        <v>129</v>
      </c>
      <c r="G302" s="17">
        <v>6254.3262246178001</v>
      </c>
      <c r="H302" s="17">
        <v>5496.3759773422998</v>
      </c>
      <c r="I302" s="17" t="s">
        <v>115</v>
      </c>
    </row>
    <row r="303" spans="1:9" x14ac:dyDescent="0.3">
      <c r="A303" s="17" t="s">
        <v>58</v>
      </c>
      <c r="B303" s="17" t="s">
        <v>65</v>
      </c>
      <c r="C303" s="17" t="s">
        <v>113</v>
      </c>
      <c r="D303" s="17" t="s">
        <v>114</v>
      </c>
      <c r="E303" s="17" t="s">
        <v>85</v>
      </c>
      <c r="F303" s="17" t="s">
        <v>85</v>
      </c>
      <c r="G303" s="17">
        <v>132.81670125943799</v>
      </c>
      <c r="H303" s="17">
        <v>116.720890464398</v>
      </c>
      <c r="I303" s="17" t="s">
        <v>115</v>
      </c>
    </row>
    <row r="304" spans="1:9" x14ac:dyDescent="0.3">
      <c r="A304" s="17" t="s">
        <v>58</v>
      </c>
      <c r="B304" s="17" t="s">
        <v>65</v>
      </c>
      <c r="C304" s="17" t="s">
        <v>113</v>
      </c>
      <c r="D304" s="17" t="s">
        <v>114</v>
      </c>
      <c r="E304" s="17" t="s">
        <v>87</v>
      </c>
      <c r="F304" s="17" t="s">
        <v>87</v>
      </c>
      <c r="G304" s="17">
        <v>6.2819383451844004</v>
      </c>
      <c r="H304" s="17">
        <v>5.5206418360000002</v>
      </c>
      <c r="I304" s="17" t="s">
        <v>115</v>
      </c>
    </row>
    <row r="305" spans="1:9" x14ac:dyDescent="0.3">
      <c r="A305" s="17" t="s">
        <v>58</v>
      </c>
      <c r="B305" s="17" t="s">
        <v>65</v>
      </c>
      <c r="C305" s="17" t="s">
        <v>113</v>
      </c>
      <c r="D305" s="17" t="s">
        <v>114</v>
      </c>
      <c r="E305" s="17" t="s">
        <v>88</v>
      </c>
      <c r="F305" s="17" t="s">
        <v>88</v>
      </c>
      <c r="G305" s="17">
        <v>13.4973179268242</v>
      </c>
      <c r="H305" s="17">
        <v>11.8616028885</v>
      </c>
      <c r="I305" s="17" t="s">
        <v>115</v>
      </c>
    </row>
    <row r="306" spans="1:9" x14ac:dyDescent="0.3">
      <c r="A306" s="17" t="s">
        <v>58</v>
      </c>
      <c r="B306" s="17" t="s">
        <v>65</v>
      </c>
      <c r="C306" s="17" t="s">
        <v>113</v>
      </c>
      <c r="D306" s="17" t="s">
        <v>114</v>
      </c>
      <c r="E306" s="17" t="s">
        <v>89</v>
      </c>
      <c r="F306" s="17" t="s">
        <v>89</v>
      </c>
      <c r="G306" s="17">
        <v>81.721153880127005</v>
      </c>
      <c r="H306" s="17">
        <v>71.817518129999996</v>
      </c>
      <c r="I306" s="17" t="s">
        <v>115</v>
      </c>
    </row>
    <row r="307" spans="1:9" x14ac:dyDescent="0.3">
      <c r="A307" s="17" t="s">
        <v>58</v>
      </c>
      <c r="B307" s="17" t="s">
        <v>65</v>
      </c>
      <c r="C307" s="17" t="s">
        <v>113</v>
      </c>
      <c r="D307" s="17" t="s">
        <v>114</v>
      </c>
      <c r="E307" s="17" t="s">
        <v>90</v>
      </c>
      <c r="F307" s="17" t="s">
        <v>90</v>
      </c>
      <c r="G307" s="17">
        <v>301.96956076652702</v>
      </c>
      <c r="H307" s="17">
        <v>265.37442724890298</v>
      </c>
      <c r="I307" s="17" t="s">
        <v>115</v>
      </c>
    </row>
    <row r="308" spans="1:9" x14ac:dyDescent="0.3">
      <c r="A308" s="17" t="s">
        <v>58</v>
      </c>
      <c r="B308" s="17" t="s">
        <v>65</v>
      </c>
      <c r="C308" s="17" t="s">
        <v>113</v>
      </c>
      <c r="D308" s="17" t="s">
        <v>114</v>
      </c>
      <c r="E308" s="17" t="s">
        <v>91</v>
      </c>
      <c r="F308" s="17" t="s">
        <v>91</v>
      </c>
      <c r="G308" s="17">
        <v>26.541531478824002</v>
      </c>
      <c r="H308" s="17">
        <v>23.325012284756099</v>
      </c>
      <c r="I308" s="17" t="s">
        <v>115</v>
      </c>
    </row>
    <row r="309" spans="1:9" x14ac:dyDescent="0.3">
      <c r="A309" s="17" t="s">
        <v>58</v>
      </c>
      <c r="B309" s="17" t="s">
        <v>65</v>
      </c>
      <c r="C309" s="17" t="s">
        <v>113</v>
      </c>
      <c r="D309" s="17" t="s">
        <v>114</v>
      </c>
      <c r="E309" s="17" t="s">
        <v>93</v>
      </c>
      <c r="F309" s="17" t="s">
        <v>130</v>
      </c>
      <c r="G309" s="17">
        <v>559.65519357059998</v>
      </c>
      <c r="H309" s="17">
        <v>491.831614</v>
      </c>
      <c r="I309" s="17" t="s">
        <v>115</v>
      </c>
    </row>
    <row r="310" spans="1:9" x14ac:dyDescent="0.3">
      <c r="A310" s="17" t="s">
        <v>58</v>
      </c>
      <c r="B310" s="17" t="s">
        <v>65</v>
      </c>
      <c r="C310" s="17" t="s">
        <v>113</v>
      </c>
      <c r="D310" s="17" t="s">
        <v>114</v>
      </c>
      <c r="E310" s="17" t="s">
        <v>93</v>
      </c>
      <c r="F310" s="17" t="s">
        <v>131</v>
      </c>
      <c r="G310" s="17">
        <v>206.40049488</v>
      </c>
      <c r="H310" s="17">
        <v>181.38720000000001</v>
      </c>
      <c r="I310" s="17" t="s">
        <v>115</v>
      </c>
    </row>
    <row r="311" spans="1:9" x14ac:dyDescent="0.3">
      <c r="A311" s="17" t="s">
        <v>58</v>
      </c>
      <c r="B311" s="17" t="s">
        <v>65</v>
      </c>
      <c r="C311" s="17" t="s">
        <v>113</v>
      </c>
      <c r="D311" s="17" t="s">
        <v>114</v>
      </c>
      <c r="E311" s="17" t="s">
        <v>93</v>
      </c>
      <c r="F311" s="17" t="s">
        <v>132</v>
      </c>
      <c r="G311" s="17">
        <v>1.8671710068</v>
      </c>
      <c r="H311" s="17">
        <v>1.640892</v>
      </c>
      <c r="I311" s="17" t="s">
        <v>115</v>
      </c>
    </row>
    <row r="312" spans="1:9" x14ac:dyDescent="0.3">
      <c r="A312" s="17" t="s">
        <v>58</v>
      </c>
      <c r="B312" s="17" t="s">
        <v>65</v>
      </c>
      <c r="C312" s="17" t="s">
        <v>113</v>
      </c>
      <c r="D312" s="17" t="s">
        <v>114</v>
      </c>
      <c r="E312" s="17" t="s">
        <v>93</v>
      </c>
      <c r="F312" s="17" t="s">
        <v>133</v>
      </c>
      <c r="G312" s="17">
        <v>20.086687983870998</v>
      </c>
      <c r="H312" s="17">
        <v>17.652419354838699</v>
      </c>
      <c r="I312" s="17" t="s">
        <v>115</v>
      </c>
    </row>
    <row r="313" spans="1:9" x14ac:dyDescent="0.3">
      <c r="A313" s="17" t="s">
        <v>58</v>
      </c>
      <c r="B313" s="17" t="s">
        <v>65</v>
      </c>
      <c r="C313" s="17" t="s">
        <v>113</v>
      </c>
      <c r="D313" s="17" t="s">
        <v>114</v>
      </c>
      <c r="E313" s="17" t="s">
        <v>93</v>
      </c>
      <c r="F313" s="17" t="s">
        <v>134</v>
      </c>
      <c r="G313" s="17">
        <v>3.4448056344000002</v>
      </c>
      <c r="H313" s="17">
        <v>3.027336</v>
      </c>
      <c r="I313" s="17" t="s">
        <v>115</v>
      </c>
    </row>
    <row r="314" spans="1:9" x14ac:dyDescent="0.3">
      <c r="A314" s="17" t="s">
        <v>58</v>
      </c>
      <c r="B314" s="17" t="s">
        <v>65</v>
      </c>
      <c r="C314" s="17" t="s">
        <v>113</v>
      </c>
      <c r="D314" s="17" t="s">
        <v>114</v>
      </c>
      <c r="E314" s="17" t="s">
        <v>93</v>
      </c>
      <c r="F314" s="17" t="s">
        <v>135</v>
      </c>
      <c r="G314" s="17">
        <v>17.943092387096801</v>
      </c>
      <c r="H314" s="17">
        <v>15.7686021505376</v>
      </c>
      <c r="I314" s="17" t="s">
        <v>115</v>
      </c>
    </row>
    <row r="315" spans="1:9" x14ac:dyDescent="0.3">
      <c r="A315" s="17" t="s">
        <v>58</v>
      </c>
      <c r="B315" s="17" t="s">
        <v>65</v>
      </c>
      <c r="C315" s="17" t="s">
        <v>113</v>
      </c>
      <c r="D315" s="17" t="s">
        <v>114</v>
      </c>
      <c r="E315" s="17" t="s">
        <v>93</v>
      </c>
      <c r="F315" s="17" t="s">
        <v>136</v>
      </c>
      <c r="G315" s="17">
        <v>252.159475162972</v>
      </c>
      <c r="H315" s="17">
        <v>221.600733951113</v>
      </c>
      <c r="I315" s="17" t="s">
        <v>115</v>
      </c>
    </row>
    <row r="316" spans="1:9" x14ac:dyDescent="0.3">
      <c r="A316" s="17" t="s">
        <v>58</v>
      </c>
      <c r="B316" s="17" t="s">
        <v>65</v>
      </c>
      <c r="C316" s="17" t="s">
        <v>113</v>
      </c>
      <c r="D316" s="17" t="s">
        <v>114</v>
      </c>
      <c r="E316" s="17" t="s">
        <v>93</v>
      </c>
      <c r="F316" s="17" t="s">
        <v>137</v>
      </c>
      <c r="G316" s="17">
        <v>144.11569498200001</v>
      </c>
      <c r="H316" s="17">
        <v>126.65058000000001</v>
      </c>
      <c r="I316" s="17" t="s">
        <v>115</v>
      </c>
    </row>
    <row r="317" spans="1:9" x14ac:dyDescent="0.3">
      <c r="A317" s="17" t="s">
        <v>58</v>
      </c>
      <c r="B317" s="17" t="s">
        <v>65</v>
      </c>
      <c r="C317" s="17" t="s">
        <v>113</v>
      </c>
      <c r="D317" s="17" t="s">
        <v>114</v>
      </c>
      <c r="E317" s="17" t="s">
        <v>94</v>
      </c>
      <c r="F317" s="17" t="s">
        <v>94</v>
      </c>
      <c r="G317" s="17">
        <v>28.718007213105199</v>
      </c>
      <c r="H317" s="17">
        <v>25.237724943409098</v>
      </c>
      <c r="I317" s="17" t="s">
        <v>115</v>
      </c>
    </row>
    <row r="318" spans="1:9" x14ac:dyDescent="0.3">
      <c r="A318" s="17" t="s">
        <v>58</v>
      </c>
      <c r="B318" s="17" t="s">
        <v>65</v>
      </c>
      <c r="C318" s="17" t="s">
        <v>113</v>
      </c>
      <c r="D318" s="17" t="s">
        <v>114</v>
      </c>
      <c r="E318" s="17" t="s">
        <v>95</v>
      </c>
      <c r="F318" s="17" t="s">
        <v>138</v>
      </c>
      <c r="G318" s="17">
        <v>480.35947823999999</v>
      </c>
      <c r="H318" s="17">
        <v>422.1456</v>
      </c>
      <c r="I318" s="17" t="s">
        <v>115</v>
      </c>
    </row>
    <row r="319" spans="1:9" x14ac:dyDescent="0.3">
      <c r="A319" s="17" t="s">
        <v>58</v>
      </c>
      <c r="B319" s="17" t="s">
        <v>65</v>
      </c>
      <c r="C319" s="17" t="s">
        <v>113</v>
      </c>
      <c r="D319" s="17" t="s">
        <v>114</v>
      </c>
      <c r="E319" s="17" t="s">
        <v>98</v>
      </c>
      <c r="F319" s="17" t="s">
        <v>139</v>
      </c>
      <c r="G319" s="17">
        <v>133.14378249999999</v>
      </c>
      <c r="H319" s="17">
        <v>117.008333333333</v>
      </c>
      <c r="I319" s="17" t="s">
        <v>115</v>
      </c>
    </row>
    <row r="320" spans="1:9" x14ac:dyDescent="0.3">
      <c r="A320" s="17" t="s">
        <v>58</v>
      </c>
      <c r="B320" s="17" t="s">
        <v>65</v>
      </c>
      <c r="C320" s="17" t="s">
        <v>113</v>
      </c>
      <c r="D320" s="17" t="s">
        <v>114</v>
      </c>
      <c r="E320" s="17" t="s">
        <v>98</v>
      </c>
      <c r="F320" s="17" t="s">
        <v>140</v>
      </c>
      <c r="G320" s="17">
        <v>4203.1389865000001</v>
      </c>
      <c r="H320" s="17">
        <v>3693.7683333333398</v>
      </c>
      <c r="I320" s="17" t="s">
        <v>115</v>
      </c>
    </row>
    <row r="321" spans="1:9" x14ac:dyDescent="0.3">
      <c r="A321" s="17" t="s">
        <v>58</v>
      </c>
      <c r="B321" s="17" t="s">
        <v>65</v>
      </c>
      <c r="C321" s="17" t="s">
        <v>113</v>
      </c>
      <c r="D321" s="17" t="s">
        <v>114</v>
      </c>
      <c r="E321" s="17" t="s">
        <v>98</v>
      </c>
      <c r="F321" s="17" t="s">
        <v>141</v>
      </c>
      <c r="G321" s="17">
        <v>66.684916532258001</v>
      </c>
      <c r="H321" s="17">
        <v>58.603494623655898</v>
      </c>
      <c r="I321" s="17" t="s">
        <v>115</v>
      </c>
    </row>
    <row r="322" spans="1:9" x14ac:dyDescent="0.3">
      <c r="A322" s="17" t="s">
        <v>58</v>
      </c>
      <c r="B322" s="17" t="s">
        <v>65</v>
      </c>
      <c r="C322" s="17" t="s">
        <v>113</v>
      </c>
      <c r="D322" s="17" t="s">
        <v>114</v>
      </c>
      <c r="E322" s="17" t="s">
        <v>96</v>
      </c>
      <c r="F322" s="17" t="s">
        <v>96</v>
      </c>
      <c r="G322" s="17">
        <v>29.597149854126901</v>
      </c>
      <c r="H322" s="17">
        <v>26.010325910999999</v>
      </c>
      <c r="I322" s="17" t="s">
        <v>115</v>
      </c>
    </row>
    <row r="323" spans="1:9" x14ac:dyDescent="0.3">
      <c r="A323" s="17" t="s">
        <v>58</v>
      </c>
      <c r="B323" s="17" t="s">
        <v>65</v>
      </c>
      <c r="C323" s="17" t="s">
        <v>113</v>
      </c>
      <c r="D323" s="17" t="s">
        <v>114</v>
      </c>
      <c r="E323" s="17" t="s">
        <v>97</v>
      </c>
      <c r="F323" s="17" t="s">
        <v>97</v>
      </c>
      <c r="G323" s="17">
        <v>134.04462000000001</v>
      </c>
      <c r="H323" s="17">
        <v>117.8</v>
      </c>
      <c r="I323" s="17" t="s">
        <v>115</v>
      </c>
    </row>
    <row r="324" spans="1:9" x14ac:dyDescent="0.3">
      <c r="A324" s="17" t="s">
        <v>58</v>
      </c>
      <c r="B324" s="17" t="s">
        <v>65</v>
      </c>
      <c r="C324" s="17" t="s">
        <v>113</v>
      </c>
      <c r="D324" s="17" t="s">
        <v>114</v>
      </c>
      <c r="E324" s="17" t="s">
        <v>99</v>
      </c>
      <c r="F324" s="17" t="s">
        <v>142</v>
      </c>
      <c r="G324" s="17">
        <v>142.428931830593</v>
      </c>
      <c r="H324" s="17">
        <v>125.1682325605</v>
      </c>
      <c r="I324" s="17" t="s">
        <v>115</v>
      </c>
    </row>
    <row r="325" spans="1:9" x14ac:dyDescent="0.3">
      <c r="A325" s="17" t="s">
        <v>58</v>
      </c>
      <c r="B325" s="17" t="s">
        <v>65</v>
      </c>
      <c r="C325" s="17" t="s">
        <v>113</v>
      </c>
      <c r="D325" s="17" t="s">
        <v>114</v>
      </c>
      <c r="E325" s="17" t="s">
        <v>99</v>
      </c>
      <c r="F325" s="17" t="s">
        <v>143</v>
      </c>
      <c r="G325" s="17">
        <v>11.1625139387312</v>
      </c>
      <c r="H325" s="17">
        <v>9.8097494847799993</v>
      </c>
      <c r="I325" s="17" t="s">
        <v>115</v>
      </c>
    </row>
    <row r="326" spans="1:9" x14ac:dyDescent="0.3">
      <c r="A326" s="17" t="s">
        <v>58</v>
      </c>
      <c r="B326" s="17" t="s">
        <v>65</v>
      </c>
      <c r="C326" s="17" t="s">
        <v>113</v>
      </c>
      <c r="D326" s="17" t="s">
        <v>114</v>
      </c>
      <c r="E326" s="17" t="s">
        <v>99</v>
      </c>
      <c r="F326" s="17" t="s">
        <v>144</v>
      </c>
      <c r="G326" s="17">
        <v>88.851083272959002</v>
      </c>
      <c r="H326" s="17">
        <v>78.083384544300003</v>
      </c>
      <c r="I326" s="17" t="s">
        <v>115</v>
      </c>
    </row>
    <row r="327" spans="1:9" x14ac:dyDescent="0.3">
      <c r="A327" s="17" t="s">
        <v>58</v>
      </c>
      <c r="B327" s="17" t="s">
        <v>65</v>
      </c>
      <c r="C327" s="17" t="s">
        <v>113</v>
      </c>
      <c r="D327" s="17" t="s">
        <v>114</v>
      </c>
      <c r="E327" s="17" t="s">
        <v>99</v>
      </c>
      <c r="F327" s="17" t="s">
        <v>145</v>
      </c>
      <c r="G327" s="17">
        <v>1.2528791055E-4</v>
      </c>
      <c r="H327" s="17">
        <v>1.101045E-4</v>
      </c>
      <c r="I327" s="17" t="s">
        <v>115</v>
      </c>
    </row>
    <row r="328" spans="1:9" x14ac:dyDescent="0.3">
      <c r="A328" s="17" t="s">
        <v>58</v>
      </c>
      <c r="B328" s="17" t="s">
        <v>65</v>
      </c>
      <c r="C328" s="17" t="s">
        <v>113</v>
      </c>
      <c r="D328" s="17" t="s">
        <v>114</v>
      </c>
      <c r="E328" s="17" t="s">
        <v>99</v>
      </c>
      <c r="F328" s="17" t="s">
        <v>146</v>
      </c>
      <c r="G328" s="17">
        <v>7.7699412770760007E-2</v>
      </c>
      <c r="H328" s="17">
        <v>6.8283164399999999E-2</v>
      </c>
      <c r="I328" s="17" t="s">
        <v>115</v>
      </c>
    </row>
    <row r="329" spans="1:9" x14ac:dyDescent="0.3">
      <c r="A329" s="17" t="s">
        <v>58</v>
      </c>
      <c r="B329" s="17" t="s">
        <v>65</v>
      </c>
      <c r="C329" s="17" t="s">
        <v>113</v>
      </c>
      <c r="D329" s="17" t="s">
        <v>114</v>
      </c>
      <c r="E329" s="17" t="s">
        <v>99</v>
      </c>
      <c r="F329" s="17" t="s">
        <v>147</v>
      </c>
      <c r="G329" s="17">
        <v>9.5867802160027509</v>
      </c>
      <c r="H329" s="17">
        <v>8.4249760224999992</v>
      </c>
      <c r="I329" s="17" t="s">
        <v>115</v>
      </c>
    </row>
    <row r="330" spans="1:9" x14ac:dyDescent="0.3">
      <c r="A330" s="17" t="s">
        <v>58</v>
      </c>
      <c r="B330" s="17" t="s">
        <v>65</v>
      </c>
      <c r="C330" s="17" t="s">
        <v>113</v>
      </c>
      <c r="D330" s="17" t="s">
        <v>114</v>
      </c>
      <c r="E330" s="17" t="s">
        <v>99</v>
      </c>
      <c r="F330" s="17" t="s">
        <v>148</v>
      </c>
      <c r="G330" s="17">
        <v>1015.41954436217</v>
      </c>
      <c r="H330" s="17">
        <v>892.36272463499995</v>
      </c>
      <c r="I330" s="17" t="s">
        <v>115</v>
      </c>
    </row>
    <row r="331" spans="1:9" x14ac:dyDescent="0.3">
      <c r="A331" s="17" t="s">
        <v>58</v>
      </c>
      <c r="B331" s="17" t="s">
        <v>65</v>
      </c>
      <c r="C331" s="17" t="s">
        <v>113</v>
      </c>
      <c r="D331" s="17" t="s">
        <v>114</v>
      </c>
      <c r="E331" s="17" t="s">
        <v>99</v>
      </c>
      <c r="F331" s="17" t="s">
        <v>149</v>
      </c>
      <c r="G331" s="17">
        <v>8.8291936799999992E-6</v>
      </c>
      <c r="H331" s="17">
        <v>7.7592000000000002E-6</v>
      </c>
      <c r="I331" s="17" t="s">
        <v>115</v>
      </c>
    </row>
    <row r="332" spans="1:9" x14ac:dyDescent="0.3">
      <c r="A332" s="17" t="s">
        <v>58</v>
      </c>
      <c r="B332" s="17" t="s">
        <v>65</v>
      </c>
      <c r="C332" s="17" t="s">
        <v>113</v>
      </c>
      <c r="D332" s="17" t="s">
        <v>114</v>
      </c>
      <c r="E332" s="17" t="s">
        <v>99</v>
      </c>
      <c r="F332" s="17" t="s">
        <v>150</v>
      </c>
      <c r="G332" s="17">
        <v>6.8237905812000002E-4</v>
      </c>
      <c r="H332" s="17">
        <v>5.9968279999999998E-4</v>
      </c>
      <c r="I332" s="17" t="s">
        <v>115</v>
      </c>
    </row>
    <row r="333" spans="1:9" x14ac:dyDescent="0.3">
      <c r="A333" s="17" t="s">
        <v>58</v>
      </c>
      <c r="B333" s="17" t="s">
        <v>65</v>
      </c>
      <c r="C333" s="17" t="s">
        <v>113</v>
      </c>
      <c r="D333" s="17" t="s">
        <v>114</v>
      </c>
      <c r="E333" s="17" t="s">
        <v>99</v>
      </c>
      <c r="F333" s="17" t="s">
        <v>151</v>
      </c>
      <c r="G333" s="17">
        <v>5.2198663315437299</v>
      </c>
      <c r="H333" s="17">
        <v>4.5872803687000001</v>
      </c>
      <c r="I333" s="17" t="s">
        <v>115</v>
      </c>
    </row>
    <row r="334" spans="1:9" x14ac:dyDescent="0.3">
      <c r="A334" s="17" t="s">
        <v>58</v>
      </c>
      <c r="B334" s="17" t="s">
        <v>65</v>
      </c>
      <c r="C334" s="17" t="s">
        <v>113</v>
      </c>
      <c r="D334" s="17" t="s">
        <v>114</v>
      </c>
      <c r="E334" s="17" t="s">
        <v>99</v>
      </c>
      <c r="F334" s="17" t="s">
        <v>152</v>
      </c>
      <c r="G334" s="17">
        <v>34.982417158470597</v>
      </c>
      <c r="H334" s="17">
        <v>30.742962614</v>
      </c>
      <c r="I334" s="17" t="s">
        <v>115</v>
      </c>
    </row>
    <row r="335" spans="1:9" x14ac:dyDescent="0.3">
      <c r="A335" s="17" t="s">
        <v>58</v>
      </c>
      <c r="B335" s="17" t="s">
        <v>65</v>
      </c>
      <c r="C335" s="17" t="s">
        <v>113</v>
      </c>
      <c r="D335" s="17" t="s">
        <v>114</v>
      </c>
      <c r="E335" s="17" t="s">
        <v>99</v>
      </c>
      <c r="F335" s="17" t="s">
        <v>153</v>
      </c>
      <c r="G335" s="17">
        <v>0.90200052202518</v>
      </c>
      <c r="H335" s="17">
        <v>0.79268874420000002</v>
      </c>
      <c r="I335" s="17" t="s">
        <v>115</v>
      </c>
    </row>
    <row r="336" spans="1:9" x14ac:dyDescent="0.3">
      <c r="A336" s="17" t="s">
        <v>58</v>
      </c>
      <c r="B336" s="17" t="s">
        <v>65</v>
      </c>
      <c r="C336" s="17" t="s">
        <v>113</v>
      </c>
      <c r="D336" s="17" t="s">
        <v>114</v>
      </c>
      <c r="E336" s="17" t="s">
        <v>99</v>
      </c>
      <c r="F336" s="17" t="s">
        <v>154</v>
      </c>
      <c r="G336" s="17">
        <v>7.2682163153399999E-3</v>
      </c>
      <c r="H336" s="17">
        <v>6.3873945999999996E-3</v>
      </c>
      <c r="I336" s="17" t="s">
        <v>115</v>
      </c>
    </row>
    <row r="337" spans="1:9" x14ac:dyDescent="0.3">
      <c r="A337" s="17" t="s">
        <v>58</v>
      </c>
      <c r="B337" s="17" t="s">
        <v>65</v>
      </c>
      <c r="C337" s="17" t="s">
        <v>113</v>
      </c>
      <c r="D337" s="17" t="s">
        <v>114</v>
      </c>
      <c r="E337" s="17" t="s">
        <v>101</v>
      </c>
      <c r="F337" s="17" t="s">
        <v>170</v>
      </c>
      <c r="G337" s="17">
        <v>31.496789239999998</v>
      </c>
      <c r="H337" s="17">
        <v>27.679751507162301</v>
      </c>
      <c r="I337" s="17" t="s">
        <v>115</v>
      </c>
    </row>
    <row r="338" spans="1:9" x14ac:dyDescent="0.3">
      <c r="A338" s="17" t="s">
        <v>58</v>
      </c>
      <c r="B338" s="17" t="s">
        <v>65</v>
      </c>
      <c r="C338" s="17" t="s">
        <v>113</v>
      </c>
      <c r="D338" s="17" t="s">
        <v>114</v>
      </c>
      <c r="E338" s="17" t="s">
        <v>101</v>
      </c>
      <c r="F338" s="17" t="s">
        <v>173</v>
      </c>
      <c r="G338" s="17">
        <v>137.12752111034399</v>
      </c>
      <c r="H338" s="17">
        <v>120.509290017</v>
      </c>
      <c r="I338" s="17" t="s">
        <v>115</v>
      </c>
    </row>
    <row r="339" spans="1:9" x14ac:dyDescent="0.3">
      <c r="A339" s="17" t="s">
        <v>58</v>
      </c>
      <c r="B339" s="17" t="s">
        <v>65</v>
      </c>
      <c r="C339" s="17" t="s">
        <v>113</v>
      </c>
      <c r="D339" s="17" t="s">
        <v>114</v>
      </c>
      <c r="E339" s="17" t="s">
        <v>101</v>
      </c>
      <c r="F339" s="17" t="s">
        <v>156</v>
      </c>
      <c r="G339" s="17">
        <v>25.6257645318173</v>
      </c>
      <c r="H339" s="17">
        <v>22.520225443200001</v>
      </c>
      <c r="I339" s="17" t="s">
        <v>115</v>
      </c>
    </row>
    <row r="340" spans="1:9" x14ac:dyDescent="0.3">
      <c r="A340" s="17" t="s">
        <v>58</v>
      </c>
      <c r="B340" s="17" t="s">
        <v>65</v>
      </c>
      <c r="C340" s="17" t="s">
        <v>113</v>
      </c>
      <c r="D340" s="17" t="s">
        <v>114</v>
      </c>
      <c r="E340" s="17" t="s">
        <v>101</v>
      </c>
      <c r="F340" s="17" t="s">
        <v>157</v>
      </c>
      <c r="G340" s="17">
        <v>3770.38258875978</v>
      </c>
      <c r="H340" s="17">
        <v>3313.4568844009</v>
      </c>
      <c r="I340" s="17" t="s">
        <v>115</v>
      </c>
    </row>
    <row r="341" spans="1:9" x14ac:dyDescent="0.3">
      <c r="A341" s="17" t="s">
        <v>58</v>
      </c>
      <c r="B341" s="17" t="s">
        <v>65</v>
      </c>
      <c r="C341" s="17" t="s">
        <v>113</v>
      </c>
      <c r="D341" s="17" t="s">
        <v>114</v>
      </c>
      <c r="E341" s="17" t="s">
        <v>101</v>
      </c>
      <c r="F341" s="17" t="s">
        <v>158</v>
      </c>
      <c r="G341" s="17">
        <v>459.26892162794502</v>
      </c>
      <c r="H341" s="17">
        <v>403.61096900249998</v>
      </c>
      <c r="I341" s="17" t="s">
        <v>115</v>
      </c>
    </row>
    <row r="342" spans="1:9" x14ac:dyDescent="0.3">
      <c r="A342" s="17" t="s">
        <v>58</v>
      </c>
      <c r="B342" s="17" t="s">
        <v>65</v>
      </c>
      <c r="C342" s="17" t="s">
        <v>113</v>
      </c>
      <c r="D342" s="17" t="s">
        <v>114</v>
      </c>
      <c r="E342" s="17" t="s">
        <v>101</v>
      </c>
      <c r="F342" s="17" t="s">
        <v>159</v>
      </c>
      <c r="G342" s="17">
        <v>122.035704012547</v>
      </c>
      <c r="H342" s="17">
        <v>107.246422368</v>
      </c>
      <c r="I342" s="17" t="s">
        <v>115</v>
      </c>
    </row>
    <row r="343" spans="1:9" x14ac:dyDescent="0.3">
      <c r="A343" s="17" t="s">
        <v>58</v>
      </c>
      <c r="B343" s="17" t="s">
        <v>65</v>
      </c>
      <c r="C343" s="17" t="s">
        <v>113</v>
      </c>
      <c r="D343" s="17" t="s">
        <v>114</v>
      </c>
      <c r="E343" s="17" t="s">
        <v>101</v>
      </c>
      <c r="F343" s="17" t="s">
        <v>160</v>
      </c>
      <c r="G343" s="17">
        <v>668.66697034650497</v>
      </c>
      <c r="H343" s="17">
        <v>587.63245482599996</v>
      </c>
      <c r="I343" s="17" t="s">
        <v>115</v>
      </c>
    </row>
    <row r="344" spans="1:9" x14ac:dyDescent="0.3">
      <c r="A344" s="17" t="s">
        <v>58</v>
      </c>
      <c r="B344" s="17" t="s">
        <v>65</v>
      </c>
      <c r="C344" s="17" t="s">
        <v>113</v>
      </c>
      <c r="D344" s="17" t="s">
        <v>114</v>
      </c>
      <c r="E344" s="17" t="s">
        <v>101</v>
      </c>
      <c r="F344" s="17" t="s">
        <v>161</v>
      </c>
      <c r="G344" s="17">
        <v>61.896958116505402</v>
      </c>
      <c r="H344" s="17">
        <v>54.395780047899997</v>
      </c>
      <c r="I344" s="17" t="s">
        <v>115</v>
      </c>
    </row>
    <row r="345" spans="1:9" x14ac:dyDescent="0.3">
      <c r="A345" s="17" t="s">
        <v>58</v>
      </c>
      <c r="B345" s="17" t="s">
        <v>65</v>
      </c>
      <c r="C345" s="17" t="s">
        <v>113</v>
      </c>
      <c r="D345" s="17" t="s">
        <v>114</v>
      </c>
      <c r="E345" s="17" t="s">
        <v>101</v>
      </c>
      <c r="F345" s="17" t="s">
        <v>162</v>
      </c>
      <c r="G345" s="17">
        <v>142.03769219773801</v>
      </c>
      <c r="H345" s="17">
        <v>124.824406536372</v>
      </c>
      <c r="I345" s="17" t="s">
        <v>115</v>
      </c>
    </row>
    <row r="346" spans="1:9" x14ac:dyDescent="0.3">
      <c r="A346" s="17" t="s">
        <v>58</v>
      </c>
      <c r="B346" s="17" t="s">
        <v>65</v>
      </c>
      <c r="C346" s="17" t="s">
        <v>113</v>
      </c>
      <c r="D346" s="17" t="s">
        <v>114</v>
      </c>
      <c r="E346" s="17" t="s">
        <v>101</v>
      </c>
      <c r="F346" s="17" t="s">
        <v>163</v>
      </c>
      <c r="G346" s="17">
        <v>195.29479579303199</v>
      </c>
      <c r="H346" s="17">
        <v>171.62738007999999</v>
      </c>
      <c r="I346" s="17" t="s">
        <v>115</v>
      </c>
    </row>
    <row r="347" spans="1:9" x14ac:dyDescent="0.3">
      <c r="A347" s="17" t="s">
        <v>58</v>
      </c>
      <c r="B347" s="17" t="s">
        <v>65</v>
      </c>
      <c r="C347" s="17" t="s">
        <v>113</v>
      </c>
      <c r="D347" s="17" t="s">
        <v>114</v>
      </c>
      <c r="E347" s="17" t="s">
        <v>101</v>
      </c>
      <c r="F347" s="17" t="s">
        <v>164</v>
      </c>
      <c r="G347" s="17">
        <v>0.47843014091144997</v>
      </c>
      <c r="H347" s="17">
        <v>0.42045007550000002</v>
      </c>
      <c r="I347" s="17" t="s">
        <v>115</v>
      </c>
    </row>
    <row r="348" spans="1:9" x14ac:dyDescent="0.3">
      <c r="A348" s="17" t="s">
        <v>58</v>
      </c>
      <c r="B348" s="17" t="s">
        <v>65</v>
      </c>
      <c r="C348" s="17" t="s">
        <v>113</v>
      </c>
      <c r="D348" s="17" t="s">
        <v>114</v>
      </c>
      <c r="E348" s="17" t="s">
        <v>102</v>
      </c>
      <c r="F348" s="17" t="s">
        <v>165</v>
      </c>
      <c r="G348" s="17">
        <v>34.801399185562502</v>
      </c>
      <c r="H348" s="17">
        <v>30.583881874999999</v>
      </c>
      <c r="I348" s="17" t="s">
        <v>115</v>
      </c>
    </row>
    <row r="349" spans="1:9" x14ac:dyDescent="0.3">
      <c r="A349" s="17" t="s">
        <v>58</v>
      </c>
      <c r="B349" s="17" t="s">
        <v>65</v>
      </c>
      <c r="C349" s="17" t="s">
        <v>113</v>
      </c>
      <c r="D349" s="17" t="s">
        <v>114</v>
      </c>
      <c r="E349" s="17" t="s">
        <v>102</v>
      </c>
      <c r="F349" s="17" t="s">
        <v>166</v>
      </c>
      <c r="G349" s="17">
        <v>474.49206955555201</v>
      </c>
      <c r="H349" s="17">
        <v>416.98925174053198</v>
      </c>
      <c r="I349" s="17" t="s">
        <v>115</v>
      </c>
    </row>
    <row r="350" spans="1:9" x14ac:dyDescent="0.3">
      <c r="A350" s="17" t="s">
        <v>58</v>
      </c>
      <c r="B350" s="17" t="s">
        <v>65</v>
      </c>
      <c r="C350" s="17" t="s">
        <v>113</v>
      </c>
      <c r="D350" s="17" t="s">
        <v>114</v>
      </c>
      <c r="E350" s="17" t="s">
        <v>103</v>
      </c>
      <c r="F350" s="17" t="s">
        <v>103</v>
      </c>
      <c r="G350" s="17">
        <v>33.475880099999998</v>
      </c>
      <c r="H350" s="17">
        <v>29.419</v>
      </c>
      <c r="I350" s="17" t="s">
        <v>115</v>
      </c>
    </row>
    <row r="351" spans="1:9" x14ac:dyDescent="0.3">
      <c r="A351" s="17" t="s">
        <v>58</v>
      </c>
      <c r="B351" s="17" t="s">
        <v>65</v>
      </c>
      <c r="C351" s="17" t="s">
        <v>167</v>
      </c>
      <c r="D351" s="17" t="s">
        <v>168</v>
      </c>
      <c r="E351" s="17" t="s">
        <v>100</v>
      </c>
      <c r="F351" s="17" t="s">
        <v>100</v>
      </c>
      <c r="G351" s="17">
        <v>0</v>
      </c>
      <c r="H351" s="17">
        <v>0</v>
      </c>
      <c r="I351" s="17" t="s">
        <v>115</v>
      </c>
    </row>
    <row r="352" spans="1:9" x14ac:dyDescent="0.3">
      <c r="A352" s="17" t="s">
        <v>58</v>
      </c>
      <c r="B352" s="17" t="s">
        <v>65</v>
      </c>
      <c r="C352" s="17" t="s">
        <v>167</v>
      </c>
      <c r="D352" s="17" t="s">
        <v>114</v>
      </c>
      <c r="E352" s="17" t="s">
        <v>100</v>
      </c>
      <c r="F352" s="17" t="s">
        <v>100</v>
      </c>
      <c r="G352" s="17">
        <v>267.740366926359</v>
      </c>
      <c r="H352" s="17">
        <v>235.29340621</v>
      </c>
      <c r="I352" s="17" t="s">
        <v>115</v>
      </c>
    </row>
    <row r="353" spans="1:9" x14ac:dyDescent="0.3">
      <c r="A353" s="17" t="s">
        <v>58</v>
      </c>
      <c r="B353" s="17" t="s">
        <v>66</v>
      </c>
      <c r="C353" s="17" t="s">
        <v>113</v>
      </c>
      <c r="D353" s="17" t="s">
        <v>114</v>
      </c>
      <c r="E353" s="17" t="s">
        <v>71</v>
      </c>
      <c r="F353" s="17" t="s">
        <v>71</v>
      </c>
      <c r="G353" s="17">
        <v>56.812893600000002</v>
      </c>
      <c r="H353" s="17">
        <v>50.268000000000001</v>
      </c>
      <c r="I353" s="17" t="s">
        <v>115</v>
      </c>
    </row>
    <row r="354" spans="1:9" x14ac:dyDescent="0.3">
      <c r="A354" s="17" t="s">
        <v>58</v>
      </c>
      <c r="B354" s="17" t="s">
        <v>66</v>
      </c>
      <c r="C354" s="17" t="s">
        <v>113</v>
      </c>
      <c r="D354" s="17" t="s">
        <v>114</v>
      </c>
      <c r="E354" s="17" t="s">
        <v>72</v>
      </c>
      <c r="F354" s="17" t="s">
        <v>116</v>
      </c>
      <c r="G354" s="17">
        <v>181.57069872</v>
      </c>
      <c r="H354" s="17">
        <v>160.65360000000001</v>
      </c>
      <c r="I354" s="17" t="s">
        <v>115</v>
      </c>
    </row>
    <row r="355" spans="1:9" x14ac:dyDescent="0.3">
      <c r="A355" s="17" t="s">
        <v>58</v>
      </c>
      <c r="B355" s="17" t="s">
        <v>66</v>
      </c>
      <c r="C355" s="17" t="s">
        <v>113</v>
      </c>
      <c r="D355" s="17" t="s">
        <v>114</v>
      </c>
      <c r="E355" s="17" t="s">
        <v>73</v>
      </c>
      <c r="F355" s="17" t="s">
        <v>169</v>
      </c>
      <c r="G355" s="17">
        <v>0</v>
      </c>
      <c r="H355" s="17">
        <v>0</v>
      </c>
      <c r="I355" s="17" t="s">
        <v>115</v>
      </c>
    </row>
    <row r="356" spans="1:9" x14ac:dyDescent="0.3">
      <c r="A356" s="17" t="s">
        <v>58</v>
      </c>
      <c r="B356" s="17" t="s">
        <v>66</v>
      </c>
      <c r="C356" s="17" t="s">
        <v>113</v>
      </c>
      <c r="D356" s="17" t="s">
        <v>114</v>
      </c>
      <c r="E356" s="17" t="s">
        <v>73</v>
      </c>
      <c r="F356" s="17" t="s">
        <v>117</v>
      </c>
      <c r="G356" s="17">
        <v>0</v>
      </c>
      <c r="H356" s="17">
        <v>0</v>
      </c>
      <c r="I356" s="17" t="s">
        <v>115</v>
      </c>
    </row>
    <row r="357" spans="1:9" x14ac:dyDescent="0.3">
      <c r="A357" s="17" t="s">
        <v>58</v>
      </c>
      <c r="B357" s="17" t="s">
        <v>66</v>
      </c>
      <c r="C357" s="17" t="s">
        <v>113</v>
      </c>
      <c r="D357" s="17" t="s">
        <v>114</v>
      </c>
      <c r="E357" s="17" t="s">
        <v>73</v>
      </c>
      <c r="F357" s="17" t="s">
        <v>118</v>
      </c>
      <c r="G357" s="17">
        <v>536.02357064</v>
      </c>
      <c r="H357" s="17">
        <v>474.27319999999997</v>
      </c>
      <c r="I357" s="17" t="s">
        <v>115</v>
      </c>
    </row>
    <row r="358" spans="1:9" x14ac:dyDescent="0.3">
      <c r="A358" s="17" t="s">
        <v>58</v>
      </c>
      <c r="B358" s="17" t="s">
        <v>66</v>
      </c>
      <c r="C358" s="17" t="s">
        <v>113</v>
      </c>
      <c r="D358" s="17" t="s">
        <v>114</v>
      </c>
      <c r="E358" s="17" t="s">
        <v>73</v>
      </c>
      <c r="F358" s="17" t="s">
        <v>119</v>
      </c>
      <c r="G358" s="17">
        <v>954.15049585701399</v>
      </c>
      <c r="H358" s="17">
        <v>844.23154827200005</v>
      </c>
      <c r="I358" s="17" t="s">
        <v>115</v>
      </c>
    </row>
    <row r="359" spans="1:9" x14ac:dyDescent="0.3">
      <c r="A359" s="17" t="s">
        <v>58</v>
      </c>
      <c r="B359" s="17" t="s">
        <v>66</v>
      </c>
      <c r="C359" s="17" t="s">
        <v>113</v>
      </c>
      <c r="D359" s="17" t="s">
        <v>114</v>
      </c>
      <c r="E359" s="17" t="s">
        <v>73</v>
      </c>
      <c r="F359" s="17" t="s">
        <v>120</v>
      </c>
      <c r="G359" s="17">
        <v>28.691665929862999</v>
      </c>
      <c r="H359" s="17">
        <v>25.386361643835599</v>
      </c>
      <c r="I359" s="17" t="s">
        <v>115</v>
      </c>
    </row>
    <row r="360" spans="1:9" x14ac:dyDescent="0.3">
      <c r="A360" s="17" t="s">
        <v>58</v>
      </c>
      <c r="B360" s="17" t="s">
        <v>66</v>
      </c>
      <c r="C360" s="17" t="s">
        <v>113</v>
      </c>
      <c r="D360" s="17" t="s">
        <v>114</v>
      </c>
      <c r="E360" s="17" t="s">
        <v>74</v>
      </c>
      <c r="F360" s="17" t="s">
        <v>121</v>
      </c>
      <c r="G360" s="17">
        <v>0.18670903999999999</v>
      </c>
      <c r="H360" s="17">
        <v>0.16520000000000001</v>
      </c>
      <c r="I360" s="17" t="s">
        <v>115</v>
      </c>
    </row>
    <row r="361" spans="1:9" x14ac:dyDescent="0.3">
      <c r="A361" s="17" t="s">
        <v>58</v>
      </c>
      <c r="B361" s="17" t="s">
        <v>66</v>
      </c>
      <c r="C361" s="17" t="s">
        <v>113</v>
      </c>
      <c r="D361" s="17" t="s">
        <v>114</v>
      </c>
      <c r="E361" s="17" t="s">
        <v>76</v>
      </c>
      <c r="F361" s="17" t="s">
        <v>122</v>
      </c>
      <c r="G361" s="17">
        <v>145.66017600000001</v>
      </c>
      <c r="H361" s="17">
        <v>128.88</v>
      </c>
      <c r="I361" s="17" t="s">
        <v>115</v>
      </c>
    </row>
    <row r="362" spans="1:9" x14ac:dyDescent="0.3">
      <c r="A362" s="17" t="s">
        <v>58</v>
      </c>
      <c r="B362" s="17" t="s">
        <v>66</v>
      </c>
      <c r="C362" s="17" t="s">
        <v>113</v>
      </c>
      <c r="D362" s="17" t="s">
        <v>114</v>
      </c>
      <c r="E362" s="17" t="s">
        <v>80</v>
      </c>
      <c r="F362" s="17" t="s">
        <v>80</v>
      </c>
      <c r="G362" s="17">
        <v>0.69208529136268404</v>
      </c>
      <c r="H362" s="17">
        <v>0.61235647793548398</v>
      </c>
      <c r="I362" s="17" t="s">
        <v>115</v>
      </c>
    </row>
    <row r="363" spans="1:9" x14ac:dyDescent="0.3">
      <c r="A363" s="17" t="s">
        <v>58</v>
      </c>
      <c r="B363" s="17" t="s">
        <v>66</v>
      </c>
      <c r="C363" s="17" t="s">
        <v>113</v>
      </c>
      <c r="D363" s="17" t="s">
        <v>114</v>
      </c>
      <c r="E363" s="17" t="s">
        <v>77</v>
      </c>
      <c r="F363" s="17" t="s">
        <v>77</v>
      </c>
      <c r="G363" s="17">
        <v>7.9351341999999998E-4</v>
      </c>
      <c r="H363" s="17">
        <v>7.0209999999999999E-4</v>
      </c>
      <c r="I363" s="17" t="s">
        <v>115</v>
      </c>
    </row>
    <row r="364" spans="1:9" x14ac:dyDescent="0.3">
      <c r="A364" s="17" t="s">
        <v>58</v>
      </c>
      <c r="B364" s="17" t="s">
        <v>66</v>
      </c>
      <c r="C364" s="17" t="s">
        <v>113</v>
      </c>
      <c r="D364" s="17" t="s">
        <v>114</v>
      </c>
      <c r="E364" s="17" t="s">
        <v>78</v>
      </c>
      <c r="F364" s="17" t="s">
        <v>123</v>
      </c>
      <c r="G364" s="17">
        <v>14.760480055053799</v>
      </c>
      <c r="H364" s="17">
        <v>13.060060215053801</v>
      </c>
      <c r="I364" s="17" t="s">
        <v>115</v>
      </c>
    </row>
    <row r="365" spans="1:9" x14ac:dyDescent="0.3">
      <c r="A365" s="17" t="s">
        <v>58</v>
      </c>
      <c r="B365" s="17" t="s">
        <v>66</v>
      </c>
      <c r="C365" s="17" t="s">
        <v>113</v>
      </c>
      <c r="D365" s="17" t="s">
        <v>114</v>
      </c>
      <c r="E365" s="17" t="s">
        <v>78</v>
      </c>
      <c r="F365" s="17" t="s">
        <v>124</v>
      </c>
      <c r="G365" s="17">
        <v>225.75745000000001</v>
      </c>
      <c r="H365" s="17">
        <v>199.75</v>
      </c>
      <c r="I365" s="17" t="s">
        <v>115</v>
      </c>
    </row>
    <row r="366" spans="1:9" x14ac:dyDescent="0.3">
      <c r="A366" s="17" t="s">
        <v>58</v>
      </c>
      <c r="B366" s="17" t="s">
        <v>66</v>
      </c>
      <c r="C366" s="17" t="s">
        <v>113</v>
      </c>
      <c r="D366" s="17" t="s">
        <v>114</v>
      </c>
      <c r="E366" s="17" t="s">
        <v>78</v>
      </c>
      <c r="F366" s="17" t="s">
        <v>125</v>
      </c>
      <c r="G366" s="17">
        <v>194.9730624</v>
      </c>
      <c r="H366" s="17">
        <v>172.512</v>
      </c>
      <c r="I366" s="17" t="s">
        <v>115</v>
      </c>
    </row>
    <row r="367" spans="1:9" x14ac:dyDescent="0.3">
      <c r="A367" s="17" t="s">
        <v>58</v>
      </c>
      <c r="B367" s="17" t="s">
        <v>66</v>
      </c>
      <c r="C367" s="17" t="s">
        <v>113</v>
      </c>
      <c r="D367" s="17" t="s">
        <v>114</v>
      </c>
      <c r="E367" s="17" t="s">
        <v>79</v>
      </c>
      <c r="F367" s="17" t="s">
        <v>126</v>
      </c>
      <c r="G367" s="17">
        <v>2728.2075255474601</v>
      </c>
      <c r="H367" s="17">
        <v>2413.9157012453202</v>
      </c>
      <c r="I367" s="17" t="s">
        <v>115</v>
      </c>
    </row>
    <row r="368" spans="1:9" x14ac:dyDescent="0.3">
      <c r="A368" s="17" t="s">
        <v>58</v>
      </c>
      <c r="B368" s="17" t="s">
        <v>66</v>
      </c>
      <c r="C368" s="17" t="s">
        <v>113</v>
      </c>
      <c r="D368" s="17" t="s">
        <v>114</v>
      </c>
      <c r="E368" s="17" t="s">
        <v>79</v>
      </c>
      <c r="F368" s="17" t="s">
        <v>79</v>
      </c>
      <c r="G368" s="17">
        <v>1896.1144491871501</v>
      </c>
      <c r="H368" s="17">
        <v>1677.68045406756</v>
      </c>
      <c r="I368" s="17" t="s">
        <v>115</v>
      </c>
    </row>
    <row r="369" spans="1:9" x14ac:dyDescent="0.3">
      <c r="A369" s="17" t="s">
        <v>58</v>
      </c>
      <c r="B369" s="17" t="s">
        <v>66</v>
      </c>
      <c r="C369" s="17" t="s">
        <v>113</v>
      </c>
      <c r="D369" s="17" t="s">
        <v>114</v>
      </c>
      <c r="E369" s="17" t="s">
        <v>81</v>
      </c>
      <c r="F369" s="17" t="s">
        <v>81</v>
      </c>
      <c r="G369" s="17">
        <v>258.99959268326302</v>
      </c>
      <c r="H369" s="17">
        <v>229.16261961003701</v>
      </c>
      <c r="I369" s="17" t="s">
        <v>115</v>
      </c>
    </row>
    <row r="370" spans="1:9" x14ac:dyDescent="0.3">
      <c r="A370" s="17" t="s">
        <v>58</v>
      </c>
      <c r="B370" s="17" t="s">
        <v>66</v>
      </c>
      <c r="C370" s="17" t="s">
        <v>113</v>
      </c>
      <c r="D370" s="17" t="s">
        <v>114</v>
      </c>
      <c r="E370" s="17" t="s">
        <v>82</v>
      </c>
      <c r="F370" s="17" t="s">
        <v>82</v>
      </c>
      <c r="G370" s="17">
        <v>104.64781121107499</v>
      </c>
      <c r="H370" s="17">
        <v>92.592294470956304</v>
      </c>
      <c r="I370" s="17" t="s">
        <v>115</v>
      </c>
    </row>
    <row r="371" spans="1:9" x14ac:dyDescent="0.3">
      <c r="A371" s="17" t="s">
        <v>58</v>
      </c>
      <c r="B371" s="17" t="s">
        <v>66</v>
      </c>
      <c r="C371" s="17" t="s">
        <v>113</v>
      </c>
      <c r="D371" s="17" t="s">
        <v>114</v>
      </c>
      <c r="E371" s="17" t="s">
        <v>83</v>
      </c>
      <c r="F371" s="17" t="s">
        <v>127</v>
      </c>
      <c r="G371" s="17">
        <v>0.84279847908611405</v>
      </c>
      <c r="H371" s="17">
        <v>0.74570737841631096</v>
      </c>
      <c r="I371" s="17" t="s">
        <v>115</v>
      </c>
    </row>
    <row r="372" spans="1:9" x14ac:dyDescent="0.3">
      <c r="A372" s="17" t="s">
        <v>58</v>
      </c>
      <c r="B372" s="17" t="s">
        <v>66</v>
      </c>
      <c r="C372" s="17" t="s">
        <v>113</v>
      </c>
      <c r="D372" s="17" t="s">
        <v>114</v>
      </c>
      <c r="E372" s="17" t="s">
        <v>83</v>
      </c>
      <c r="F372" s="17" t="s">
        <v>128</v>
      </c>
      <c r="G372" s="17">
        <v>63.0457105257981</v>
      </c>
      <c r="H372" s="17">
        <v>55.782791121746698</v>
      </c>
      <c r="I372" s="17" t="s">
        <v>115</v>
      </c>
    </row>
    <row r="373" spans="1:9" x14ac:dyDescent="0.3">
      <c r="A373" s="17" t="s">
        <v>58</v>
      </c>
      <c r="B373" s="17" t="s">
        <v>66</v>
      </c>
      <c r="C373" s="17" t="s">
        <v>113</v>
      </c>
      <c r="D373" s="17" t="s">
        <v>114</v>
      </c>
      <c r="E373" s="17" t="s">
        <v>84</v>
      </c>
      <c r="F373" s="17" t="s">
        <v>129</v>
      </c>
      <c r="G373" s="17">
        <v>14479.0113744911</v>
      </c>
      <c r="H373" s="17">
        <v>12811.016965573501</v>
      </c>
      <c r="I373" s="17" t="s">
        <v>115</v>
      </c>
    </row>
    <row r="374" spans="1:9" x14ac:dyDescent="0.3">
      <c r="A374" s="17" t="s">
        <v>58</v>
      </c>
      <c r="B374" s="17" t="s">
        <v>66</v>
      </c>
      <c r="C374" s="17" t="s">
        <v>113</v>
      </c>
      <c r="D374" s="17" t="s">
        <v>114</v>
      </c>
      <c r="E374" s="17" t="s">
        <v>85</v>
      </c>
      <c r="F374" s="17" t="s">
        <v>85</v>
      </c>
      <c r="G374" s="17">
        <v>138.388442435505</v>
      </c>
      <c r="H374" s="17">
        <v>122.445976318798</v>
      </c>
      <c r="I374" s="17" t="s">
        <v>115</v>
      </c>
    </row>
    <row r="375" spans="1:9" x14ac:dyDescent="0.3">
      <c r="A375" s="17" t="s">
        <v>58</v>
      </c>
      <c r="B375" s="17" t="s">
        <v>66</v>
      </c>
      <c r="C375" s="17" t="s">
        <v>113</v>
      </c>
      <c r="D375" s="17" t="s">
        <v>114</v>
      </c>
      <c r="E375" s="17" t="s">
        <v>87</v>
      </c>
      <c r="F375" s="17" t="s">
        <v>87</v>
      </c>
      <c r="G375" s="17">
        <v>7.1274742067448003</v>
      </c>
      <c r="H375" s="17">
        <v>6.3063831239999999</v>
      </c>
      <c r="I375" s="17" t="s">
        <v>115</v>
      </c>
    </row>
    <row r="376" spans="1:9" x14ac:dyDescent="0.3">
      <c r="A376" s="17" t="s">
        <v>58</v>
      </c>
      <c r="B376" s="17" t="s">
        <v>66</v>
      </c>
      <c r="C376" s="17" t="s">
        <v>113</v>
      </c>
      <c r="D376" s="17" t="s">
        <v>114</v>
      </c>
      <c r="E376" s="17" t="s">
        <v>88</v>
      </c>
      <c r="F376" s="17" t="s">
        <v>88</v>
      </c>
      <c r="G376" s="17">
        <v>12.9797623712742</v>
      </c>
      <c r="H376" s="17">
        <v>11.484482720999999</v>
      </c>
      <c r="I376" s="17" t="s">
        <v>115</v>
      </c>
    </row>
    <row r="377" spans="1:9" x14ac:dyDescent="0.3">
      <c r="A377" s="17" t="s">
        <v>58</v>
      </c>
      <c r="B377" s="17" t="s">
        <v>66</v>
      </c>
      <c r="C377" s="17" t="s">
        <v>113</v>
      </c>
      <c r="D377" s="17" t="s">
        <v>114</v>
      </c>
      <c r="E377" s="17" t="s">
        <v>89</v>
      </c>
      <c r="F377" s="17" t="s">
        <v>89</v>
      </c>
      <c r="G377" s="17">
        <v>154.62063491848801</v>
      </c>
      <c r="H377" s="17">
        <v>136.80820643999999</v>
      </c>
      <c r="I377" s="17" t="s">
        <v>115</v>
      </c>
    </row>
    <row r="378" spans="1:9" x14ac:dyDescent="0.3">
      <c r="A378" s="17" t="s">
        <v>58</v>
      </c>
      <c r="B378" s="17" t="s">
        <v>66</v>
      </c>
      <c r="C378" s="17" t="s">
        <v>113</v>
      </c>
      <c r="D378" s="17" t="s">
        <v>114</v>
      </c>
      <c r="E378" s="17" t="s">
        <v>90</v>
      </c>
      <c r="F378" s="17" t="s">
        <v>90</v>
      </c>
      <c r="G378" s="17">
        <v>297.23649003983098</v>
      </c>
      <c r="H378" s="17">
        <v>262.99459391243198</v>
      </c>
      <c r="I378" s="17" t="s">
        <v>115</v>
      </c>
    </row>
    <row r="379" spans="1:9" x14ac:dyDescent="0.3">
      <c r="A379" s="17" t="s">
        <v>58</v>
      </c>
      <c r="B379" s="17" t="s">
        <v>66</v>
      </c>
      <c r="C379" s="17" t="s">
        <v>113</v>
      </c>
      <c r="D379" s="17" t="s">
        <v>114</v>
      </c>
      <c r="E379" s="17" t="s">
        <v>91</v>
      </c>
      <c r="F379" s="17" t="s">
        <v>91</v>
      </c>
      <c r="G379" s="17">
        <v>24.270760747376301</v>
      </c>
      <c r="H379" s="17">
        <v>21.47474849352</v>
      </c>
      <c r="I379" s="17" t="s">
        <v>115</v>
      </c>
    </row>
    <row r="380" spans="1:9" x14ac:dyDescent="0.3">
      <c r="A380" s="17" t="s">
        <v>58</v>
      </c>
      <c r="B380" s="17" t="s">
        <v>66</v>
      </c>
      <c r="C380" s="17" t="s">
        <v>113</v>
      </c>
      <c r="D380" s="17" t="s">
        <v>114</v>
      </c>
      <c r="E380" s="17" t="s">
        <v>93</v>
      </c>
      <c r="F380" s="17" t="s">
        <v>130</v>
      </c>
      <c r="G380" s="17">
        <v>588.19664513839996</v>
      </c>
      <c r="H380" s="17">
        <v>520.43589199999997</v>
      </c>
      <c r="I380" s="17" t="s">
        <v>115</v>
      </c>
    </row>
    <row r="381" spans="1:9" x14ac:dyDescent="0.3">
      <c r="A381" s="17" t="s">
        <v>58</v>
      </c>
      <c r="B381" s="17" t="s">
        <v>66</v>
      </c>
      <c r="C381" s="17" t="s">
        <v>113</v>
      </c>
      <c r="D381" s="17" t="s">
        <v>114</v>
      </c>
      <c r="E381" s="17" t="s">
        <v>93</v>
      </c>
      <c r="F381" s="17" t="s">
        <v>131</v>
      </c>
      <c r="G381" s="17">
        <v>116.20716400000001</v>
      </c>
      <c r="H381" s="17">
        <v>102.82</v>
      </c>
      <c r="I381" s="17" t="s">
        <v>115</v>
      </c>
    </row>
    <row r="382" spans="1:9" x14ac:dyDescent="0.3">
      <c r="A382" s="17" t="s">
        <v>58</v>
      </c>
      <c r="B382" s="17" t="s">
        <v>66</v>
      </c>
      <c r="C382" s="17" t="s">
        <v>113</v>
      </c>
      <c r="D382" s="17" t="s">
        <v>114</v>
      </c>
      <c r="E382" s="17" t="s">
        <v>93</v>
      </c>
      <c r="F382" s="17" t="s">
        <v>132</v>
      </c>
      <c r="G382" s="17">
        <v>1.8524966924999999</v>
      </c>
      <c r="H382" s="17">
        <v>1.6390875</v>
      </c>
      <c r="I382" s="17" t="s">
        <v>115</v>
      </c>
    </row>
    <row r="383" spans="1:9" x14ac:dyDescent="0.3">
      <c r="A383" s="17" t="s">
        <v>58</v>
      </c>
      <c r="B383" s="17" t="s">
        <v>66</v>
      </c>
      <c r="C383" s="17" t="s">
        <v>113</v>
      </c>
      <c r="D383" s="17" t="s">
        <v>114</v>
      </c>
      <c r="E383" s="17" t="s">
        <v>93</v>
      </c>
      <c r="F383" s="17" t="s">
        <v>133</v>
      </c>
      <c r="G383" s="17">
        <v>19.359232258064502</v>
      </c>
      <c r="H383" s="17">
        <v>17.129032258064498</v>
      </c>
      <c r="I383" s="17" t="s">
        <v>115</v>
      </c>
    </row>
    <row r="384" spans="1:9" x14ac:dyDescent="0.3">
      <c r="A384" s="17" t="s">
        <v>58</v>
      </c>
      <c r="B384" s="17" t="s">
        <v>66</v>
      </c>
      <c r="C384" s="17" t="s">
        <v>113</v>
      </c>
      <c r="D384" s="17" t="s">
        <v>114</v>
      </c>
      <c r="E384" s="17" t="s">
        <v>93</v>
      </c>
      <c r="F384" s="17" t="s">
        <v>134</v>
      </c>
      <c r="G384" s="17">
        <v>3.3065255522000001</v>
      </c>
      <c r="H384" s="17">
        <v>2.925611</v>
      </c>
      <c r="I384" s="17" t="s">
        <v>115</v>
      </c>
    </row>
    <row r="385" spans="1:9" x14ac:dyDescent="0.3">
      <c r="A385" s="17" t="s">
        <v>58</v>
      </c>
      <c r="B385" s="17" t="s">
        <v>66</v>
      </c>
      <c r="C385" s="17" t="s">
        <v>113</v>
      </c>
      <c r="D385" s="17" t="s">
        <v>114</v>
      </c>
      <c r="E385" s="17" t="s">
        <v>93</v>
      </c>
      <c r="F385" s="17" t="s">
        <v>135</v>
      </c>
      <c r="G385" s="17">
        <v>17.4342464516129</v>
      </c>
      <c r="H385" s="17">
        <v>15.4258064516129</v>
      </c>
      <c r="I385" s="17" t="s">
        <v>115</v>
      </c>
    </row>
    <row r="386" spans="1:9" x14ac:dyDescent="0.3">
      <c r="A386" s="17" t="s">
        <v>58</v>
      </c>
      <c r="B386" s="17" t="s">
        <v>66</v>
      </c>
      <c r="C386" s="17" t="s">
        <v>113</v>
      </c>
      <c r="D386" s="17" t="s">
        <v>114</v>
      </c>
      <c r="E386" s="17" t="s">
        <v>93</v>
      </c>
      <c r="F386" s="17" t="s">
        <v>136</v>
      </c>
      <c r="G386" s="17">
        <v>242.93429683026</v>
      </c>
      <c r="H386" s="17">
        <v>214.94805948527701</v>
      </c>
      <c r="I386" s="17" t="s">
        <v>115</v>
      </c>
    </row>
    <row r="387" spans="1:9" x14ac:dyDescent="0.3">
      <c r="A387" s="17" t="s">
        <v>58</v>
      </c>
      <c r="B387" s="17" t="s">
        <v>66</v>
      </c>
      <c r="C387" s="17" t="s">
        <v>113</v>
      </c>
      <c r="D387" s="17" t="s">
        <v>114</v>
      </c>
      <c r="E387" s="17" t="s">
        <v>93</v>
      </c>
      <c r="F387" s="17" t="s">
        <v>137</v>
      </c>
      <c r="G387" s="17">
        <v>148.844446688</v>
      </c>
      <c r="H387" s="17">
        <v>131.69744</v>
      </c>
      <c r="I387" s="17" t="s">
        <v>115</v>
      </c>
    </row>
    <row r="388" spans="1:9" x14ac:dyDescent="0.3">
      <c r="A388" s="17" t="s">
        <v>58</v>
      </c>
      <c r="B388" s="17" t="s">
        <v>66</v>
      </c>
      <c r="C388" s="17" t="s">
        <v>113</v>
      </c>
      <c r="D388" s="17" t="s">
        <v>114</v>
      </c>
      <c r="E388" s="17" t="s">
        <v>94</v>
      </c>
      <c r="F388" s="17" t="s">
        <v>94</v>
      </c>
      <c r="G388" s="17">
        <v>26.682052985204901</v>
      </c>
      <c r="H388" s="17">
        <v>23.608257817381801</v>
      </c>
      <c r="I388" s="17" t="s">
        <v>115</v>
      </c>
    </row>
    <row r="389" spans="1:9" x14ac:dyDescent="0.3">
      <c r="A389" s="17" t="s">
        <v>58</v>
      </c>
      <c r="B389" s="17" t="s">
        <v>66</v>
      </c>
      <c r="C389" s="17" t="s">
        <v>113</v>
      </c>
      <c r="D389" s="17" t="s">
        <v>114</v>
      </c>
      <c r="E389" s="17" t="s">
        <v>95</v>
      </c>
      <c r="F389" s="17" t="s">
        <v>138</v>
      </c>
      <c r="G389" s="17">
        <v>461.71834560000002</v>
      </c>
      <c r="H389" s="17">
        <v>408.52800000000002</v>
      </c>
      <c r="I389" s="17" t="s">
        <v>115</v>
      </c>
    </row>
    <row r="390" spans="1:9" x14ac:dyDescent="0.3">
      <c r="A390" s="17" t="s">
        <v>58</v>
      </c>
      <c r="B390" s="17" t="s">
        <v>66</v>
      </c>
      <c r="C390" s="17" t="s">
        <v>113</v>
      </c>
      <c r="D390" s="17" t="s">
        <v>114</v>
      </c>
      <c r="E390" s="17" t="s">
        <v>98</v>
      </c>
      <c r="F390" s="17" t="s">
        <v>139</v>
      </c>
      <c r="G390" s="17">
        <v>128.84280000000001</v>
      </c>
      <c r="H390" s="17">
        <v>114</v>
      </c>
      <c r="I390" s="17" t="s">
        <v>115</v>
      </c>
    </row>
    <row r="391" spans="1:9" x14ac:dyDescent="0.3">
      <c r="A391" s="17" t="s">
        <v>58</v>
      </c>
      <c r="B391" s="17" t="s">
        <v>66</v>
      </c>
      <c r="C391" s="17" t="s">
        <v>113</v>
      </c>
      <c r="D391" s="17" t="s">
        <v>114</v>
      </c>
      <c r="E391" s="17" t="s">
        <v>98</v>
      </c>
      <c r="F391" s="17" t="s">
        <v>140</v>
      </c>
      <c r="G391" s="17">
        <v>4067.3637600000002</v>
      </c>
      <c r="H391" s="17">
        <v>3598.8</v>
      </c>
      <c r="I391" s="17" t="s">
        <v>115</v>
      </c>
    </row>
    <row r="392" spans="1:9" x14ac:dyDescent="0.3">
      <c r="A392" s="17" t="s">
        <v>58</v>
      </c>
      <c r="B392" s="17" t="s">
        <v>66</v>
      </c>
      <c r="C392" s="17" t="s">
        <v>113</v>
      </c>
      <c r="D392" s="17" t="s">
        <v>114</v>
      </c>
      <c r="E392" s="17" t="s">
        <v>98</v>
      </c>
      <c r="F392" s="17" t="s">
        <v>141</v>
      </c>
      <c r="G392" s="17">
        <v>66.269520053763401</v>
      </c>
      <c r="H392" s="17">
        <v>58.635215053763403</v>
      </c>
      <c r="I392" s="17" t="s">
        <v>115</v>
      </c>
    </row>
    <row r="393" spans="1:9" x14ac:dyDescent="0.3">
      <c r="A393" s="17" t="s">
        <v>58</v>
      </c>
      <c r="B393" s="17" t="s">
        <v>66</v>
      </c>
      <c r="C393" s="17" t="s">
        <v>113</v>
      </c>
      <c r="D393" s="17" t="s">
        <v>114</v>
      </c>
      <c r="E393" s="17" t="s">
        <v>96</v>
      </c>
      <c r="F393" s="17" t="s">
        <v>96</v>
      </c>
      <c r="G393" s="17">
        <v>9.7797564636023999</v>
      </c>
      <c r="H393" s="17">
        <v>8.6531202119999993</v>
      </c>
      <c r="I393" s="17" t="s">
        <v>115</v>
      </c>
    </row>
    <row r="394" spans="1:9" x14ac:dyDescent="0.3">
      <c r="A394" s="17" t="s">
        <v>58</v>
      </c>
      <c r="B394" s="17" t="s">
        <v>66</v>
      </c>
      <c r="C394" s="17" t="s">
        <v>113</v>
      </c>
      <c r="D394" s="17" t="s">
        <v>114</v>
      </c>
      <c r="E394" s="17" t="s">
        <v>97</v>
      </c>
      <c r="F394" s="17" t="s">
        <v>97</v>
      </c>
      <c r="G394" s="17">
        <v>128.84280000000001</v>
      </c>
      <c r="H394" s="17">
        <v>114</v>
      </c>
      <c r="I394" s="17" t="s">
        <v>115</v>
      </c>
    </row>
    <row r="395" spans="1:9" x14ac:dyDescent="0.3">
      <c r="A395" s="17" t="s">
        <v>58</v>
      </c>
      <c r="B395" s="17" t="s">
        <v>66</v>
      </c>
      <c r="C395" s="17" t="s">
        <v>113</v>
      </c>
      <c r="D395" s="17" t="s">
        <v>114</v>
      </c>
      <c r="E395" s="17" t="s">
        <v>99</v>
      </c>
      <c r="F395" s="17" t="s">
        <v>142</v>
      </c>
      <c r="G395" s="17">
        <v>166.94031329159299</v>
      </c>
      <c r="H395" s="17">
        <v>147.70864740010001</v>
      </c>
      <c r="I395" s="17" t="s">
        <v>115</v>
      </c>
    </row>
    <row r="396" spans="1:9" x14ac:dyDescent="0.3">
      <c r="A396" s="17" t="s">
        <v>58</v>
      </c>
      <c r="B396" s="17" t="s">
        <v>66</v>
      </c>
      <c r="C396" s="17" t="s">
        <v>113</v>
      </c>
      <c r="D396" s="17" t="s">
        <v>114</v>
      </c>
      <c r="E396" s="17" t="s">
        <v>99</v>
      </c>
      <c r="F396" s="17" t="s">
        <v>143</v>
      </c>
      <c r="G396" s="17">
        <v>18.298793714655101</v>
      </c>
      <c r="H396" s="17">
        <v>16.190757135599998</v>
      </c>
      <c r="I396" s="17" t="s">
        <v>115</v>
      </c>
    </row>
    <row r="397" spans="1:9" x14ac:dyDescent="0.3">
      <c r="A397" s="17" t="s">
        <v>58</v>
      </c>
      <c r="B397" s="17" t="s">
        <v>66</v>
      </c>
      <c r="C397" s="17" t="s">
        <v>113</v>
      </c>
      <c r="D397" s="17" t="s">
        <v>114</v>
      </c>
      <c r="E397" s="17" t="s">
        <v>99</v>
      </c>
      <c r="F397" s="17" t="s">
        <v>144</v>
      </c>
      <c r="G397" s="17">
        <v>85.013423811497503</v>
      </c>
      <c r="H397" s="17">
        <v>75.219805177400005</v>
      </c>
      <c r="I397" s="17" t="s">
        <v>115</v>
      </c>
    </row>
    <row r="398" spans="1:9" x14ac:dyDescent="0.3">
      <c r="A398" s="17" t="s">
        <v>58</v>
      </c>
      <c r="B398" s="17" t="s">
        <v>66</v>
      </c>
      <c r="C398" s="17" t="s">
        <v>113</v>
      </c>
      <c r="D398" s="17" t="s">
        <v>114</v>
      </c>
      <c r="E398" s="17" t="s">
        <v>99</v>
      </c>
      <c r="F398" s="17" t="s">
        <v>145</v>
      </c>
      <c r="G398" s="17">
        <v>1.134935538E-4</v>
      </c>
      <c r="H398" s="17">
        <v>1.00419E-4</v>
      </c>
      <c r="I398" s="17" t="s">
        <v>115</v>
      </c>
    </row>
    <row r="399" spans="1:9" x14ac:dyDescent="0.3">
      <c r="A399" s="17" t="s">
        <v>58</v>
      </c>
      <c r="B399" s="17" t="s">
        <v>66</v>
      </c>
      <c r="C399" s="17" t="s">
        <v>113</v>
      </c>
      <c r="D399" s="17" t="s">
        <v>114</v>
      </c>
      <c r="E399" s="17" t="s">
        <v>99</v>
      </c>
      <c r="F399" s="17" t="s">
        <v>146</v>
      </c>
      <c r="G399" s="17">
        <v>8.3678124182640007E-2</v>
      </c>
      <c r="H399" s="17">
        <v>7.4038333200000001E-2</v>
      </c>
      <c r="I399" s="17" t="s">
        <v>115</v>
      </c>
    </row>
    <row r="400" spans="1:9" x14ac:dyDescent="0.3">
      <c r="A400" s="17" t="s">
        <v>58</v>
      </c>
      <c r="B400" s="17" t="s">
        <v>66</v>
      </c>
      <c r="C400" s="17" t="s">
        <v>113</v>
      </c>
      <c r="D400" s="17" t="s">
        <v>114</v>
      </c>
      <c r="E400" s="17" t="s">
        <v>99</v>
      </c>
      <c r="F400" s="17" t="s">
        <v>147</v>
      </c>
      <c r="G400" s="17">
        <v>9.3888409316104706</v>
      </c>
      <c r="H400" s="17">
        <v>8.3072384813400006</v>
      </c>
      <c r="I400" s="17" t="s">
        <v>115</v>
      </c>
    </row>
    <row r="401" spans="1:9" x14ac:dyDescent="0.3">
      <c r="A401" s="17" t="s">
        <v>58</v>
      </c>
      <c r="B401" s="17" t="s">
        <v>66</v>
      </c>
      <c r="C401" s="17" t="s">
        <v>113</v>
      </c>
      <c r="D401" s="17" t="s">
        <v>114</v>
      </c>
      <c r="E401" s="17" t="s">
        <v>99</v>
      </c>
      <c r="F401" s="17" t="s">
        <v>148</v>
      </c>
      <c r="G401" s="17">
        <v>1055.03956294664</v>
      </c>
      <c r="H401" s="17">
        <v>933.49810913700003</v>
      </c>
      <c r="I401" s="17" t="s">
        <v>115</v>
      </c>
    </row>
    <row r="402" spans="1:9" x14ac:dyDescent="0.3">
      <c r="A402" s="17" t="s">
        <v>58</v>
      </c>
      <c r="B402" s="17" t="s">
        <v>66</v>
      </c>
      <c r="C402" s="17" t="s">
        <v>113</v>
      </c>
      <c r="D402" s="17" t="s">
        <v>114</v>
      </c>
      <c r="E402" s="17" t="s">
        <v>99</v>
      </c>
      <c r="F402" s="17" t="s">
        <v>149</v>
      </c>
      <c r="G402" s="17">
        <v>5.9660997600000003E-6</v>
      </c>
      <c r="H402" s="17">
        <v>5.2788000000000002E-6</v>
      </c>
      <c r="I402" s="17" t="s">
        <v>115</v>
      </c>
    </row>
    <row r="403" spans="1:9" x14ac:dyDescent="0.3">
      <c r="A403" s="17" t="s">
        <v>58</v>
      </c>
      <c r="B403" s="17" t="s">
        <v>66</v>
      </c>
      <c r="C403" s="17" t="s">
        <v>113</v>
      </c>
      <c r="D403" s="17" t="s">
        <v>114</v>
      </c>
      <c r="E403" s="17" t="s">
        <v>99</v>
      </c>
      <c r="F403" s="17" t="s">
        <v>150</v>
      </c>
      <c r="G403" s="17">
        <v>4.8758941474000002E-4</v>
      </c>
      <c r="H403" s="17">
        <v>4.314187E-4</v>
      </c>
      <c r="I403" s="17" t="s">
        <v>115</v>
      </c>
    </row>
    <row r="404" spans="1:9" x14ac:dyDescent="0.3">
      <c r="A404" s="17" t="s">
        <v>58</v>
      </c>
      <c r="B404" s="17" t="s">
        <v>66</v>
      </c>
      <c r="C404" s="17" t="s">
        <v>113</v>
      </c>
      <c r="D404" s="17" t="s">
        <v>114</v>
      </c>
      <c r="E404" s="17" t="s">
        <v>99</v>
      </c>
      <c r="F404" s="17" t="s">
        <v>151</v>
      </c>
      <c r="G404" s="17">
        <v>8.6746343303534399</v>
      </c>
      <c r="H404" s="17">
        <v>7.6753090871999996</v>
      </c>
      <c r="I404" s="17" t="s">
        <v>115</v>
      </c>
    </row>
    <row r="405" spans="1:9" x14ac:dyDescent="0.3">
      <c r="A405" s="17" t="s">
        <v>58</v>
      </c>
      <c r="B405" s="17" t="s">
        <v>66</v>
      </c>
      <c r="C405" s="17" t="s">
        <v>113</v>
      </c>
      <c r="D405" s="17" t="s">
        <v>114</v>
      </c>
      <c r="E405" s="17" t="s">
        <v>99</v>
      </c>
      <c r="F405" s="17" t="s">
        <v>152</v>
      </c>
      <c r="G405" s="17">
        <v>46.584686338005497</v>
      </c>
      <c r="H405" s="17">
        <v>41.218090902500002</v>
      </c>
      <c r="I405" s="17" t="s">
        <v>115</v>
      </c>
    </row>
    <row r="406" spans="1:9" x14ac:dyDescent="0.3">
      <c r="A406" s="17" t="s">
        <v>58</v>
      </c>
      <c r="B406" s="17" t="s">
        <v>66</v>
      </c>
      <c r="C406" s="17" t="s">
        <v>113</v>
      </c>
      <c r="D406" s="17" t="s">
        <v>114</v>
      </c>
      <c r="E406" s="17" t="s">
        <v>99</v>
      </c>
      <c r="F406" s="17" t="s">
        <v>153</v>
      </c>
      <c r="G406" s="17">
        <v>1.29362578098444</v>
      </c>
      <c r="H406" s="17">
        <v>1.1445989921999999</v>
      </c>
      <c r="I406" s="17" t="s">
        <v>115</v>
      </c>
    </row>
    <row r="407" spans="1:9" x14ac:dyDescent="0.3">
      <c r="A407" s="17" t="s">
        <v>58</v>
      </c>
      <c r="B407" s="17" t="s">
        <v>66</v>
      </c>
      <c r="C407" s="17" t="s">
        <v>113</v>
      </c>
      <c r="D407" s="17" t="s">
        <v>114</v>
      </c>
      <c r="E407" s="17" t="s">
        <v>99</v>
      </c>
      <c r="F407" s="17" t="s">
        <v>154</v>
      </c>
      <c r="G407" s="17">
        <v>2.5652791353599999E-3</v>
      </c>
      <c r="H407" s="17">
        <v>2.2697568000000002E-3</v>
      </c>
      <c r="I407" s="17" t="s">
        <v>115</v>
      </c>
    </row>
    <row r="408" spans="1:9" x14ac:dyDescent="0.3">
      <c r="A408" s="17" t="s">
        <v>58</v>
      </c>
      <c r="B408" s="17" t="s">
        <v>66</v>
      </c>
      <c r="C408" s="17" t="s">
        <v>113</v>
      </c>
      <c r="D408" s="17" t="s">
        <v>114</v>
      </c>
      <c r="E408" s="17" t="s">
        <v>101</v>
      </c>
      <c r="F408" s="17" t="s">
        <v>170</v>
      </c>
      <c r="G408" s="17">
        <v>51.181467789999999</v>
      </c>
      <c r="H408" s="17">
        <v>45.285319226685502</v>
      </c>
      <c r="I408" s="17" t="s">
        <v>115</v>
      </c>
    </row>
    <row r="409" spans="1:9" x14ac:dyDescent="0.3">
      <c r="A409" s="17" t="s">
        <v>58</v>
      </c>
      <c r="B409" s="17" t="s">
        <v>66</v>
      </c>
      <c r="C409" s="17" t="s">
        <v>113</v>
      </c>
      <c r="D409" s="17" t="s">
        <v>114</v>
      </c>
      <c r="E409" s="17" t="s">
        <v>101</v>
      </c>
      <c r="F409" s="17" t="s">
        <v>171</v>
      </c>
      <c r="G409" s="17">
        <v>14.942120640000001</v>
      </c>
      <c r="H409" s="17">
        <v>13.220775650327401</v>
      </c>
      <c r="I409" s="17" t="s">
        <v>115</v>
      </c>
    </row>
    <row r="410" spans="1:9" x14ac:dyDescent="0.3">
      <c r="A410" s="17" t="s">
        <v>58</v>
      </c>
      <c r="B410" s="17" t="s">
        <v>66</v>
      </c>
      <c r="C410" s="17" t="s">
        <v>113</v>
      </c>
      <c r="D410" s="17" t="s">
        <v>114</v>
      </c>
      <c r="E410" s="17" t="s">
        <v>101</v>
      </c>
      <c r="F410" s="17" t="s">
        <v>173</v>
      </c>
      <c r="G410" s="17">
        <v>123.84096258069999</v>
      </c>
      <c r="H410" s="17">
        <v>109.57437849999999</v>
      </c>
      <c r="I410" s="17" t="s">
        <v>115</v>
      </c>
    </row>
    <row r="411" spans="1:9" x14ac:dyDescent="0.3">
      <c r="A411" s="17" t="s">
        <v>58</v>
      </c>
      <c r="B411" s="17" t="s">
        <v>66</v>
      </c>
      <c r="C411" s="17" t="s">
        <v>113</v>
      </c>
      <c r="D411" s="17" t="s">
        <v>114</v>
      </c>
      <c r="E411" s="17" t="s">
        <v>101</v>
      </c>
      <c r="F411" s="17" t="s">
        <v>155</v>
      </c>
      <c r="G411" s="17">
        <v>99.948156727715201</v>
      </c>
      <c r="H411" s="17">
        <v>88.434044176</v>
      </c>
      <c r="I411" s="17" t="s">
        <v>115</v>
      </c>
    </row>
    <row r="412" spans="1:9" x14ac:dyDescent="0.3">
      <c r="A412" s="17" t="s">
        <v>58</v>
      </c>
      <c r="B412" s="17" t="s">
        <v>66</v>
      </c>
      <c r="C412" s="17" t="s">
        <v>113</v>
      </c>
      <c r="D412" s="17" t="s">
        <v>114</v>
      </c>
      <c r="E412" s="17" t="s">
        <v>101</v>
      </c>
      <c r="F412" s="17" t="s">
        <v>156</v>
      </c>
      <c r="G412" s="17">
        <v>89.602896449077804</v>
      </c>
      <c r="H412" s="17">
        <v>79.280566668800006</v>
      </c>
      <c r="I412" s="17" t="s">
        <v>115</v>
      </c>
    </row>
    <row r="413" spans="1:9" x14ac:dyDescent="0.3">
      <c r="A413" s="17" t="s">
        <v>58</v>
      </c>
      <c r="B413" s="17" t="s">
        <v>66</v>
      </c>
      <c r="C413" s="17" t="s">
        <v>113</v>
      </c>
      <c r="D413" s="17" t="s">
        <v>114</v>
      </c>
      <c r="E413" s="17" t="s">
        <v>101</v>
      </c>
      <c r="F413" s="17" t="s">
        <v>157</v>
      </c>
      <c r="G413" s="17">
        <v>3932.4004196737901</v>
      </c>
      <c r="H413" s="17">
        <v>3479.3845511181999</v>
      </c>
      <c r="I413" s="17" t="s">
        <v>115</v>
      </c>
    </row>
    <row r="414" spans="1:9" x14ac:dyDescent="0.3">
      <c r="A414" s="17" t="s">
        <v>58</v>
      </c>
      <c r="B414" s="17" t="s">
        <v>66</v>
      </c>
      <c r="C414" s="17" t="s">
        <v>113</v>
      </c>
      <c r="D414" s="17" t="s">
        <v>114</v>
      </c>
      <c r="E414" s="17" t="s">
        <v>101</v>
      </c>
      <c r="F414" s="17" t="s">
        <v>158</v>
      </c>
      <c r="G414" s="17">
        <v>390.33700177684602</v>
      </c>
      <c r="H414" s="17">
        <v>345.36984761709999</v>
      </c>
      <c r="I414" s="17" t="s">
        <v>115</v>
      </c>
    </row>
    <row r="415" spans="1:9" x14ac:dyDescent="0.3">
      <c r="A415" s="17" t="s">
        <v>58</v>
      </c>
      <c r="B415" s="17" t="s">
        <v>66</v>
      </c>
      <c r="C415" s="17" t="s">
        <v>113</v>
      </c>
      <c r="D415" s="17" t="s">
        <v>114</v>
      </c>
      <c r="E415" s="17" t="s">
        <v>101</v>
      </c>
      <c r="F415" s="17" t="s">
        <v>159</v>
      </c>
      <c r="G415" s="17">
        <v>117.38040073661401</v>
      </c>
      <c r="H415" s="17">
        <v>103.85807886800001</v>
      </c>
      <c r="I415" s="17" t="s">
        <v>115</v>
      </c>
    </row>
    <row r="416" spans="1:9" x14ac:dyDescent="0.3">
      <c r="A416" s="17" t="s">
        <v>58</v>
      </c>
      <c r="B416" s="17" t="s">
        <v>66</v>
      </c>
      <c r="C416" s="17" t="s">
        <v>113</v>
      </c>
      <c r="D416" s="17" t="s">
        <v>114</v>
      </c>
      <c r="E416" s="17" t="s">
        <v>101</v>
      </c>
      <c r="F416" s="17" t="s">
        <v>160</v>
      </c>
      <c r="G416" s="17">
        <v>752.55350987495297</v>
      </c>
      <c r="H416" s="17">
        <v>665.85870631299997</v>
      </c>
      <c r="I416" s="17" t="s">
        <v>115</v>
      </c>
    </row>
    <row r="417" spans="1:9" x14ac:dyDescent="0.3">
      <c r="A417" s="17" t="s">
        <v>58</v>
      </c>
      <c r="B417" s="17" t="s">
        <v>66</v>
      </c>
      <c r="C417" s="17" t="s">
        <v>113</v>
      </c>
      <c r="D417" s="17" t="s">
        <v>114</v>
      </c>
      <c r="E417" s="17" t="s">
        <v>101</v>
      </c>
      <c r="F417" s="17" t="s">
        <v>161</v>
      </c>
      <c r="G417" s="17">
        <v>3.0328339974129599</v>
      </c>
      <c r="H417" s="17">
        <v>2.6834489447999998</v>
      </c>
      <c r="I417" s="17" t="s">
        <v>115</v>
      </c>
    </row>
    <row r="418" spans="1:9" x14ac:dyDescent="0.3">
      <c r="A418" s="17" t="s">
        <v>58</v>
      </c>
      <c r="B418" s="17" t="s">
        <v>66</v>
      </c>
      <c r="C418" s="17" t="s">
        <v>113</v>
      </c>
      <c r="D418" s="17" t="s">
        <v>114</v>
      </c>
      <c r="E418" s="17" t="s">
        <v>101</v>
      </c>
      <c r="F418" s="17" t="s">
        <v>162</v>
      </c>
      <c r="G418" s="17">
        <v>171.77252576848301</v>
      </c>
      <c r="H418" s="17">
        <v>151.984184895136</v>
      </c>
      <c r="I418" s="17" t="s">
        <v>115</v>
      </c>
    </row>
    <row r="419" spans="1:9" x14ac:dyDescent="0.3">
      <c r="A419" s="17" t="s">
        <v>58</v>
      </c>
      <c r="B419" s="17" t="s">
        <v>66</v>
      </c>
      <c r="C419" s="17" t="s">
        <v>113</v>
      </c>
      <c r="D419" s="17" t="s">
        <v>114</v>
      </c>
      <c r="E419" s="17" t="s">
        <v>101</v>
      </c>
      <c r="F419" s="17" t="s">
        <v>163</v>
      </c>
      <c r="G419" s="17">
        <v>110.4969935092</v>
      </c>
      <c r="H419" s="17">
        <v>97.767645999999999</v>
      </c>
      <c r="I419" s="17" t="s">
        <v>115</v>
      </c>
    </row>
    <row r="420" spans="1:9" x14ac:dyDescent="0.3">
      <c r="A420" s="17" t="s">
        <v>58</v>
      </c>
      <c r="B420" s="17" t="s">
        <v>66</v>
      </c>
      <c r="C420" s="17" t="s">
        <v>113</v>
      </c>
      <c r="D420" s="17" t="s">
        <v>114</v>
      </c>
      <c r="E420" s="17" t="s">
        <v>102</v>
      </c>
      <c r="F420" s="17" t="s">
        <v>165</v>
      </c>
      <c r="G420" s="17">
        <v>39.717165209891697</v>
      </c>
      <c r="H420" s="17">
        <v>35.141714041666702</v>
      </c>
      <c r="I420" s="17" t="s">
        <v>115</v>
      </c>
    </row>
    <row r="421" spans="1:9" x14ac:dyDescent="0.3">
      <c r="A421" s="17" t="s">
        <v>58</v>
      </c>
      <c r="B421" s="17" t="s">
        <v>66</v>
      </c>
      <c r="C421" s="17" t="s">
        <v>113</v>
      </c>
      <c r="D421" s="17" t="s">
        <v>114</v>
      </c>
      <c r="E421" s="17" t="s">
        <v>102</v>
      </c>
      <c r="F421" s="17" t="s">
        <v>174</v>
      </c>
      <c r="G421" s="17">
        <v>7.2989833071069998E-3</v>
      </c>
      <c r="H421" s="17">
        <v>6.4581342303194102E-3</v>
      </c>
      <c r="I421" s="17" t="s">
        <v>115</v>
      </c>
    </row>
    <row r="422" spans="1:9" x14ac:dyDescent="0.3">
      <c r="A422" s="17" t="s">
        <v>58</v>
      </c>
      <c r="B422" s="17" t="s">
        <v>66</v>
      </c>
      <c r="C422" s="17" t="s">
        <v>113</v>
      </c>
      <c r="D422" s="17" t="s">
        <v>114</v>
      </c>
      <c r="E422" s="17" t="s">
        <v>102</v>
      </c>
      <c r="F422" s="17" t="s">
        <v>166</v>
      </c>
      <c r="G422" s="17">
        <v>476.78313697531598</v>
      </c>
      <c r="H422" s="17">
        <v>421.85731461273701</v>
      </c>
      <c r="I422" s="17" t="s">
        <v>115</v>
      </c>
    </row>
    <row r="423" spans="1:9" x14ac:dyDescent="0.3">
      <c r="A423" s="17" t="s">
        <v>58</v>
      </c>
      <c r="B423" s="17" t="s">
        <v>66</v>
      </c>
      <c r="C423" s="17" t="s">
        <v>113</v>
      </c>
      <c r="D423" s="17" t="s">
        <v>114</v>
      </c>
      <c r="E423" s="17" t="s">
        <v>103</v>
      </c>
      <c r="F423" s="17" t="s">
        <v>103</v>
      </c>
      <c r="G423" s="17">
        <v>32.176794000000001</v>
      </c>
      <c r="H423" s="17">
        <v>28.47</v>
      </c>
      <c r="I423" s="17" t="s">
        <v>115</v>
      </c>
    </row>
    <row r="424" spans="1:9" x14ac:dyDescent="0.3">
      <c r="A424" s="17" t="s">
        <v>58</v>
      </c>
      <c r="B424" s="17" t="s">
        <v>66</v>
      </c>
      <c r="C424" s="17" t="s">
        <v>167</v>
      </c>
      <c r="D424" s="17" t="s">
        <v>168</v>
      </c>
      <c r="E424" s="17" t="s">
        <v>100</v>
      </c>
      <c r="F424" s="17" t="s">
        <v>100</v>
      </c>
      <c r="G424" s="17">
        <v>0</v>
      </c>
      <c r="H424" s="17">
        <v>0</v>
      </c>
      <c r="I424" s="17" t="s">
        <v>115</v>
      </c>
    </row>
    <row r="425" spans="1:9" x14ac:dyDescent="0.3">
      <c r="A425" s="17" t="s">
        <v>58</v>
      </c>
      <c r="B425" s="17" t="s">
        <v>66</v>
      </c>
      <c r="C425" s="17" t="s">
        <v>167</v>
      </c>
      <c r="D425" s="17" t="s">
        <v>114</v>
      </c>
      <c r="E425" s="17" t="s">
        <v>100</v>
      </c>
      <c r="F425" s="17" t="s">
        <v>100</v>
      </c>
      <c r="G425" s="17">
        <v>257.14527329457798</v>
      </c>
      <c r="H425" s="17">
        <v>227.52191938999999</v>
      </c>
      <c r="I425" s="17" t="s">
        <v>115</v>
      </c>
    </row>
    <row r="426" spans="1:9" x14ac:dyDescent="0.3">
      <c r="A426" s="17" t="s">
        <v>58</v>
      </c>
      <c r="B426" s="17" t="s">
        <v>67</v>
      </c>
      <c r="C426" s="17" t="s">
        <v>113</v>
      </c>
      <c r="D426" s="17" t="s">
        <v>114</v>
      </c>
      <c r="E426" s="17" t="s">
        <v>71</v>
      </c>
      <c r="F426" s="17" t="s">
        <v>71</v>
      </c>
      <c r="G426" s="17">
        <v>77.090155199999998</v>
      </c>
      <c r="H426" s="17">
        <v>65.843999999999994</v>
      </c>
      <c r="I426" s="17" t="s">
        <v>115</v>
      </c>
    </row>
    <row r="427" spans="1:9" x14ac:dyDescent="0.3">
      <c r="A427" s="17" t="s">
        <v>58</v>
      </c>
      <c r="B427" s="17" t="s">
        <v>67</v>
      </c>
      <c r="C427" s="17" t="s">
        <v>113</v>
      </c>
      <c r="D427" s="17" t="s">
        <v>114</v>
      </c>
      <c r="E427" s="17" t="s">
        <v>72</v>
      </c>
      <c r="F427" s="17" t="s">
        <v>116</v>
      </c>
      <c r="G427" s="17">
        <v>194.36300937600001</v>
      </c>
      <c r="H427" s="17">
        <v>166.00872000000001</v>
      </c>
      <c r="I427" s="17" t="s">
        <v>115</v>
      </c>
    </row>
    <row r="428" spans="1:9" x14ac:dyDescent="0.3">
      <c r="A428" s="17" t="s">
        <v>58</v>
      </c>
      <c r="B428" s="17" t="s">
        <v>67</v>
      </c>
      <c r="C428" s="17" t="s">
        <v>113</v>
      </c>
      <c r="D428" s="17" t="s">
        <v>114</v>
      </c>
      <c r="E428" s="17" t="s">
        <v>73</v>
      </c>
      <c r="F428" s="17" t="s">
        <v>117</v>
      </c>
      <c r="G428" s="17">
        <v>0</v>
      </c>
      <c r="H428" s="17">
        <v>0</v>
      </c>
      <c r="I428" s="17" t="s">
        <v>115</v>
      </c>
    </row>
    <row r="429" spans="1:9" x14ac:dyDescent="0.3">
      <c r="A429" s="17" t="s">
        <v>58</v>
      </c>
      <c r="B429" s="17" t="s">
        <v>67</v>
      </c>
      <c r="C429" s="17" t="s">
        <v>113</v>
      </c>
      <c r="D429" s="17" t="s">
        <v>114</v>
      </c>
      <c r="E429" s="17" t="s">
        <v>73</v>
      </c>
      <c r="F429" s="17" t="s">
        <v>118</v>
      </c>
      <c r="G429" s="17">
        <v>573.34169664000001</v>
      </c>
      <c r="H429" s="17">
        <v>489.70080000000002</v>
      </c>
      <c r="I429" s="17" t="s">
        <v>115</v>
      </c>
    </row>
    <row r="430" spans="1:9" x14ac:dyDescent="0.3">
      <c r="A430" s="17" t="s">
        <v>58</v>
      </c>
      <c r="B430" s="17" t="s">
        <v>67</v>
      </c>
      <c r="C430" s="17" t="s">
        <v>113</v>
      </c>
      <c r="D430" s="17" t="s">
        <v>114</v>
      </c>
      <c r="E430" s="17" t="s">
        <v>73</v>
      </c>
      <c r="F430" s="17" t="s">
        <v>119</v>
      </c>
      <c r="G430" s="17">
        <v>975.60422400000004</v>
      </c>
      <c r="H430" s="17">
        <v>833.28</v>
      </c>
      <c r="I430" s="17" t="s">
        <v>115</v>
      </c>
    </row>
    <row r="431" spans="1:9" x14ac:dyDescent="0.3">
      <c r="A431" s="17" t="s">
        <v>58</v>
      </c>
      <c r="B431" s="17" t="s">
        <v>67</v>
      </c>
      <c r="C431" s="17" t="s">
        <v>113</v>
      </c>
      <c r="D431" s="17" t="s">
        <v>114</v>
      </c>
      <c r="E431" s="17" t="s">
        <v>73</v>
      </c>
      <c r="F431" s="17" t="s">
        <v>120</v>
      </c>
      <c r="G431" s="17">
        <v>31.6459637819178</v>
      </c>
      <c r="H431" s="17">
        <v>27.029350684931501</v>
      </c>
      <c r="I431" s="17" t="s">
        <v>115</v>
      </c>
    </row>
    <row r="432" spans="1:9" x14ac:dyDescent="0.3">
      <c r="A432" s="17" t="s">
        <v>58</v>
      </c>
      <c r="B432" s="17" t="s">
        <v>67</v>
      </c>
      <c r="C432" s="17" t="s">
        <v>113</v>
      </c>
      <c r="D432" s="17" t="s">
        <v>114</v>
      </c>
      <c r="E432" s="17" t="s">
        <v>74</v>
      </c>
      <c r="F432" s="17" t="s">
        <v>121</v>
      </c>
      <c r="G432" s="17">
        <v>0.73221831999999998</v>
      </c>
      <c r="H432" s="17">
        <v>0.62539999999999996</v>
      </c>
      <c r="I432" s="17" t="s">
        <v>115</v>
      </c>
    </row>
    <row r="433" spans="1:9" x14ac:dyDescent="0.3">
      <c r="A433" s="17" t="s">
        <v>58</v>
      </c>
      <c r="B433" s="17" t="s">
        <v>67</v>
      </c>
      <c r="C433" s="17" t="s">
        <v>113</v>
      </c>
      <c r="D433" s="17" t="s">
        <v>114</v>
      </c>
      <c r="E433" s="17" t="s">
        <v>76</v>
      </c>
      <c r="F433" s="17" t="s">
        <v>122</v>
      </c>
      <c r="G433" s="17">
        <v>155.92246080000001</v>
      </c>
      <c r="H433" s="17">
        <v>133.17599999999999</v>
      </c>
      <c r="I433" s="17" t="s">
        <v>115</v>
      </c>
    </row>
    <row r="434" spans="1:9" x14ac:dyDescent="0.3">
      <c r="A434" s="17" t="s">
        <v>58</v>
      </c>
      <c r="B434" s="17" t="s">
        <v>67</v>
      </c>
      <c r="C434" s="17" t="s">
        <v>113</v>
      </c>
      <c r="D434" s="17" t="s">
        <v>114</v>
      </c>
      <c r="E434" s="17" t="s">
        <v>80</v>
      </c>
      <c r="F434" s="17" t="s">
        <v>80</v>
      </c>
      <c r="G434" s="17">
        <v>0.74511641478400004</v>
      </c>
      <c r="H434" s="17">
        <v>0.63641647999999995</v>
      </c>
      <c r="I434" s="17" t="s">
        <v>115</v>
      </c>
    </row>
    <row r="435" spans="1:9" x14ac:dyDescent="0.3">
      <c r="A435" s="17" t="s">
        <v>58</v>
      </c>
      <c r="B435" s="17" t="s">
        <v>67</v>
      </c>
      <c r="C435" s="17" t="s">
        <v>113</v>
      </c>
      <c r="D435" s="17" t="s">
        <v>114</v>
      </c>
      <c r="E435" s="17" t="s">
        <v>77</v>
      </c>
      <c r="F435" s="17" t="s">
        <v>77</v>
      </c>
      <c r="G435" s="17">
        <v>7.1840287999999999E-4</v>
      </c>
      <c r="H435" s="17">
        <v>6.1359999999999995E-4</v>
      </c>
      <c r="I435" s="17" t="s">
        <v>115</v>
      </c>
    </row>
    <row r="436" spans="1:9" x14ac:dyDescent="0.3">
      <c r="A436" s="17" t="s">
        <v>58</v>
      </c>
      <c r="B436" s="17" t="s">
        <v>67</v>
      </c>
      <c r="C436" s="17" t="s">
        <v>113</v>
      </c>
      <c r="D436" s="17" t="s">
        <v>114</v>
      </c>
      <c r="E436" s="17" t="s">
        <v>78</v>
      </c>
      <c r="F436" s="17" t="s">
        <v>123</v>
      </c>
      <c r="G436" s="17">
        <v>18.163322879999999</v>
      </c>
      <c r="H436" s="17">
        <v>15.5136</v>
      </c>
      <c r="I436" s="17" t="s">
        <v>115</v>
      </c>
    </row>
    <row r="437" spans="1:9" x14ac:dyDescent="0.3">
      <c r="A437" s="17" t="s">
        <v>58</v>
      </c>
      <c r="B437" s="17" t="s">
        <v>67</v>
      </c>
      <c r="C437" s="17" t="s">
        <v>113</v>
      </c>
      <c r="D437" s="17" t="s">
        <v>114</v>
      </c>
      <c r="E437" s="17" t="s">
        <v>78</v>
      </c>
      <c r="F437" s="17" t="s">
        <v>124</v>
      </c>
      <c r="G437" s="17">
        <v>326.65320000000003</v>
      </c>
      <c r="H437" s="17">
        <v>279</v>
      </c>
      <c r="I437" s="17" t="s">
        <v>115</v>
      </c>
    </row>
    <row r="438" spans="1:9" x14ac:dyDescent="0.3">
      <c r="A438" s="17" t="s">
        <v>58</v>
      </c>
      <c r="B438" s="17" t="s">
        <v>67</v>
      </c>
      <c r="C438" s="17" t="s">
        <v>113</v>
      </c>
      <c r="D438" s="17" t="s">
        <v>114</v>
      </c>
      <c r="E438" s="17" t="s">
        <v>78</v>
      </c>
      <c r="F438" s="17" t="s">
        <v>125</v>
      </c>
      <c r="G438" s="17">
        <v>208.70961792</v>
      </c>
      <c r="H438" s="17">
        <v>178.26240000000001</v>
      </c>
      <c r="I438" s="17" t="s">
        <v>115</v>
      </c>
    </row>
    <row r="439" spans="1:9" x14ac:dyDescent="0.3">
      <c r="A439" s="17" t="s">
        <v>58</v>
      </c>
      <c r="B439" s="17" t="s">
        <v>67</v>
      </c>
      <c r="C439" s="17" t="s">
        <v>113</v>
      </c>
      <c r="D439" s="17" t="s">
        <v>114</v>
      </c>
      <c r="E439" s="17" t="s">
        <v>79</v>
      </c>
      <c r="F439" s="17" t="s">
        <v>126</v>
      </c>
      <c r="G439" s="17">
        <v>2823.2935866031198</v>
      </c>
      <c r="H439" s="17">
        <v>2411.4226055714998</v>
      </c>
      <c r="I439" s="17" t="s">
        <v>115</v>
      </c>
    </row>
    <row r="440" spans="1:9" x14ac:dyDescent="0.3">
      <c r="A440" s="17" t="s">
        <v>58</v>
      </c>
      <c r="B440" s="17" t="s">
        <v>67</v>
      </c>
      <c r="C440" s="17" t="s">
        <v>113</v>
      </c>
      <c r="D440" s="17" t="s">
        <v>114</v>
      </c>
      <c r="E440" s="17" t="s">
        <v>79</v>
      </c>
      <c r="F440" s="17" t="s">
        <v>79</v>
      </c>
      <c r="G440" s="17">
        <v>2450.1045604979699</v>
      </c>
      <c r="H440" s="17">
        <v>2092.67557268361</v>
      </c>
      <c r="I440" s="17" t="s">
        <v>115</v>
      </c>
    </row>
    <row r="441" spans="1:9" x14ac:dyDescent="0.3">
      <c r="A441" s="17" t="s">
        <v>58</v>
      </c>
      <c r="B441" s="17" t="s">
        <v>67</v>
      </c>
      <c r="C441" s="17" t="s">
        <v>113</v>
      </c>
      <c r="D441" s="17" t="s">
        <v>114</v>
      </c>
      <c r="E441" s="17" t="s">
        <v>81</v>
      </c>
      <c r="F441" s="17" t="s">
        <v>81</v>
      </c>
      <c r="G441" s="17">
        <v>668.93657019267505</v>
      </c>
      <c r="H441" s="17">
        <v>571.34999162339795</v>
      </c>
      <c r="I441" s="17" t="s">
        <v>115</v>
      </c>
    </row>
    <row r="442" spans="1:9" x14ac:dyDescent="0.3">
      <c r="A442" s="17" t="s">
        <v>58</v>
      </c>
      <c r="B442" s="17" t="s">
        <v>67</v>
      </c>
      <c r="C442" s="17" t="s">
        <v>113</v>
      </c>
      <c r="D442" s="17" t="s">
        <v>114</v>
      </c>
      <c r="E442" s="17" t="s">
        <v>82</v>
      </c>
      <c r="F442" s="17" t="s">
        <v>82</v>
      </c>
      <c r="G442" s="17">
        <v>121.456874415946</v>
      </c>
      <c r="H442" s="17">
        <v>103.738362159161</v>
      </c>
      <c r="I442" s="17" t="s">
        <v>115</v>
      </c>
    </row>
    <row r="443" spans="1:9" x14ac:dyDescent="0.3">
      <c r="A443" s="17" t="s">
        <v>58</v>
      </c>
      <c r="B443" s="17" t="s">
        <v>67</v>
      </c>
      <c r="C443" s="17" t="s">
        <v>113</v>
      </c>
      <c r="D443" s="17" t="s">
        <v>114</v>
      </c>
      <c r="E443" s="17" t="s">
        <v>83</v>
      </c>
      <c r="F443" s="17" t="s">
        <v>127</v>
      </c>
      <c r="G443" s="17">
        <v>1.4822573991300501</v>
      </c>
      <c r="H443" s="17">
        <v>1.2660210105312999</v>
      </c>
      <c r="I443" s="17" t="s">
        <v>115</v>
      </c>
    </row>
    <row r="444" spans="1:9" x14ac:dyDescent="0.3">
      <c r="A444" s="17" t="s">
        <v>58</v>
      </c>
      <c r="B444" s="17" t="s">
        <v>67</v>
      </c>
      <c r="C444" s="17" t="s">
        <v>113</v>
      </c>
      <c r="D444" s="17" t="s">
        <v>114</v>
      </c>
      <c r="E444" s="17" t="s">
        <v>83</v>
      </c>
      <c r="F444" s="17" t="s">
        <v>128</v>
      </c>
      <c r="G444" s="17">
        <v>74.773820783803103</v>
      </c>
      <c r="H444" s="17">
        <v>63.865579760679097</v>
      </c>
      <c r="I444" s="17" t="s">
        <v>115</v>
      </c>
    </row>
    <row r="445" spans="1:9" x14ac:dyDescent="0.3">
      <c r="A445" s="17" t="s">
        <v>58</v>
      </c>
      <c r="B445" s="17" t="s">
        <v>67</v>
      </c>
      <c r="C445" s="17" t="s">
        <v>113</v>
      </c>
      <c r="D445" s="17" t="s">
        <v>114</v>
      </c>
      <c r="E445" s="17" t="s">
        <v>84</v>
      </c>
      <c r="F445" s="17" t="s">
        <v>172</v>
      </c>
      <c r="G445" s="17">
        <v>4.5703020976000002E-3</v>
      </c>
      <c r="H445" s="17">
        <v>3.9035720000000001E-3</v>
      </c>
      <c r="I445" s="17" t="s">
        <v>115</v>
      </c>
    </row>
    <row r="446" spans="1:9" x14ac:dyDescent="0.3">
      <c r="A446" s="17" t="s">
        <v>58</v>
      </c>
      <c r="B446" s="17" t="s">
        <v>67</v>
      </c>
      <c r="C446" s="17" t="s">
        <v>113</v>
      </c>
      <c r="D446" s="17" t="s">
        <v>114</v>
      </c>
      <c r="E446" s="17" t="s">
        <v>84</v>
      </c>
      <c r="F446" s="17" t="s">
        <v>129</v>
      </c>
      <c r="G446" s="17">
        <v>17616.412380519399</v>
      </c>
      <c r="H446" s="17">
        <v>15046.474530679399</v>
      </c>
      <c r="I446" s="17" t="s">
        <v>115</v>
      </c>
    </row>
    <row r="447" spans="1:9" x14ac:dyDescent="0.3">
      <c r="A447" s="17" t="s">
        <v>58</v>
      </c>
      <c r="B447" s="17" t="s">
        <v>67</v>
      </c>
      <c r="C447" s="17" t="s">
        <v>113</v>
      </c>
      <c r="D447" s="17" t="s">
        <v>114</v>
      </c>
      <c r="E447" s="17" t="s">
        <v>85</v>
      </c>
      <c r="F447" s="17" t="s">
        <v>85</v>
      </c>
      <c r="G447" s="17">
        <v>156.34229941163201</v>
      </c>
      <c r="H447" s="17">
        <v>133.53459122961399</v>
      </c>
      <c r="I447" s="17" t="s">
        <v>115</v>
      </c>
    </row>
    <row r="448" spans="1:9" x14ac:dyDescent="0.3">
      <c r="A448" s="17" t="s">
        <v>58</v>
      </c>
      <c r="B448" s="17" t="s">
        <v>67</v>
      </c>
      <c r="C448" s="17" t="s">
        <v>113</v>
      </c>
      <c r="D448" s="17" t="s">
        <v>114</v>
      </c>
      <c r="E448" s="17" t="s">
        <v>86</v>
      </c>
      <c r="F448" s="17" t="s">
        <v>86</v>
      </c>
      <c r="G448" s="17">
        <v>1.6576392289992799E-2</v>
      </c>
      <c r="H448" s="17">
        <v>1.4158175854110701E-2</v>
      </c>
      <c r="I448" s="17" t="s">
        <v>115</v>
      </c>
    </row>
    <row r="449" spans="1:9" x14ac:dyDescent="0.3">
      <c r="A449" s="17" t="s">
        <v>58</v>
      </c>
      <c r="B449" s="17" t="s">
        <v>67</v>
      </c>
      <c r="C449" s="17" t="s">
        <v>113</v>
      </c>
      <c r="D449" s="17" t="s">
        <v>114</v>
      </c>
      <c r="E449" s="17" t="s">
        <v>87</v>
      </c>
      <c r="F449" s="17" t="s">
        <v>87</v>
      </c>
      <c r="G449" s="17">
        <v>180.51840745723101</v>
      </c>
      <c r="H449" s="17">
        <v>154.18381231399999</v>
      </c>
      <c r="I449" s="17" t="s">
        <v>115</v>
      </c>
    </row>
    <row r="450" spans="1:9" x14ac:dyDescent="0.3">
      <c r="A450" s="17" t="s">
        <v>58</v>
      </c>
      <c r="B450" s="17" t="s">
        <v>67</v>
      </c>
      <c r="C450" s="17" t="s">
        <v>113</v>
      </c>
      <c r="D450" s="17" t="s">
        <v>114</v>
      </c>
      <c r="E450" s="17" t="s">
        <v>88</v>
      </c>
      <c r="F450" s="17" t="s">
        <v>88</v>
      </c>
      <c r="G450" s="17">
        <v>13.888554255969</v>
      </c>
      <c r="H450" s="17">
        <v>11.8624481175</v>
      </c>
      <c r="I450" s="17" t="s">
        <v>115</v>
      </c>
    </row>
    <row r="451" spans="1:9" x14ac:dyDescent="0.3">
      <c r="A451" s="17" t="s">
        <v>58</v>
      </c>
      <c r="B451" s="17" t="s">
        <v>67</v>
      </c>
      <c r="C451" s="17" t="s">
        <v>113</v>
      </c>
      <c r="D451" s="17" t="s">
        <v>114</v>
      </c>
      <c r="E451" s="17" t="s">
        <v>89</v>
      </c>
      <c r="F451" s="17" t="s">
        <v>89</v>
      </c>
      <c r="G451" s="17">
        <v>221.65732531887599</v>
      </c>
      <c r="H451" s="17">
        <v>189.32125497000001</v>
      </c>
      <c r="I451" s="17" t="s">
        <v>115</v>
      </c>
    </row>
    <row r="452" spans="1:9" x14ac:dyDescent="0.3">
      <c r="A452" s="17" t="s">
        <v>58</v>
      </c>
      <c r="B452" s="17" t="s">
        <v>67</v>
      </c>
      <c r="C452" s="17" t="s">
        <v>113</v>
      </c>
      <c r="D452" s="17" t="s">
        <v>114</v>
      </c>
      <c r="E452" s="17" t="s">
        <v>90</v>
      </c>
      <c r="F452" s="17" t="s">
        <v>90</v>
      </c>
      <c r="G452" s="17">
        <v>326.14236295172498</v>
      </c>
      <c r="H452" s="17">
        <v>278.56368547294602</v>
      </c>
      <c r="I452" s="17" t="s">
        <v>115</v>
      </c>
    </row>
    <row r="453" spans="1:9" x14ac:dyDescent="0.3">
      <c r="A453" s="17" t="s">
        <v>58</v>
      </c>
      <c r="B453" s="17" t="s">
        <v>67</v>
      </c>
      <c r="C453" s="17" t="s">
        <v>113</v>
      </c>
      <c r="D453" s="17" t="s">
        <v>114</v>
      </c>
      <c r="E453" s="17" t="s">
        <v>91</v>
      </c>
      <c r="F453" s="17" t="s">
        <v>91</v>
      </c>
      <c r="G453" s="17">
        <v>23.698609883982801</v>
      </c>
      <c r="H453" s="17">
        <v>20.241381861960001</v>
      </c>
      <c r="I453" s="17" t="s">
        <v>115</v>
      </c>
    </row>
    <row r="454" spans="1:9" x14ac:dyDescent="0.3">
      <c r="A454" s="17" t="s">
        <v>58</v>
      </c>
      <c r="B454" s="17" t="s">
        <v>67</v>
      </c>
      <c r="C454" s="17" t="s">
        <v>113</v>
      </c>
      <c r="D454" s="17" t="s">
        <v>114</v>
      </c>
      <c r="E454" s="17" t="s">
        <v>92</v>
      </c>
      <c r="F454" s="17" t="s">
        <v>92</v>
      </c>
      <c r="G454" s="17">
        <v>0.18563326230521299</v>
      </c>
      <c r="H454" s="17">
        <v>0.15855249599010299</v>
      </c>
      <c r="I454" s="17" t="s">
        <v>115</v>
      </c>
    </row>
    <row r="455" spans="1:9" x14ac:dyDescent="0.3">
      <c r="A455" s="17" t="s">
        <v>58</v>
      </c>
      <c r="B455" s="17" t="s">
        <v>67</v>
      </c>
      <c r="C455" s="17" t="s">
        <v>113</v>
      </c>
      <c r="D455" s="17" t="s">
        <v>114</v>
      </c>
      <c r="E455" s="17" t="s">
        <v>93</v>
      </c>
      <c r="F455" s="17" t="s">
        <v>130</v>
      </c>
      <c r="G455" s="17">
        <v>870.92439627680005</v>
      </c>
      <c r="H455" s="17">
        <v>743.87119600000005</v>
      </c>
      <c r="I455" s="17" t="s">
        <v>115</v>
      </c>
    </row>
    <row r="456" spans="1:9" x14ac:dyDescent="0.3">
      <c r="A456" s="17" t="s">
        <v>58</v>
      </c>
      <c r="B456" s="17" t="s">
        <v>67</v>
      </c>
      <c r="C456" s="17" t="s">
        <v>113</v>
      </c>
      <c r="D456" s="17" t="s">
        <v>114</v>
      </c>
      <c r="E456" s="17" t="s">
        <v>93</v>
      </c>
      <c r="F456" s="17" t="s">
        <v>131</v>
      </c>
      <c r="G456" s="17">
        <v>120.03416256</v>
      </c>
      <c r="H456" s="17">
        <v>102.5232</v>
      </c>
      <c r="I456" s="17" t="s">
        <v>115</v>
      </c>
    </row>
    <row r="457" spans="1:9" x14ac:dyDescent="0.3">
      <c r="A457" s="17" t="s">
        <v>58</v>
      </c>
      <c r="B457" s="17" t="s">
        <v>67</v>
      </c>
      <c r="C457" s="17" t="s">
        <v>113</v>
      </c>
      <c r="D457" s="17" t="s">
        <v>114</v>
      </c>
      <c r="E457" s="17" t="s">
        <v>93</v>
      </c>
      <c r="F457" s="17" t="s">
        <v>132</v>
      </c>
      <c r="G457" s="17">
        <v>2.0958069311999998</v>
      </c>
      <c r="H457" s="17">
        <v>1.7900640000000001</v>
      </c>
      <c r="I457" s="17" t="s">
        <v>115</v>
      </c>
    </row>
    <row r="458" spans="1:9" x14ac:dyDescent="0.3">
      <c r="A458" s="17" t="s">
        <v>58</v>
      </c>
      <c r="B458" s="17" t="s">
        <v>67</v>
      </c>
      <c r="C458" s="17" t="s">
        <v>113</v>
      </c>
      <c r="D458" s="17" t="s">
        <v>114</v>
      </c>
      <c r="E458" s="17" t="s">
        <v>93</v>
      </c>
      <c r="F458" s="17" t="s">
        <v>133</v>
      </c>
      <c r="G458" s="17">
        <v>23.2439207258065</v>
      </c>
      <c r="H458" s="17">
        <v>19.8530241935484</v>
      </c>
      <c r="I458" s="17" t="s">
        <v>115</v>
      </c>
    </row>
    <row r="459" spans="1:9" x14ac:dyDescent="0.3">
      <c r="A459" s="17" t="s">
        <v>58</v>
      </c>
      <c r="B459" s="17" t="s">
        <v>67</v>
      </c>
      <c r="C459" s="17" t="s">
        <v>113</v>
      </c>
      <c r="D459" s="17" t="s">
        <v>114</v>
      </c>
      <c r="E459" s="17" t="s">
        <v>93</v>
      </c>
      <c r="F459" s="17" t="s">
        <v>134</v>
      </c>
      <c r="G459" s="17">
        <v>3.5444049888000002</v>
      </c>
      <c r="H459" s="17">
        <v>3.027336</v>
      </c>
      <c r="I459" s="17" t="s">
        <v>115</v>
      </c>
    </row>
    <row r="460" spans="1:9" x14ac:dyDescent="0.3">
      <c r="A460" s="17" t="s">
        <v>58</v>
      </c>
      <c r="B460" s="17" t="s">
        <v>67</v>
      </c>
      <c r="C460" s="17" t="s">
        <v>113</v>
      </c>
      <c r="D460" s="17" t="s">
        <v>114</v>
      </c>
      <c r="E460" s="17" t="s">
        <v>93</v>
      </c>
      <c r="F460" s="17" t="s">
        <v>135</v>
      </c>
      <c r="G460" s="17">
        <v>18.662552000000002</v>
      </c>
      <c r="H460" s="17">
        <v>15.94</v>
      </c>
      <c r="I460" s="17" t="s">
        <v>115</v>
      </c>
    </row>
    <row r="461" spans="1:9" x14ac:dyDescent="0.3">
      <c r="A461" s="17" t="s">
        <v>58</v>
      </c>
      <c r="B461" s="17" t="s">
        <v>67</v>
      </c>
      <c r="C461" s="17" t="s">
        <v>113</v>
      </c>
      <c r="D461" s="17" t="s">
        <v>114</v>
      </c>
      <c r="E461" s="17" t="s">
        <v>93</v>
      </c>
      <c r="F461" s="17" t="s">
        <v>136</v>
      </c>
      <c r="G461" s="17">
        <v>346.111497123351</v>
      </c>
      <c r="H461" s="17">
        <v>295.61965931273602</v>
      </c>
      <c r="I461" s="17" t="s">
        <v>115</v>
      </c>
    </row>
    <row r="462" spans="1:9" x14ac:dyDescent="0.3">
      <c r="A462" s="17" t="s">
        <v>58</v>
      </c>
      <c r="B462" s="17" t="s">
        <v>67</v>
      </c>
      <c r="C462" s="17" t="s">
        <v>113</v>
      </c>
      <c r="D462" s="17" t="s">
        <v>114</v>
      </c>
      <c r="E462" s="17" t="s">
        <v>93</v>
      </c>
      <c r="F462" s="17" t="s">
        <v>137</v>
      </c>
      <c r="G462" s="17">
        <v>179.21457845200001</v>
      </c>
      <c r="H462" s="17">
        <v>153.07019</v>
      </c>
      <c r="I462" s="17" t="s">
        <v>115</v>
      </c>
    </row>
    <row r="463" spans="1:9" x14ac:dyDescent="0.3">
      <c r="A463" s="17" t="s">
        <v>58</v>
      </c>
      <c r="B463" s="17" t="s">
        <v>67</v>
      </c>
      <c r="C463" s="17" t="s">
        <v>113</v>
      </c>
      <c r="D463" s="17" t="s">
        <v>114</v>
      </c>
      <c r="E463" s="17" t="s">
        <v>94</v>
      </c>
      <c r="F463" s="17" t="s">
        <v>94</v>
      </c>
      <c r="G463" s="17">
        <v>27.440910667789701</v>
      </c>
      <c r="H463" s="17">
        <v>23.437743993670701</v>
      </c>
      <c r="I463" s="17" t="s">
        <v>115</v>
      </c>
    </row>
    <row r="464" spans="1:9" x14ac:dyDescent="0.3">
      <c r="A464" s="17" t="s">
        <v>58</v>
      </c>
      <c r="B464" s="17" t="s">
        <v>67</v>
      </c>
      <c r="C464" s="17" t="s">
        <v>113</v>
      </c>
      <c r="D464" s="17" t="s">
        <v>114</v>
      </c>
      <c r="E464" s="17" t="s">
        <v>95</v>
      </c>
      <c r="F464" s="17" t="s">
        <v>138</v>
      </c>
      <c r="G464" s="17">
        <v>494.24806847999997</v>
      </c>
      <c r="H464" s="17">
        <v>422.1456</v>
      </c>
      <c r="I464" s="17" t="s">
        <v>115</v>
      </c>
    </row>
    <row r="465" spans="1:9" x14ac:dyDescent="0.3">
      <c r="A465" s="17" t="s">
        <v>58</v>
      </c>
      <c r="B465" s="17" t="s">
        <v>67</v>
      </c>
      <c r="C465" s="17" t="s">
        <v>113</v>
      </c>
      <c r="D465" s="17" t="s">
        <v>114</v>
      </c>
      <c r="E465" s="17" t="s">
        <v>98</v>
      </c>
      <c r="F465" s="17" t="s">
        <v>139</v>
      </c>
      <c r="G465" s="17">
        <v>190.567213333333</v>
      </c>
      <c r="H465" s="17">
        <v>162.766666666666</v>
      </c>
      <c r="I465" s="17" t="s">
        <v>115</v>
      </c>
    </row>
    <row r="466" spans="1:9" x14ac:dyDescent="0.3">
      <c r="A466" s="17" t="s">
        <v>58</v>
      </c>
      <c r="B466" s="17" t="s">
        <v>67</v>
      </c>
      <c r="C466" s="17" t="s">
        <v>113</v>
      </c>
      <c r="D466" s="17" t="s">
        <v>114</v>
      </c>
      <c r="E466" s="17" t="s">
        <v>98</v>
      </c>
      <c r="F466" s="17" t="s">
        <v>140</v>
      </c>
      <c r="G466" s="17">
        <v>10603.795104000001</v>
      </c>
      <c r="H466" s="17">
        <v>9056.8800000000101</v>
      </c>
      <c r="I466" s="17" t="s">
        <v>115</v>
      </c>
    </row>
    <row r="467" spans="1:9" x14ac:dyDescent="0.3">
      <c r="A467" s="17" t="s">
        <v>58</v>
      </c>
      <c r="B467" s="17" t="s">
        <v>67</v>
      </c>
      <c r="C467" s="17" t="s">
        <v>113</v>
      </c>
      <c r="D467" s="17" t="s">
        <v>114</v>
      </c>
      <c r="E467" s="17" t="s">
        <v>98</v>
      </c>
      <c r="F467" s="17" t="s">
        <v>141</v>
      </c>
      <c r="G467" s="17">
        <v>95.445378494623597</v>
      </c>
      <c r="H467" s="17">
        <v>81.521505376344095</v>
      </c>
      <c r="I467" s="17" t="s">
        <v>115</v>
      </c>
    </row>
    <row r="468" spans="1:9" x14ac:dyDescent="0.3">
      <c r="A468" s="17" t="s">
        <v>58</v>
      </c>
      <c r="B468" s="17" t="s">
        <v>67</v>
      </c>
      <c r="C468" s="17" t="s">
        <v>113</v>
      </c>
      <c r="D468" s="17" t="s">
        <v>114</v>
      </c>
      <c r="E468" s="17" t="s">
        <v>96</v>
      </c>
      <c r="F468" s="17" t="s">
        <v>96</v>
      </c>
      <c r="G468" s="17">
        <v>7.0927031674211998</v>
      </c>
      <c r="H468" s="17">
        <v>6.0579972389999996</v>
      </c>
      <c r="I468" s="17" t="s">
        <v>115</v>
      </c>
    </row>
    <row r="469" spans="1:9" x14ac:dyDescent="0.3">
      <c r="A469" s="17" t="s">
        <v>58</v>
      </c>
      <c r="B469" s="17" t="s">
        <v>67</v>
      </c>
      <c r="C469" s="17" t="s">
        <v>113</v>
      </c>
      <c r="D469" s="17" t="s">
        <v>114</v>
      </c>
      <c r="E469" s="17" t="s">
        <v>97</v>
      </c>
      <c r="F469" s="17" t="s">
        <v>97</v>
      </c>
      <c r="G469" s="17">
        <v>137.92024000000001</v>
      </c>
      <c r="H469" s="17">
        <v>117.8</v>
      </c>
      <c r="I469" s="17" t="s">
        <v>115</v>
      </c>
    </row>
    <row r="470" spans="1:9" x14ac:dyDescent="0.3">
      <c r="A470" s="17" t="s">
        <v>58</v>
      </c>
      <c r="B470" s="17" t="s">
        <v>67</v>
      </c>
      <c r="C470" s="17" t="s">
        <v>113</v>
      </c>
      <c r="D470" s="17" t="s">
        <v>114</v>
      </c>
      <c r="E470" s="17" t="s">
        <v>99</v>
      </c>
      <c r="F470" s="17" t="s">
        <v>142</v>
      </c>
      <c r="G470" s="17">
        <v>1146.73288673308</v>
      </c>
      <c r="H470" s="17">
        <v>979.44387319190002</v>
      </c>
      <c r="I470" s="17" t="s">
        <v>115</v>
      </c>
    </row>
    <row r="471" spans="1:9" x14ac:dyDescent="0.3">
      <c r="A471" s="17" t="s">
        <v>58</v>
      </c>
      <c r="B471" s="17" t="s">
        <v>67</v>
      </c>
      <c r="C471" s="17" t="s">
        <v>113</v>
      </c>
      <c r="D471" s="17" t="s">
        <v>114</v>
      </c>
      <c r="E471" s="17" t="s">
        <v>99</v>
      </c>
      <c r="F471" s="17" t="s">
        <v>143</v>
      </c>
      <c r="G471" s="17">
        <v>24.858385192741601</v>
      </c>
      <c r="H471" s="17">
        <v>21.23196548748</v>
      </c>
      <c r="I471" s="17" t="s">
        <v>115</v>
      </c>
    </row>
    <row r="472" spans="1:9" x14ac:dyDescent="0.3">
      <c r="A472" s="17" t="s">
        <v>58</v>
      </c>
      <c r="B472" s="17" t="s">
        <v>67</v>
      </c>
      <c r="C472" s="17" t="s">
        <v>113</v>
      </c>
      <c r="D472" s="17" t="s">
        <v>114</v>
      </c>
      <c r="E472" s="17" t="s">
        <v>99</v>
      </c>
      <c r="F472" s="17" t="s">
        <v>144</v>
      </c>
      <c r="G472" s="17">
        <v>93.8560549345315</v>
      </c>
      <c r="H472" s="17">
        <v>80.164037354399994</v>
      </c>
      <c r="I472" s="17" t="s">
        <v>115</v>
      </c>
    </row>
    <row r="473" spans="1:9" x14ac:dyDescent="0.3">
      <c r="A473" s="17" t="s">
        <v>58</v>
      </c>
      <c r="B473" s="17" t="s">
        <v>67</v>
      </c>
      <c r="C473" s="17" t="s">
        <v>113</v>
      </c>
      <c r="D473" s="17" t="s">
        <v>114</v>
      </c>
      <c r="E473" s="17" t="s">
        <v>99</v>
      </c>
      <c r="F473" s="17" t="s">
        <v>145</v>
      </c>
      <c r="G473" s="17">
        <v>1.229410248E-4</v>
      </c>
      <c r="H473" s="17">
        <v>1.05006E-4</v>
      </c>
      <c r="I473" s="17" t="s">
        <v>115</v>
      </c>
    </row>
    <row r="474" spans="1:9" x14ac:dyDescent="0.3">
      <c r="A474" s="17" t="s">
        <v>58</v>
      </c>
      <c r="B474" s="17" t="s">
        <v>67</v>
      </c>
      <c r="C474" s="17" t="s">
        <v>113</v>
      </c>
      <c r="D474" s="17" t="s">
        <v>114</v>
      </c>
      <c r="E474" s="17" t="s">
        <v>99</v>
      </c>
      <c r="F474" s="17" t="s">
        <v>146</v>
      </c>
      <c r="G474" s="17">
        <v>7.9246275659039994E-2</v>
      </c>
      <c r="H474" s="17">
        <v>6.7685578800000007E-2</v>
      </c>
      <c r="I474" s="17" t="s">
        <v>115</v>
      </c>
    </row>
    <row r="475" spans="1:9" x14ac:dyDescent="0.3">
      <c r="A475" s="17" t="s">
        <v>58</v>
      </c>
      <c r="B475" s="17" t="s">
        <v>67</v>
      </c>
      <c r="C475" s="17" t="s">
        <v>113</v>
      </c>
      <c r="D475" s="17" t="s">
        <v>114</v>
      </c>
      <c r="E475" s="17" t="s">
        <v>99</v>
      </c>
      <c r="F475" s="17" t="s">
        <v>147</v>
      </c>
      <c r="G475" s="17">
        <v>90.420582936366799</v>
      </c>
      <c r="H475" s="17">
        <v>77.229742856480001</v>
      </c>
      <c r="I475" s="17" t="s">
        <v>115</v>
      </c>
    </row>
    <row r="476" spans="1:9" x14ac:dyDescent="0.3">
      <c r="A476" s="17" t="s">
        <v>58</v>
      </c>
      <c r="B476" s="17" t="s">
        <v>67</v>
      </c>
      <c r="C476" s="17" t="s">
        <v>113</v>
      </c>
      <c r="D476" s="17" t="s">
        <v>114</v>
      </c>
      <c r="E476" s="17" t="s">
        <v>99</v>
      </c>
      <c r="F476" s="17" t="s">
        <v>148</v>
      </c>
      <c r="G476" s="17">
        <v>1286.2166458824299</v>
      </c>
      <c r="H476" s="17">
        <v>1098.579301232</v>
      </c>
      <c r="I476" s="17" t="s">
        <v>115</v>
      </c>
    </row>
    <row r="477" spans="1:9" x14ac:dyDescent="0.3">
      <c r="A477" s="17" t="s">
        <v>58</v>
      </c>
      <c r="B477" s="17" t="s">
        <v>67</v>
      </c>
      <c r="C477" s="17" t="s">
        <v>113</v>
      </c>
      <c r="D477" s="17" t="s">
        <v>114</v>
      </c>
      <c r="E477" s="17" t="s">
        <v>99</v>
      </c>
      <c r="F477" s="17" t="s">
        <v>149</v>
      </c>
      <c r="G477" s="17">
        <v>4.6166985600000001E-6</v>
      </c>
      <c r="H477" s="17">
        <v>3.9431999999999998E-6</v>
      </c>
      <c r="I477" s="17" t="s">
        <v>115</v>
      </c>
    </row>
    <row r="478" spans="1:9" x14ac:dyDescent="0.3">
      <c r="A478" s="17" t="s">
        <v>58</v>
      </c>
      <c r="B478" s="17" t="s">
        <v>67</v>
      </c>
      <c r="C478" s="17" t="s">
        <v>113</v>
      </c>
      <c r="D478" s="17" t="s">
        <v>114</v>
      </c>
      <c r="E478" s="17" t="s">
        <v>99</v>
      </c>
      <c r="F478" s="17" t="s">
        <v>150</v>
      </c>
      <c r="G478" s="17">
        <v>3.9347871743999999E-4</v>
      </c>
      <c r="H478" s="17">
        <v>3.3607679999999999E-4</v>
      </c>
      <c r="I478" s="17" t="s">
        <v>115</v>
      </c>
    </row>
    <row r="479" spans="1:9" x14ac:dyDescent="0.3">
      <c r="A479" s="17" t="s">
        <v>58</v>
      </c>
      <c r="B479" s="17" t="s">
        <v>67</v>
      </c>
      <c r="C479" s="17" t="s">
        <v>113</v>
      </c>
      <c r="D479" s="17" t="s">
        <v>114</v>
      </c>
      <c r="E479" s="17" t="s">
        <v>99</v>
      </c>
      <c r="F479" s="17" t="s">
        <v>151</v>
      </c>
      <c r="G479" s="17">
        <v>8.8131729658175999</v>
      </c>
      <c r="H479" s="17">
        <v>7.5274794719999996</v>
      </c>
      <c r="I479" s="17" t="s">
        <v>115</v>
      </c>
    </row>
    <row r="480" spans="1:9" x14ac:dyDescent="0.3">
      <c r="A480" s="17" t="s">
        <v>58</v>
      </c>
      <c r="B480" s="17" t="s">
        <v>67</v>
      </c>
      <c r="C480" s="17" t="s">
        <v>113</v>
      </c>
      <c r="D480" s="17" t="s">
        <v>114</v>
      </c>
      <c r="E480" s="17" t="s">
        <v>99</v>
      </c>
      <c r="F480" s="17" t="s">
        <v>152</v>
      </c>
      <c r="G480" s="17">
        <v>28.808024691646398</v>
      </c>
      <c r="H480" s="17">
        <v>24.605419108</v>
      </c>
      <c r="I480" s="17" t="s">
        <v>115</v>
      </c>
    </row>
    <row r="481" spans="1:9" x14ac:dyDescent="0.3">
      <c r="A481" s="17" t="s">
        <v>58</v>
      </c>
      <c r="B481" s="17" t="s">
        <v>67</v>
      </c>
      <c r="C481" s="17" t="s">
        <v>113</v>
      </c>
      <c r="D481" s="17" t="s">
        <v>114</v>
      </c>
      <c r="E481" s="17" t="s">
        <v>99</v>
      </c>
      <c r="F481" s="17" t="s">
        <v>153</v>
      </c>
      <c r="G481" s="17">
        <v>3.3415375881829599</v>
      </c>
      <c r="H481" s="17">
        <v>2.8540635362</v>
      </c>
      <c r="I481" s="17" t="s">
        <v>115</v>
      </c>
    </row>
    <row r="482" spans="1:9" x14ac:dyDescent="0.3">
      <c r="A482" s="17" t="s">
        <v>58</v>
      </c>
      <c r="B482" s="17" t="s">
        <v>67</v>
      </c>
      <c r="C482" s="17" t="s">
        <v>113</v>
      </c>
      <c r="D482" s="17" t="s">
        <v>114</v>
      </c>
      <c r="E482" s="17" t="s">
        <v>99</v>
      </c>
      <c r="F482" s="17" t="s">
        <v>154</v>
      </c>
      <c r="G482" s="17">
        <v>2.6937691468799999E-3</v>
      </c>
      <c r="H482" s="17">
        <v>2.3007936E-3</v>
      </c>
      <c r="I482" s="17" t="s">
        <v>115</v>
      </c>
    </row>
    <row r="483" spans="1:9" x14ac:dyDescent="0.3">
      <c r="A483" s="17" t="s">
        <v>58</v>
      </c>
      <c r="B483" s="17" t="s">
        <v>67</v>
      </c>
      <c r="C483" s="17" t="s">
        <v>113</v>
      </c>
      <c r="D483" s="17" t="s">
        <v>114</v>
      </c>
      <c r="E483" s="17" t="s">
        <v>101</v>
      </c>
      <c r="F483" s="17" t="s">
        <v>170</v>
      </c>
      <c r="G483" s="17">
        <v>74.028457919999994</v>
      </c>
      <c r="H483" s="17">
        <v>63.228952784420898</v>
      </c>
      <c r="I483" s="17" t="s">
        <v>115</v>
      </c>
    </row>
    <row r="484" spans="1:9" x14ac:dyDescent="0.3">
      <c r="A484" s="17" t="s">
        <v>58</v>
      </c>
      <c r="B484" s="17" t="s">
        <v>67</v>
      </c>
      <c r="C484" s="17" t="s">
        <v>113</v>
      </c>
      <c r="D484" s="17" t="s">
        <v>114</v>
      </c>
      <c r="E484" s="17" t="s">
        <v>101</v>
      </c>
      <c r="F484" s="17" t="s">
        <v>175</v>
      </c>
      <c r="G484" s="17">
        <v>6.3811710303680005E-2</v>
      </c>
      <c r="H484" s="17">
        <v>5.4502656562760501E-2</v>
      </c>
      <c r="I484" s="17" t="s">
        <v>115</v>
      </c>
    </row>
    <row r="485" spans="1:9" x14ac:dyDescent="0.3">
      <c r="A485" s="17" t="s">
        <v>58</v>
      </c>
      <c r="B485" s="17" t="s">
        <v>67</v>
      </c>
      <c r="C485" s="17" t="s">
        <v>113</v>
      </c>
      <c r="D485" s="17" t="s">
        <v>114</v>
      </c>
      <c r="E485" s="17" t="s">
        <v>101</v>
      </c>
      <c r="F485" s="17" t="s">
        <v>173</v>
      </c>
      <c r="G485" s="17">
        <v>5.4520713929955997</v>
      </c>
      <c r="H485" s="17">
        <v>4.6567060070000004</v>
      </c>
      <c r="I485" s="17" t="s">
        <v>115</v>
      </c>
    </row>
    <row r="486" spans="1:9" x14ac:dyDescent="0.3">
      <c r="A486" s="17" t="s">
        <v>58</v>
      </c>
      <c r="B486" s="17" t="s">
        <v>67</v>
      </c>
      <c r="C486" s="17" t="s">
        <v>113</v>
      </c>
      <c r="D486" s="17" t="s">
        <v>114</v>
      </c>
      <c r="E486" s="17" t="s">
        <v>101</v>
      </c>
      <c r="F486" s="17" t="s">
        <v>155</v>
      </c>
      <c r="G486" s="17">
        <v>126.31817976587899</v>
      </c>
      <c r="H486" s="17">
        <v>107.89048493839999</v>
      </c>
      <c r="I486" s="17" t="s">
        <v>115</v>
      </c>
    </row>
    <row r="487" spans="1:9" x14ac:dyDescent="0.3">
      <c r="A487" s="17" t="s">
        <v>58</v>
      </c>
      <c r="B487" s="17" t="s">
        <v>67</v>
      </c>
      <c r="C487" s="17" t="s">
        <v>113</v>
      </c>
      <c r="D487" s="17" t="s">
        <v>114</v>
      </c>
      <c r="E487" s="17" t="s">
        <v>101</v>
      </c>
      <c r="F487" s="17" t="s">
        <v>156</v>
      </c>
      <c r="G487" s="17">
        <v>178.65078644831499</v>
      </c>
      <c r="H487" s="17">
        <v>152.58864575359999</v>
      </c>
      <c r="I487" s="17" t="s">
        <v>115</v>
      </c>
    </row>
    <row r="488" spans="1:9" x14ac:dyDescent="0.3">
      <c r="A488" s="17" t="s">
        <v>58</v>
      </c>
      <c r="B488" s="17" t="s">
        <v>67</v>
      </c>
      <c r="C488" s="17" t="s">
        <v>113</v>
      </c>
      <c r="D488" s="17" t="s">
        <v>114</v>
      </c>
      <c r="E488" s="17" t="s">
        <v>101</v>
      </c>
      <c r="F488" s="17" t="s">
        <v>157</v>
      </c>
      <c r="G488" s="17">
        <v>5865.0579859627796</v>
      </c>
      <c r="H488" s="17">
        <v>5009.4448120625002</v>
      </c>
      <c r="I488" s="17" t="s">
        <v>115</v>
      </c>
    </row>
    <row r="489" spans="1:9" x14ac:dyDescent="0.3">
      <c r="A489" s="17" t="s">
        <v>58</v>
      </c>
      <c r="B489" s="17" t="s">
        <v>67</v>
      </c>
      <c r="C489" s="17" t="s">
        <v>113</v>
      </c>
      <c r="D489" s="17" t="s">
        <v>114</v>
      </c>
      <c r="E489" s="17" t="s">
        <v>101</v>
      </c>
      <c r="F489" s="17" t="s">
        <v>158</v>
      </c>
      <c r="G489" s="17">
        <v>472.52656967728899</v>
      </c>
      <c r="H489" s="17">
        <v>403.59290201340002</v>
      </c>
      <c r="I489" s="17" t="s">
        <v>115</v>
      </c>
    </row>
    <row r="490" spans="1:9" x14ac:dyDescent="0.3">
      <c r="A490" s="17" t="s">
        <v>58</v>
      </c>
      <c r="B490" s="17" t="s">
        <v>67</v>
      </c>
      <c r="C490" s="17" t="s">
        <v>113</v>
      </c>
      <c r="D490" s="17" t="s">
        <v>114</v>
      </c>
      <c r="E490" s="17" t="s">
        <v>101</v>
      </c>
      <c r="F490" s="17" t="s">
        <v>159</v>
      </c>
      <c r="G490" s="17">
        <v>138.245719698964</v>
      </c>
      <c r="H490" s="17">
        <v>118.077997693</v>
      </c>
      <c r="I490" s="17" t="s">
        <v>115</v>
      </c>
    </row>
    <row r="491" spans="1:9" x14ac:dyDescent="0.3">
      <c r="A491" s="17" t="s">
        <v>58</v>
      </c>
      <c r="B491" s="17" t="s">
        <v>67</v>
      </c>
      <c r="C491" s="17" t="s">
        <v>113</v>
      </c>
      <c r="D491" s="17" t="s">
        <v>114</v>
      </c>
      <c r="E491" s="17" t="s">
        <v>101</v>
      </c>
      <c r="F491" s="17" t="s">
        <v>160</v>
      </c>
      <c r="G491" s="17">
        <v>799.02414563186596</v>
      </c>
      <c r="H491" s="17">
        <v>682.45998089499994</v>
      </c>
      <c r="I491" s="17" t="s">
        <v>115</v>
      </c>
    </row>
    <row r="492" spans="1:9" x14ac:dyDescent="0.3">
      <c r="A492" s="17" t="s">
        <v>58</v>
      </c>
      <c r="B492" s="17" t="s">
        <v>67</v>
      </c>
      <c r="C492" s="17" t="s">
        <v>113</v>
      </c>
      <c r="D492" s="17" t="s">
        <v>114</v>
      </c>
      <c r="E492" s="17" t="s">
        <v>101</v>
      </c>
      <c r="F492" s="17" t="s">
        <v>162</v>
      </c>
      <c r="G492" s="17">
        <v>238.32329102246999</v>
      </c>
      <c r="H492" s="17">
        <v>203.55593698536899</v>
      </c>
      <c r="I492" s="17" t="s">
        <v>115</v>
      </c>
    </row>
    <row r="493" spans="1:9" x14ac:dyDescent="0.3">
      <c r="A493" s="17" t="s">
        <v>58</v>
      </c>
      <c r="B493" s="17" t="s">
        <v>67</v>
      </c>
      <c r="C493" s="17" t="s">
        <v>113</v>
      </c>
      <c r="D493" s="17" t="s">
        <v>114</v>
      </c>
      <c r="E493" s="17" t="s">
        <v>101</v>
      </c>
      <c r="F493" s="17" t="s">
        <v>163</v>
      </c>
      <c r="G493" s="17">
        <v>330.04312809134399</v>
      </c>
      <c r="H493" s="17">
        <v>281.89539467999998</v>
      </c>
      <c r="I493" s="17" t="s">
        <v>115</v>
      </c>
    </row>
    <row r="494" spans="1:9" x14ac:dyDescent="0.3">
      <c r="A494" s="17" t="s">
        <v>58</v>
      </c>
      <c r="B494" s="17" t="s">
        <v>67</v>
      </c>
      <c r="C494" s="17" t="s">
        <v>113</v>
      </c>
      <c r="D494" s="17" t="s">
        <v>114</v>
      </c>
      <c r="E494" s="17" t="s">
        <v>101</v>
      </c>
      <c r="F494" s="17" t="s">
        <v>176</v>
      </c>
      <c r="G494" s="17">
        <v>1.25610788232</v>
      </c>
      <c r="H494" s="17">
        <v>1.07286289914588</v>
      </c>
      <c r="I494" s="17" t="s">
        <v>115</v>
      </c>
    </row>
    <row r="495" spans="1:9" x14ac:dyDescent="0.3">
      <c r="A495" s="17" t="s">
        <v>58</v>
      </c>
      <c r="B495" s="17" t="s">
        <v>67</v>
      </c>
      <c r="C495" s="17" t="s">
        <v>113</v>
      </c>
      <c r="D495" s="17" t="s">
        <v>114</v>
      </c>
      <c r="E495" s="17" t="s">
        <v>101</v>
      </c>
      <c r="F495" s="17" t="s">
        <v>164</v>
      </c>
      <c r="G495" s="17">
        <v>1.19752404400188</v>
      </c>
      <c r="H495" s="17">
        <v>1.0228254561000001</v>
      </c>
      <c r="I495" s="17" t="s">
        <v>115</v>
      </c>
    </row>
    <row r="496" spans="1:9" x14ac:dyDescent="0.3">
      <c r="A496" s="17" t="s">
        <v>58</v>
      </c>
      <c r="B496" s="17" t="s">
        <v>67</v>
      </c>
      <c r="C496" s="17" t="s">
        <v>113</v>
      </c>
      <c r="D496" s="17" t="s">
        <v>114</v>
      </c>
      <c r="E496" s="17" t="s">
        <v>102</v>
      </c>
      <c r="F496" s="17" t="s">
        <v>165</v>
      </c>
      <c r="G496" s="17">
        <v>40.287913698533302</v>
      </c>
      <c r="H496" s="17">
        <v>34.410585666666698</v>
      </c>
      <c r="I496" s="17" t="s">
        <v>115</v>
      </c>
    </row>
    <row r="497" spans="1:9" x14ac:dyDescent="0.3">
      <c r="A497" s="17" t="s">
        <v>58</v>
      </c>
      <c r="B497" s="17" t="s">
        <v>67</v>
      </c>
      <c r="C497" s="17" t="s">
        <v>113</v>
      </c>
      <c r="D497" s="17" t="s">
        <v>114</v>
      </c>
      <c r="E497" s="17" t="s">
        <v>102</v>
      </c>
      <c r="F497" s="17" t="s">
        <v>166</v>
      </c>
      <c r="G497" s="17">
        <v>514.22434294429797</v>
      </c>
      <c r="H497" s="17">
        <v>439.20767248402598</v>
      </c>
      <c r="I497" s="17" t="s">
        <v>115</v>
      </c>
    </row>
    <row r="498" spans="1:9" x14ac:dyDescent="0.3">
      <c r="A498" s="17" t="s">
        <v>58</v>
      </c>
      <c r="B498" s="17" t="s">
        <v>67</v>
      </c>
      <c r="C498" s="17" t="s">
        <v>113</v>
      </c>
      <c r="D498" s="17" t="s">
        <v>114</v>
      </c>
      <c r="E498" s="17" t="s">
        <v>103</v>
      </c>
      <c r="F498" s="17" t="s">
        <v>103</v>
      </c>
      <c r="G498" s="17">
        <v>34.443765200000001</v>
      </c>
      <c r="H498" s="17">
        <v>29.419</v>
      </c>
      <c r="I498" s="17" t="s">
        <v>115</v>
      </c>
    </row>
    <row r="499" spans="1:9" x14ac:dyDescent="0.3">
      <c r="A499" s="17" t="s">
        <v>58</v>
      </c>
      <c r="B499" s="17" t="s">
        <v>67</v>
      </c>
      <c r="C499" s="17" t="s">
        <v>167</v>
      </c>
      <c r="D499" s="17" t="s">
        <v>168</v>
      </c>
      <c r="E499" s="17" t="s">
        <v>100</v>
      </c>
      <c r="F499" s="17" t="s">
        <v>100</v>
      </c>
      <c r="G499" s="17">
        <v>0</v>
      </c>
      <c r="H499" s="17">
        <v>0</v>
      </c>
      <c r="I499" s="17" t="s">
        <v>115</v>
      </c>
    </row>
    <row r="500" spans="1:9" x14ac:dyDescent="0.3">
      <c r="A500" s="17" t="s">
        <v>58</v>
      </c>
      <c r="B500" s="17" t="s">
        <v>67</v>
      </c>
      <c r="C500" s="17" t="s">
        <v>167</v>
      </c>
      <c r="D500" s="17" t="s">
        <v>114</v>
      </c>
      <c r="E500" s="17" t="s">
        <v>100</v>
      </c>
      <c r="F500" s="17" t="s">
        <v>100</v>
      </c>
      <c r="G500" s="17">
        <v>275.25976320000001</v>
      </c>
      <c r="H500" s="17">
        <v>235.10400000000001</v>
      </c>
      <c r="I500" s="17" t="s">
        <v>115</v>
      </c>
    </row>
    <row r="501" spans="1:9" x14ac:dyDescent="0.3">
      <c r="A501" s="17" t="s">
        <v>58</v>
      </c>
      <c r="B501" s="17" t="s">
        <v>68</v>
      </c>
      <c r="C501" s="17" t="s">
        <v>113</v>
      </c>
      <c r="D501" s="17" t="s">
        <v>114</v>
      </c>
      <c r="E501" s="17" t="s">
        <v>71</v>
      </c>
      <c r="F501" s="17" t="s">
        <v>71</v>
      </c>
      <c r="G501" s="17">
        <v>75.868748999999994</v>
      </c>
      <c r="H501" s="17">
        <v>65.843999999999994</v>
      </c>
      <c r="I501" s="17" t="s">
        <v>115</v>
      </c>
    </row>
    <row r="502" spans="1:9" x14ac:dyDescent="0.3">
      <c r="A502" s="17" t="s">
        <v>58</v>
      </c>
      <c r="B502" s="17" t="s">
        <v>68</v>
      </c>
      <c r="C502" s="17" t="s">
        <v>113</v>
      </c>
      <c r="D502" s="17" t="s">
        <v>114</v>
      </c>
      <c r="E502" s="17" t="s">
        <v>72</v>
      </c>
      <c r="F502" s="17" t="s">
        <v>116</v>
      </c>
      <c r="G502" s="17">
        <v>191.28354762000001</v>
      </c>
      <c r="H502" s="17">
        <v>166.00872000000001</v>
      </c>
      <c r="I502" s="17" t="s">
        <v>115</v>
      </c>
    </row>
    <row r="503" spans="1:9" x14ac:dyDescent="0.3">
      <c r="A503" s="17" t="s">
        <v>58</v>
      </c>
      <c r="B503" s="17" t="s">
        <v>68</v>
      </c>
      <c r="C503" s="17" t="s">
        <v>113</v>
      </c>
      <c r="D503" s="17" t="s">
        <v>114</v>
      </c>
      <c r="E503" s="17" t="s">
        <v>73</v>
      </c>
      <c r="F503" s="17" t="s">
        <v>117</v>
      </c>
      <c r="G503" s="17">
        <v>0</v>
      </c>
      <c r="H503" s="17">
        <v>0</v>
      </c>
      <c r="I503" s="17" t="s">
        <v>115</v>
      </c>
    </row>
    <row r="504" spans="1:9" x14ac:dyDescent="0.3">
      <c r="A504" s="17" t="s">
        <v>58</v>
      </c>
      <c r="B504" s="17" t="s">
        <v>68</v>
      </c>
      <c r="C504" s="17" t="s">
        <v>113</v>
      </c>
      <c r="D504" s="17" t="s">
        <v>114</v>
      </c>
      <c r="E504" s="17" t="s">
        <v>73</v>
      </c>
      <c r="F504" s="17" t="s">
        <v>118</v>
      </c>
      <c r="G504" s="17">
        <v>564.25774679999995</v>
      </c>
      <c r="H504" s="17">
        <v>489.70080000000002</v>
      </c>
      <c r="I504" s="17" t="s">
        <v>115</v>
      </c>
    </row>
    <row r="505" spans="1:9" x14ac:dyDescent="0.3">
      <c r="A505" s="17" t="s">
        <v>58</v>
      </c>
      <c r="B505" s="17" t="s">
        <v>68</v>
      </c>
      <c r="C505" s="17" t="s">
        <v>113</v>
      </c>
      <c r="D505" s="17" t="s">
        <v>114</v>
      </c>
      <c r="E505" s="17" t="s">
        <v>73</v>
      </c>
      <c r="F505" s="17" t="s">
        <v>119</v>
      </c>
      <c r="G505" s="17">
        <v>960.14688000000001</v>
      </c>
      <c r="H505" s="17">
        <v>833.28</v>
      </c>
      <c r="I505" s="17" t="s">
        <v>115</v>
      </c>
    </row>
    <row r="506" spans="1:9" x14ac:dyDescent="0.3">
      <c r="A506" s="17" t="s">
        <v>58</v>
      </c>
      <c r="B506" s="17" t="s">
        <v>68</v>
      </c>
      <c r="C506" s="17" t="s">
        <v>113</v>
      </c>
      <c r="D506" s="17" t="s">
        <v>114</v>
      </c>
      <c r="E506" s="17" t="s">
        <v>73</v>
      </c>
      <c r="F506" s="17" t="s">
        <v>120</v>
      </c>
      <c r="G506" s="17">
        <v>31.1613227260274</v>
      </c>
      <c r="H506" s="17">
        <v>27.043890410958898</v>
      </c>
      <c r="I506" s="17" t="s">
        <v>115</v>
      </c>
    </row>
    <row r="507" spans="1:9" x14ac:dyDescent="0.3">
      <c r="A507" s="17" t="s">
        <v>58</v>
      </c>
      <c r="B507" s="17" t="s">
        <v>68</v>
      </c>
      <c r="C507" s="17" t="s">
        <v>113</v>
      </c>
      <c r="D507" s="17" t="s">
        <v>114</v>
      </c>
      <c r="E507" s="17" t="s">
        <v>74</v>
      </c>
      <c r="F507" s="17" t="s">
        <v>121</v>
      </c>
      <c r="G507" s="17">
        <v>41.551056799999998</v>
      </c>
      <c r="H507" s="17">
        <v>36.0608</v>
      </c>
      <c r="I507" s="17" t="s">
        <v>115</v>
      </c>
    </row>
    <row r="508" spans="1:9" x14ac:dyDescent="0.3">
      <c r="A508" s="17" t="s">
        <v>58</v>
      </c>
      <c r="B508" s="17" t="s">
        <v>68</v>
      </c>
      <c r="C508" s="17" t="s">
        <v>113</v>
      </c>
      <c r="D508" s="17" t="s">
        <v>114</v>
      </c>
      <c r="E508" s="17" t="s">
        <v>76</v>
      </c>
      <c r="F508" s="17" t="s">
        <v>122</v>
      </c>
      <c r="G508" s="17">
        <v>153.452046</v>
      </c>
      <c r="H508" s="17">
        <v>133.17599999999999</v>
      </c>
      <c r="I508" s="17" t="s">
        <v>115</v>
      </c>
    </row>
    <row r="509" spans="1:9" x14ac:dyDescent="0.3">
      <c r="A509" s="17" t="s">
        <v>58</v>
      </c>
      <c r="B509" s="17" t="s">
        <v>68</v>
      </c>
      <c r="C509" s="17" t="s">
        <v>113</v>
      </c>
      <c r="D509" s="17" t="s">
        <v>114</v>
      </c>
      <c r="E509" s="17" t="s">
        <v>80</v>
      </c>
      <c r="F509" s="17" t="s">
        <v>80</v>
      </c>
      <c r="G509" s="17">
        <v>0.72483860684400003</v>
      </c>
      <c r="H509" s="17">
        <v>0.62906366400000002</v>
      </c>
      <c r="I509" s="17" t="s">
        <v>115</v>
      </c>
    </row>
    <row r="510" spans="1:9" x14ac:dyDescent="0.3">
      <c r="A510" s="17" t="s">
        <v>58</v>
      </c>
      <c r="B510" s="17" t="s">
        <v>68</v>
      </c>
      <c r="C510" s="17" t="s">
        <v>113</v>
      </c>
      <c r="D510" s="17" t="s">
        <v>114</v>
      </c>
      <c r="E510" s="17" t="s">
        <v>77</v>
      </c>
      <c r="F510" s="17" t="s">
        <v>77</v>
      </c>
      <c r="G510" s="17">
        <v>6.7302922499999998E-4</v>
      </c>
      <c r="H510" s="17">
        <v>5.8410000000000005E-4</v>
      </c>
      <c r="I510" s="17" t="s">
        <v>115</v>
      </c>
    </row>
    <row r="511" spans="1:9" x14ac:dyDescent="0.3">
      <c r="A511" s="17" t="s">
        <v>58</v>
      </c>
      <c r="B511" s="17" t="s">
        <v>68</v>
      </c>
      <c r="C511" s="17" t="s">
        <v>113</v>
      </c>
      <c r="D511" s="17" t="s">
        <v>114</v>
      </c>
      <c r="E511" s="17" t="s">
        <v>78</v>
      </c>
      <c r="F511" s="17" t="s">
        <v>123</v>
      </c>
      <c r="G511" s="17">
        <v>17.875545599999999</v>
      </c>
      <c r="H511" s="17">
        <v>15.5136</v>
      </c>
      <c r="I511" s="17" t="s">
        <v>115</v>
      </c>
    </row>
    <row r="512" spans="1:9" x14ac:dyDescent="0.3">
      <c r="A512" s="17" t="s">
        <v>58</v>
      </c>
      <c r="B512" s="17" t="s">
        <v>68</v>
      </c>
      <c r="C512" s="17" t="s">
        <v>113</v>
      </c>
      <c r="D512" s="17" t="s">
        <v>114</v>
      </c>
      <c r="E512" s="17" t="s">
        <v>78</v>
      </c>
      <c r="F512" s="17" t="s">
        <v>124</v>
      </c>
      <c r="G512" s="17">
        <v>321.47775000000001</v>
      </c>
      <c r="H512" s="17">
        <v>279</v>
      </c>
      <c r="I512" s="17" t="s">
        <v>115</v>
      </c>
    </row>
    <row r="513" spans="1:9" x14ac:dyDescent="0.3">
      <c r="A513" s="17" t="s">
        <v>58</v>
      </c>
      <c r="B513" s="17" t="s">
        <v>68</v>
      </c>
      <c r="C513" s="17" t="s">
        <v>113</v>
      </c>
      <c r="D513" s="17" t="s">
        <v>114</v>
      </c>
      <c r="E513" s="17" t="s">
        <v>78</v>
      </c>
      <c r="F513" s="17" t="s">
        <v>125</v>
      </c>
      <c r="G513" s="17">
        <v>205.40285040000001</v>
      </c>
      <c r="H513" s="17">
        <v>178.26240000000001</v>
      </c>
      <c r="I513" s="17" t="s">
        <v>115</v>
      </c>
    </row>
    <row r="514" spans="1:9" x14ac:dyDescent="0.3">
      <c r="A514" s="17" t="s">
        <v>58</v>
      </c>
      <c r="B514" s="17" t="s">
        <v>68</v>
      </c>
      <c r="C514" s="17" t="s">
        <v>113</v>
      </c>
      <c r="D514" s="17" t="s">
        <v>114</v>
      </c>
      <c r="E514" s="17" t="s">
        <v>79</v>
      </c>
      <c r="F514" s="17" t="s">
        <v>126</v>
      </c>
      <c r="G514" s="17">
        <v>1180.1860598757701</v>
      </c>
      <c r="H514" s="17">
        <v>1024.24479051921</v>
      </c>
      <c r="I514" s="17" t="s">
        <v>115</v>
      </c>
    </row>
    <row r="515" spans="1:9" x14ac:dyDescent="0.3">
      <c r="A515" s="17" t="s">
        <v>58</v>
      </c>
      <c r="B515" s="17" t="s">
        <v>68</v>
      </c>
      <c r="C515" s="17" t="s">
        <v>113</v>
      </c>
      <c r="D515" s="17" t="s">
        <v>114</v>
      </c>
      <c r="E515" s="17" t="s">
        <v>79</v>
      </c>
      <c r="F515" s="17" t="s">
        <v>79</v>
      </c>
      <c r="G515" s="17">
        <v>2952.0542031015202</v>
      </c>
      <c r="H515" s="17">
        <v>2561.99106365938</v>
      </c>
      <c r="I515" s="17" t="s">
        <v>115</v>
      </c>
    </row>
    <row r="516" spans="1:9" x14ac:dyDescent="0.3">
      <c r="A516" s="17" t="s">
        <v>58</v>
      </c>
      <c r="B516" s="17" t="s">
        <v>68</v>
      </c>
      <c r="C516" s="17" t="s">
        <v>113</v>
      </c>
      <c r="D516" s="17" t="s">
        <v>114</v>
      </c>
      <c r="E516" s="17" t="s">
        <v>81</v>
      </c>
      <c r="F516" s="17" t="s">
        <v>81</v>
      </c>
      <c r="G516" s="17">
        <v>176.089618035341</v>
      </c>
      <c r="H516" s="17">
        <v>152.822406626462</v>
      </c>
      <c r="I516" s="17" t="s">
        <v>115</v>
      </c>
    </row>
    <row r="517" spans="1:9" x14ac:dyDescent="0.3">
      <c r="A517" s="17" t="s">
        <v>58</v>
      </c>
      <c r="B517" s="17" t="s">
        <v>68</v>
      </c>
      <c r="C517" s="17" t="s">
        <v>113</v>
      </c>
      <c r="D517" s="17" t="s">
        <v>114</v>
      </c>
      <c r="E517" s="17" t="s">
        <v>82</v>
      </c>
      <c r="F517" s="17" t="s">
        <v>82</v>
      </c>
      <c r="G517" s="17">
        <v>128.955766272685</v>
      </c>
      <c r="H517" s="17">
        <v>111.91648190295901</v>
      </c>
      <c r="I517" s="17" t="s">
        <v>115</v>
      </c>
    </row>
    <row r="518" spans="1:9" x14ac:dyDescent="0.3">
      <c r="A518" s="17" t="s">
        <v>58</v>
      </c>
      <c r="B518" s="17" t="s">
        <v>68</v>
      </c>
      <c r="C518" s="17" t="s">
        <v>113</v>
      </c>
      <c r="D518" s="17" t="s">
        <v>114</v>
      </c>
      <c r="E518" s="17" t="s">
        <v>83</v>
      </c>
      <c r="F518" s="17" t="s">
        <v>127</v>
      </c>
      <c r="G518" s="17">
        <v>0.44645398743797499</v>
      </c>
      <c r="H518" s="17">
        <v>0.38746277929093098</v>
      </c>
      <c r="I518" s="17" t="s">
        <v>115</v>
      </c>
    </row>
    <row r="519" spans="1:9" x14ac:dyDescent="0.3">
      <c r="A519" s="17" t="s">
        <v>58</v>
      </c>
      <c r="B519" s="17" t="s">
        <v>68</v>
      </c>
      <c r="C519" s="17" t="s">
        <v>113</v>
      </c>
      <c r="D519" s="17" t="s">
        <v>114</v>
      </c>
      <c r="E519" s="17" t="s">
        <v>83</v>
      </c>
      <c r="F519" s="17" t="s">
        <v>128</v>
      </c>
      <c r="G519" s="17">
        <v>1.6169374939994701</v>
      </c>
      <c r="H519" s="17">
        <v>1.4032870418741299</v>
      </c>
      <c r="I519" s="17" t="s">
        <v>115</v>
      </c>
    </row>
    <row r="520" spans="1:9" x14ac:dyDescent="0.3">
      <c r="A520" s="17" t="s">
        <v>58</v>
      </c>
      <c r="B520" s="17" t="s">
        <v>68</v>
      </c>
      <c r="C520" s="17" t="s">
        <v>113</v>
      </c>
      <c r="D520" s="17" t="s">
        <v>114</v>
      </c>
      <c r="E520" s="17" t="s">
        <v>84</v>
      </c>
      <c r="F520" s="17" t="s">
        <v>177</v>
      </c>
      <c r="G520" s="17">
        <v>2.9785704606441299</v>
      </c>
      <c r="H520" s="17">
        <v>2.5850036542799999</v>
      </c>
      <c r="I520" s="17" t="s">
        <v>115</v>
      </c>
    </row>
    <row r="521" spans="1:9" x14ac:dyDescent="0.3">
      <c r="A521" s="17" t="s">
        <v>58</v>
      </c>
      <c r="B521" s="17" t="s">
        <v>68</v>
      </c>
      <c r="C521" s="17" t="s">
        <v>113</v>
      </c>
      <c r="D521" s="17" t="s">
        <v>114</v>
      </c>
      <c r="E521" s="17" t="s">
        <v>84</v>
      </c>
      <c r="F521" s="17" t="s">
        <v>172</v>
      </c>
      <c r="G521" s="17">
        <v>6.1318287175199999E-2</v>
      </c>
      <c r="H521" s="17">
        <v>5.3216131200000003E-2</v>
      </c>
      <c r="I521" s="17" t="s">
        <v>115</v>
      </c>
    </row>
    <row r="522" spans="1:9" x14ac:dyDescent="0.3">
      <c r="A522" s="17" t="s">
        <v>58</v>
      </c>
      <c r="B522" s="17" t="s">
        <v>68</v>
      </c>
      <c r="C522" s="17" t="s">
        <v>113</v>
      </c>
      <c r="D522" s="17" t="s">
        <v>114</v>
      </c>
      <c r="E522" s="17" t="s">
        <v>84</v>
      </c>
      <c r="F522" s="17" t="s">
        <v>129</v>
      </c>
      <c r="G522" s="17">
        <v>15611.514177737399</v>
      </c>
      <c r="H522" s="17">
        <v>13548.7213519092</v>
      </c>
      <c r="I522" s="17" t="s">
        <v>115</v>
      </c>
    </row>
    <row r="523" spans="1:9" x14ac:dyDescent="0.3">
      <c r="A523" s="17" t="s">
        <v>58</v>
      </c>
      <c r="B523" s="17" t="s">
        <v>68</v>
      </c>
      <c r="C523" s="17" t="s">
        <v>113</v>
      </c>
      <c r="D523" s="17" t="s">
        <v>114</v>
      </c>
      <c r="E523" s="17" t="s">
        <v>85</v>
      </c>
      <c r="F523" s="17" t="s">
        <v>85</v>
      </c>
      <c r="G523" s="17">
        <v>161.61218395481299</v>
      </c>
      <c r="H523" s="17">
        <v>140.257916211598</v>
      </c>
      <c r="I523" s="17" t="s">
        <v>115</v>
      </c>
    </row>
    <row r="524" spans="1:9" x14ac:dyDescent="0.3">
      <c r="A524" s="17" t="s">
        <v>58</v>
      </c>
      <c r="B524" s="17" t="s">
        <v>68</v>
      </c>
      <c r="C524" s="17" t="s">
        <v>113</v>
      </c>
      <c r="D524" s="17" t="s">
        <v>114</v>
      </c>
      <c r="E524" s="17" t="s">
        <v>86</v>
      </c>
      <c r="F524" s="17" t="s">
        <v>86</v>
      </c>
      <c r="G524" s="17">
        <v>0.15780971869580601</v>
      </c>
      <c r="H524" s="17">
        <v>0.13695788127212499</v>
      </c>
      <c r="I524" s="17" t="s">
        <v>115</v>
      </c>
    </row>
    <row r="525" spans="1:9" x14ac:dyDescent="0.3">
      <c r="A525" s="17" t="s">
        <v>58</v>
      </c>
      <c r="B525" s="17" t="s">
        <v>68</v>
      </c>
      <c r="C525" s="17" t="s">
        <v>113</v>
      </c>
      <c r="D525" s="17" t="s">
        <v>114</v>
      </c>
      <c r="E525" s="17" t="s">
        <v>87</v>
      </c>
      <c r="F525" s="17" t="s">
        <v>87</v>
      </c>
      <c r="G525" s="17">
        <v>1.4427145333535001</v>
      </c>
      <c r="H525" s="17">
        <v>1.2520846459999999</v>
      </c>
      <c r="I525" s="17" t="s">
        <v>115</v>
      </c>
    </row>
    <row r="526" spans="1:9" x14ac:dyDescent="0.3">
      <c r="A526" s="17" t="s">
        <v>58</v>
      </c>
      <c r="B526" s="17" t="s">
        <v>68</v>
      </c>
      <c r="C526" s="17" t="s">
        <v>113</v>
      </c>
      <c r="D526" s="17" t="s">
        <v>114</v>
      </c>
      <c r="E526" s="17" t="s">
        <v>88</v>
      </c>
      <c r="F526" s="17" t="s">
        <v>88</v>
      </c>
      <c r="G526" s="17">
        <v>13.654368826494</v>
      </c>
      <c r="H526" s="17">
        <v>11.850179064000001</v>
      </c>
      <c r="I526" s="17" t="s">
        <v>115</v>
      </c>
    </row>
    <row r="527" spans="1:9" x14ac:dyDescent="0.3">
      <c r="A527" s="17" t="s">
        <v>58</v>
      </c>
      <c r="B527" s="17" t="s">
        <v>68</v>
      </c>
      <c r="C527" s="17" t="s">
        <v>113</v>
      </c>
      <c r="D527" s="17" t="s">
        <v>114</v>
      </c>
      <c r="E527" s="17" t="s">
        <v>89</v>
      </c>
      <c r="F527" s="17" t="s">
        <v>89</v>
      </c>
      <c r="G527" s="17">
        <v>267.78339349715202</v>
      </c>
      <c r="H527" s="17">
        <v>232.40042829000001</v>
      </c>
      <c r="I527" s="17" t="s">
        <v>115</v>
      </c>
    </row>
    <row r="528" spans="1:9" x14ac:dyDescent="0.3">
      <c r="A528" s="17" t="s">
        <v>58</v>
      </c>
      <c r="B528" s="17" t="s">
        <v>68</v>
      </c>
      <c r="C528" s="17" t="s">
        <v>113</v>
      </c>
      <c r="D528" s="17" t="s">
        <v>114</v>
      </c>
      <c r="E528" s="17" t="s">
        <v>90</v>
      </c>
      <c r="F528" s="17" t="s">
        <v>90</v>
      </c>
      <c r="G528" s="17">
        <v>339.66683719882099</v>
      </c>
      <c r="H528" s="17">
        <v>294.78571247456802</v>
      </c>
      <c r="I528" s="17" t="s">
        <v>115</v>
      </c>
    </row>
    <row r="529" spans="1:9" x14ac:dyDescent="0.3">
      <c r="A529" s="17" t="s">
        <v>58</v>
      </c>
      <c r="B529" s="17" t="s">
        <v>68</v>
      </c>
      <c r="C529" s="17" t="s">
        <v>113</v>
      </c>
      <c r="D529" s="17" t="s">
        <v>114</v>
      </c>
      <c r="E529" s="17" t="s">
        <v>91</v>
      </c>
      <c r="F529" s="17" t="s">
        <v>91</v>
      </c>
      <c r="G529" s="17">
        <v>22.759516220900998</v>
      </c>
      <c r="H529" s="17">
        <v>19.752237987329998</v>
      </c>
      <c r="I529" s="17" t="s">
        <v>115</v>
      </c>
    </row>
    <row r="530" spans="1:9" x14ac:dyDescent="0.3">
      <c r="A530" s="17" t="s">
        <v>58</v>
      </c>
      <c r="B530" s="17" t="s">
        <v>68</v>
      </c>
      <c r="C530" s="17" t="s">
        <v>113</v>
      </c>
      <c r="D530" s="17" t="s">
        <v>114</v>
      </c>
      <c r="E530" s="17" t="s">
        <v>92</v>
      </c>
      <c r="F530" s="17" t="s">
        <v>92</v>
      </c>
      <c r="G530" s="17">
        <v>13.3694674665338</v>
      </c>
      <c r="H530" s="17">
        <v>11.6029225138067</v>
      </c>
      <c r="I530" s="17" t="s">
        <v>115</v>
      </c>
    </row>
    <row r="531" spans="1:9" x14ac:dyDescent="0.3">
      <c r="A531" s="17" t="s">
        <v>58</v>
      </c>
      <c r="B531" s="17" t="s">
        <v>68</v>
      </c>
      <c r="C531" s="17" t="s">
        <v>113</v>
      </c>
      <c r="D531" s="17" t="s">
        <v>114</v>
      </c>
      <c r="E531" s="17" t="s">
        <v>93</v>
      </c>
      <c r="F531" s="17" t="s">
        <v>130</v>
      </c>
      <c r="G531" s="17">
        <v>1030.61724557</v>
      </c>
      <c r="H531" s="17">
        <v>894.43892000000005</v>
      </c>
      <c r="I531" s="17" t="s">
        <v>115</v>
      </c>
    </row>
    <row r="532" spans="1:9" x14ac:dyDescent="0.3">
      <c r="A532" s="17" t="s">
        <v>58</v>
      </c>
      <c r="B532" s="17" t="s">
        <v>68</v>
      </c>
      <c r="C532" s="17" t="s">
        <v>113</v>
      </c>
      <c r="D532" s="17" t="s">
        <v>114</v>
      </c>
      <c r="E532" s="17" t="s">
        <v>93</v>
      </c>
      <c r="F532" s="17" t="s">
        <v>131</v>
      </c>
      <c r="G532" s="17">
        <v>117.97357715</v>
      </c>
      <c r="H532" s="17">
        <v>102.3854</v>
      </c>
      <c r="I532" s="17" t="s">
        <v>115</v>
      </c>
    </row>
    <row r="533" spans="1:9" x14ac:dyDescent="0.3">
      <c r="A533" s="17" t="s">
        <v>58</v>
      </c>
      <c r="B533" s="17" t="s">
        <v>68</v>
      </c>
      <c r="C533" s="17" t="s">
        <v>113</v>
      </c>
      <c r="D533" s="17" t="s">
        <v>114</v>
      </c>
      <c r="E533" s="17" t="s">
        <v>93</v>
      </c>
      <c r="F533" s="17" t="s">
        <v>132</v>
      </c>
      <c r="G533" s="17">
        <v>2.0626012440000001</v>
      </c>
      <c r="H533" s="17">
        <v>1.7900640000000001</v>
      </c>
      <c r="I533" s="17" t="s">
        <v>115</v>
      </c>
    </row>
    <row r="534" spans="1:9" x14ac:dyDescent="0.3">
      <c r="A534" s="17" t="s">
        <v>58</v>
      </c>
      <c r="B534" s="17" t="s">
        <v>68</v>
      </c>
      <c r="C534" s="17" t="s">
        <v>113</v>
      </c>
      <c r="D534" s="17" t="s">
        <v>114</v>
      </c>
      <c r="E534" s="17" t="s">
        <v>93</v>
      </c>
      <c r="F534" s="17" t="s">
        <v>133</v>
      </c>
      <c r="G534" s="17">
        <v>30.5922375</v>
      </c>
      <c r="H534" s="17">
        <v>26.55</v>
      </c>
      <c r="I534" s="17" t="s">
        <v>115</v>
      </c>
    </row>
    <row r="535" spans="1:9" x14ac:dyDescent="0.3">
      <c r="A535" s="17" t="s">
        <v>58</v>
      </c>
      <c r="B535" s="17" t="s">
        <v>68</v>
      </c>
      <c r="C535" s="17" t="s">
        <v>113</v>
      </c>
      <c r="D535" s="17" t="s">
        <v>114</v>
      </c>
      <c r="E535" s="17" t="s">
        <v>93</v>
      </c>
      <c r="F535" s="17" t="s">
        <v>134</v>
      </c>
      <c r="G535" s="17">
        <v>3.4835594007499999</v>
      </c>
      <c r="H535" s="17">
        <v>3.0232670000000001</v>
      </c>
      <c r="I535" s="17" t="s">
        <v>115</v>
      </c>
    </row>
    <row r="536" spans="1:9" x14ac:dyDescent="0.3">
      <c r="A536" s="17" t="s">
        <v>58</v>
      </c>
      <c r="B536" s="17" t="s">
        <v>68</v>
      </c>
      <c r="C536" s="17" t="s">
        <v>113</v>
      </c>
      <c r="D536" s="17" t="s">
        <v>114</v>
      </c>
      <c r="E536" s="17" t="s">
        <v>93</v>
      </c>
      <c r="F536" s="17" t="s">
        <v>135</v>
      </c>
      <c r="G536" s="17">
        <v>25.661769042338701</v>
      </c>
      <c r="H536" s="17">
        <v>22.271008064516099</v>
      </c>
      <c r="I536" s="17" t="s">
        <v>115</v>
      </c>
    </row>
    <row r="537" spans="1:9" x14ac:dyDescent="0.3">
      <c r="A537" s="17" t="s">
        <v>58</v>
      </c>
      <c r="B537" s="17" t="s">
        <v>68</v>
      </c>
      <c r="C537" s="17" t="s">
        <v>113</v>
      </c>
      <c r="D537" s="17" t="s">
        <v>114</v>
      </c>
      <c r="E537" s="17" t="s">
        <v>93</v>
      </c>
      <c r="F537" s="17" t="s">
        <v>136</v>
      </c>
      <c r="G537" s="17">
        <v>181.13476808265199</v>
      </c>
      <c r="H537" s="17">
        <v>157.20092695391801</v>
      </c>
      <c r="I537" s="17" t="s">
        <v>115</v>
      </c>
    </row>
    <row r="538" spans="1:9" x14ac:dyDescent="0.3">
      <c r="A538" s="17" t="s">
        <v>58</v>
      </c>
      <c r="B538" s="17" t="s">
        <v>68</v>
      </c>
      <c r="C538" s="17" t="s">
        <v>113</v>
      </c>
      <c r="D538" s="17" t="s">
        <v>114</v>
      </c>
      <c r="E538" s="17" t="s">
        <v>93</v>
      </c>
      <c r="F538" s="17" t="s">
        <v>137</v>
      </c>
      <c r="G538" s="17">
        <v>173.42467507750001</v>
      </c>
      <c r="H538" s="17">
        <v>150.50959</v>
      </c>
      <c r="I538" s="17" t="s">
        <v>115</v>
      </c>
    </row>
    <row r="539" spans="1:9" x14ac:dyDescent="0.3">
      <c r="A539" s="17" t="s">
        <v>58</v>
      </c>
      <c r="B539" s="17" t="s">
        <v>68</v>
      </c>
      <c r="C539" s="17" t="s">
        <v>113</v>
      </c>
      <c r="D539" s="17" t="s">
        <v>114</v>
      </c>
      <c r="E539" s="17" t="s">
        <v>94</v>
      </c>
      <c r="F539" s="17" t="s">
        <v>94</v>
      </c>
      <c r="G539" s="17">
        <v>20.8601121675668</v>
      </c>
      <c r="H539" s="17">
        <v>18.1038074789038</v>
      </c>
      <c r="I539" s="17" t="s">
        <v>115</v>
      </c>
    </row>
    <row r="540" spans="1:9" x14ac:dyDescent="0.3">
      <c r="A540" s="17" t="s">
        <v>58</v>
      </c>
      <c r="B540" s="17" t="s">
        <v>68</v>
      </c>
      <c r="C540" s="17" t="s">
        <v>113</v>
      </c>
      <c r="D540" s="17" t="s">
        <v>114</v>
      </c>
      <c r="E540" s="17" t="s">
        <v>95</v>
      </c>
      <c r="F540" s="17" t="s">
        <v>138</v>
      </c>
      <c r="G540" s="17">
        <v>486.4172676</v>
      </c>
      <c r="H540" s="17">
        <v>422.1456</v>
      </c>
      <c r="I540" s="17" t="s">
        <v>115</v>
      </c>
    </row>
    <row r="541" spans="1:9" x14ac:dyDescent="0.3">
      <c r="A541" s="17" t="s">
        <v>58</v>
      </c>
      <c r="B541" s="17" t="s">
        <v>68</v>
      </c>
      <c r="C541" s="17" t="s">
        <v>113</v>
      </c>
      <c r="D541" s="17" t="s">
        <v>114</v>
      </c>
      <c r="E541" s="17" t="s">
        <v>98</v>
      </c>
      <c r="F541" s="17" t="s">
        <v>139</v>
      </c>
      <c r="G541" s="17">
        <v>203.602575</v>
      </c>
      <c r="H541" s="17">
        <v>176.7</v>
      </c>
      <c r="I541" s="17" t="s">
        <v>115</v>
      </c>
    </row>
    <row r="542" spans="1:9" x14ac:dyDescent="0.3">
      <c r="A542" s="17" t="s">
        <v>58</v>
      </c>
      <c r="B542" s="17" t="s">
        <v>68</v>
      </c>
      <c r="C542" s="17" t="s">
        <v>113</v>
      </c>
      <c r="D542" s="17" t="s">
        <v>114</v>
      </c>
      <c r="E542" s="17" t="s">
        <v>98</v>
      </c>
      <c r="F542" s="17" t="s">
        <v>140</v>
      </c>
      <c r="G542" s="17">
        <v>13012.720288333299</v>
      </c>
      <c r="H542" s="17">
        <v>11293.313333333301</v>
      </c>
      <c r="I542" s="17" t="s">
        <v>115</v>
      </c>
    </row>
    <row r="543" spans="1:9" x14ac:dyDescent="0.3">
      <c r="A543" s="17" t="s">
        <v>58</v>
      </c>
      <c r="B543" s="17" t="s">
        <v>68</v>
      </c>
      <c r="C543" s="17" t="s">
        <v>113</v>
      </c>
      <c r="D543" s="17" t="s">
        <v>114</v>
      </c>
      <c r="E543" s="17" t="s">
        <v>98</v>
      </c>
      <c r="F543" s="17" t="s">
        <v>141</v>
      </c>
      <c r="G543" s="17">
        <v>101.974125</v>
      </c>
      <c r="H543" s="17">
        <v>88.5</v>
      </c>
      <c r="I543" s="17" t="s">
        <v>115</v>
      </c>
    </row>
    <row r="544" spans="1:9" x14ac:dyDescent="0.3">
      <c r="A544" s="17" t="s">
        <v>58</v>
      </c>
      <c r="B544" s="17" t="s">
        <v>68</v>
      </c>
      <c r="C544" s="17" t="s">
        <v>113</v>
      </c>
      <c r="D544" s="17" t="s">
        <v>114</v>
      </c>
      <c r="E544" s="17" t="s">
        <v>96</v>
      </c>
      <c r="F544" s="17" t="s">
        <v>96</v>
      </c>
      <c r="G544" s="17">
        <v>6.9759167164995004</v>
      </c>
      <c r="H544" s="17">
        <v>6.0541694220000002</v>
      </c>
      <c r="I544" s="17" t="s">
        <v>115</v>
      </c>
    </row>
    <row r="545" spans="1:9" x14ac:dyDescent="0.3">
      <c r="A545" s="17" t="s">
        <v>58</v>
      </c>
      <c r="B545" s="17" t="s">
        <v>68</v>
      </c>
      <c r="C545" s="17" t="s">
        <v>113</v>
      </c>
      <c r="D545" s="17" t="s">
        <v>114</v>
      </c>
      <c r="E545" s="17" t="s">
        <v>97</v>
      </c>
      <c r="F545" s="17" t="s">
        <v>97</v>
      </c>
      <c r="G545" s="17">
        <v>135.73505</v>
      </c>
      <c r="H545" s="17">
        <v>117.8</v>
      </c>
      <c r="I545" s="17" t="s">
        <v>115</v>
      </c>
    </row>
    <row r="546" spans="1:9" x14ac:dyDescent="0.3">
      <c r="A546" s="17" t="s">
        <v>58</v>
      </c>
      <c r="B546" s="17" t="s">
        <v>68</v>
      </c>
      <c r="C546" s="17" t="s">
        <v>113</v>
      </c>
      <c r="D546" s="17" t="s">
        <v>114</v>
      </c>
      <c r="E546" s="17" t="s">
        <v>99</v>
      </c>
      <c r="F546" s="17" t="s">
        <v>142</v>
      </c>
      <c r="G546" s="17">
        <v>152.620554486744</v>
      </c>
      <c r="H546" s="17">
        <v>132.45437577499999</v>
      </c>
      <c r="I546" s="17" t="s">
        <v>115</v>
      </c>
    </row>
    <row r="547" spans="1:9" x14ac:dyDescent="0.3">
      <c r="A547" s="17" t="s">
        <v>58</v>
      </c>
      <c r="B547" s="17" t="s">
        <v>68</v>
      </c>
      <c r="C547" s="17" t="s">
        <v>113</v>
      </c>
      <c r="D547" s="17" t="s">
        <v>114</v>
      </c>
      <c r="E547" s="17" t="s">
        <v>99</v>
      </c>
      <c r="F547" s="17" t="s">
        <v>143</v>
      </c>
      <c r="G547" s="17">
        <v>21.778280107553002</v>
      </c>
      <c r="H547" s="17">
        <v>18.90065533309</v>
      </c>
      <c r="I547" s="17" t="s">
        <v>115</v>
      </c>
    </row>
    <row r="548" spans="1:9" x14ac:dyDescent="0.3">
      <c r="A548" s="17" t="s">
        <v>58</v>
      </c>
      <c r="B548" s="17" t="s">
        <v>68</v>
      </c>
      <c r="C548" s="17" t="s">
        <v>113</v>
      </c>
      <c r="D548" s="17" t="s">
        <v>114</v>
      </c>
      <c r="E548" s="17" t="s">
        <v>99</v>
      </c>
      <c r="F548" s="17" t="s">
        <v>144</v>
      </c>
      <c r="G548" s="17">
        <v>44.964801973457</v>
      </c>
      <c r="H548" s="17">
        <v>39.023477520900002</v>
      </c>
      <c r="I548" s="17" t="s">
        <v>115</v>
      </c>
    </row>
    <row r="549" spans="1:9" x14ac:dyDescent="0.3">
      <c r="A549" s="17" t="s">
        <v>58</v>
      </c>
      <c r="B549" s="17" t="s">
        <v>68</v>
      </c>
      <c r="C549" s="17" t="s">
        <v>113</v>
      </c>
      <c r="D549" s="17" t="s">
        <v>114</v>
      </c>
      <c r="E549" s="17" t="s">
        <v>99</v>
      </c>
      <c r="F549" s="17" t="s">
        <v>145</v>
      </c>
      <c r="G549" s="17">
        <v>1.2730518900000001E-4</v>
      </c>
      <c r="H549" s="17">
        <v>1.1048399999999999E-4</v>
      </c>
      <c r="I549" s="17" t="s">
        <v>115</v>
      </c>
    </row>
    <row r="550" spans="1:9" x14ac:dyDescent="0.3">
      <c r="A550" s="17" t="s">
        <v>58</v>
      </c>
      <c r="B550" s="17" t="s">
        <v>68</v>
      </c>
      <c r="C550" s="17" t="s">
        <v>113</v>
      </c>
      <c r="D550" s="17" t="s">
        <v>114</v>
      </c>
      <c r="E550" s="17" t="s">
        <v>99</v>
      </c>
      <c r="F550" s="17" t="s">
        <v>146</v>
      </c>
      <c r="G550" s="17">
        <v>6.3399090281999998E-2</v>
      </c>
      <c r="H550" s="17">
        <v>5.5021991999999999E-2</v>
      </c>
      <c r="I550" s="17" t="s">
        <v>115</v>
      </c>
    </row>
    <row r="551" spans="1:9" x14ac:dyDescent="0.3">
      <c r="A551" s="17" t="s">
        <v>58</v>
      </c>
      <c r="B551" s="17" t="s">
        <v>68</v>
      </c>
      <c r="C551" s="17" t="s">
        <v>113</v>
      </c>
      <c r="D551" s="17" t="s">
        <v>114</v>
      </c>
      <c r="E551" s="17" t="s">
        <v>99</v>
      </c>
      <c r="F551" s="17" t="s">
        <v>147</v>
      </c>
      <c r="G551" s="17">
        <v>6.4582243656843303</v>
      </c>
      <c r="H551" s="17">
        <v>5.6048812025899997</v>
      </c>
      <c r="I551" s="17" t="s">
        <v>115</v>
      </c>
    </row>
    <row r="552" spans="1:9" x14ac:dyDescent="0.3">
      <c r="A552" s="17" t="s">
        <v>58</v>
      </c>
      <c r="B552" s="17" t="s">
        <v>68</v>
      </c>
      <c r="C552" s="17" t="s">
        <v>113</v>
      </c>
      <c r="D552" s="17" t="s">
        <v>114</v>
      </c>
      <c r="E552" s="17" t="s">
        <v>99</v>
      </c>
      <c r="F552" s="17" t="s">
        <v>148</v>
      </c>
      <c r="G552" s="17">
        <v>1367.0054528136</v>
      </c>
      <c r="H552" s="17">
        <v>1186.3792170219999</v>
      </c>
      <c r="I552" s="17" t="s">
        <v>115</v>
      </c>
    </row>
    <row r="553" spans="1:9" x14ac:dyDescent="0.3">
      <c r="A553" s="17" t="s">
        <v>58</v>
      </c>
      <c r="B553" s="17" t="s">
        <v>68</v>
      </c>
      <c r="C553" s="17" t="s">
        <v>113</v>
      </c>
      <c r="D553" s="17" t="s">
        <v>114</v>
      </c>
      <c r="E553" s="17" t="s">
        <v>99</v>
      </c>
      <c r="F553" s="17" t="s">
        <v>149</v>
      </c>
      <c r="G553" s="17">
        <v>4.5435522000000002E-6</v>
      </c>
      <c r="H553" s="17">
        <v>3.9431999999999998E-6</v>
      </c>
      <c r="I553" s="17" t="s">
        <v>115</v>
      </c>
    </row>
    <row r="554" spans="1:9" x14ac:dyDescent="0.3">
      <c r="A554" s="17" t="s">
        <v>58</v>
      </c>
      <c r="B554" s="17" t="s">
        <v>68</v>
      </c>
      <c r="C554" s="17" t="s">
        <v>113</v>
      </c>
      <c r="D554" s="17" t="s">
        <v>114</v>
      </c>
      <c r="E554" s="17" t="s">
        <v>99</v>
      </c>
      <c r="F554" s="17" t="s">
        <v>150</v>
      </c>
      <c r="G554" s="17">
        <v>4.0790963565E-4</v>
      </c>
      <c r="H554" s="17">
        <v>3.5401140000000002E-4</v>
      </c>
      <c r="I554" s="17" t="s">
        <v>115</v>
      </c>
    </row>
    <row r="555" spans="1:9" x14ac:dyDescent="0.3">
      <c r="A555" s="17" t="s">
        <v>58</v>
      </c>
      <c r="B555" s="17" t="s">
        <v>68</v>
      </c>
      <c r="C555" s="17" t="s">
        <v>113</v>
      </c>
      <c r="D555" s="17" t="s">
        <v>114</v>
      </c>
      <c r="E555" s="17" t="s">
        <v>99</v>
      </c>
      <c r="F555" s="17" t="s">
        <v>151</v>
      </c>
      <c r="G555" s="17">
        <v>8.7870777623937002</v>
      </c>
      <c r="H555" s="17">
        <v>7.6260167171999997</v>
      </c>
      <c r="I555" s="17" t="s">
        <v>115</v>
      </c>
    </row>
    <row r="556" spans="1:9" x14ac:dyDescent="0.3">
      <c r="A556" s="17" t="s">
        <v>58</v>
      </c>
      <c r="B556" s="17" t="s">
        <v>68</v>
      </c>
      <c r="C556" s="17" t="s">
        <v>113</v>
      </c>
      <c r="D556" s="17" t="s">
        <v>114</v>
      </c>
      <c r="E556" s="17" t="s">
        <v>99</v>
      </c>
      <c r="F556" s="17" t="s">
        <v>152</v>
      </c>
      <c r="G556" s="17">
        <v>26.640184232496999</v>
      </c>
      <c r="H556" s="17">
        <v>23.120142531999999</v>
      </c>
      <c r="I556" s="17" t="s">
        <v>115</v>
      </c>
    </row>
    <row r="557" spans="1:9" x14ac:dyDescent="0.3">
      <c r="A557" s="17" t="s">
        <v>58</v>
      </c>
      <c r="B557" s="17" t="s">
        <v>68</v>
      </c>
      <c r="C557" s="17" t="s">
        <v>113</v>
      </c>
      <c r="D557" s="17" t="s">
        <v>114</v>
      </c>
      <c r="E557" s="17" t="s">
        <v>99</v>
      </c>
      <c r="F557" s="17" t="s">
        <v>153</v>
      </c>
      <c r="G557" s="17">
        <v>2.3322250818415999</v>
      </c>
      <c r="H557" s="17">
        <v>2.0240616895999999</v>
      </c>
      <c r="I557" s="17" t="s">
        <v>115</v>
      </c>
    </row>
    <row r="558" spans="1:9" x14ac:dyDescent="0.3">
      <c r="A558" s="17" t="s">
        <v>58</v>
      </c>
      <c r="B558" s="17" t="s">
        <v>68</v>
      </c>
      <c r="C558" s="17" t="s">
        <v>113</v>
      </c>
      <c r="D558" s="17" t="s">
        <v>114</v>
      </c>
      <c r="E558" s="17" t="s">
        <v>99</v>
      </c>
      <c r="F558" s="17" t="s">
        <v>154</v>
      </c>
      <c r="G558" s="17">
        <v>1.0637760969E-3</v>
      </c>
      <c r="H558" s="17">
        <v>9.2321639999999995E-4</v>
      </c>
      <c r="I558" s="17" t="s">
        <v>115</v>
      </c>
    </row>
    <row r="559" spans="1:9" x14ac:dyDescent="0.3">
      <c r="A559" s="17" t="s">
        <v>58</v>
      </c>
      <c r="B559" s="17" t="s">
        <v>68</v>
      </c>
      <c r="C559" s="17" t="s">
        <v>113</v>
      </c>
      <c r="D559" s="17" t="s">
        <v>114</v>
      </c>
      <c r="E559" s="17" t="s">
        <v>101</v>
      </c>
      <c r="F559" s="17" t="s">
        <v>170</v>
      </c>
      <c r="G559" s="17">
        <v>75.010787100000002</v>
      </c>
      <c r="H559" s="17">
        <v>65.099402994141897</v>
      </c>
      <c r="I559" s="17" t="s">
        <v>115</v>
      </c>
    </row>
    <row r="560" spans="1:9" x14ac:dyDescent="0.3">
      <c r="A560" s="17" t="s">
        <v>58</v>
      </c>
      <c r="B560" s="17" t="s">
        <v>68</v>
      </c>
      <c r="C560" s="17" t="s">
        <v>113</v>
      </c>
      <c r="D560" s="17" t="s">
        <v>114</v>
      </c>
      <c r="E560" s="17" t="s">
        <v>101</v>
      </c>
      <c r="F560" s="17" t="s">
        <v>155</v>
      </c>
      <c r="G560" s="17">
        <v>3.0309504694637002</v>
      </c>
      <c r="H560" s="17">
        <v>2.6304625467248401</v>
      </c>
      <c r="I560" s="17" t="s">
        <v>115</v>
      </c>
    </row>
    <row r="561" spans="1:9" x14ac:dyDescent="0.3">
      <c r="A561" s="17" t="s">
        <v>58</v>
      </c>
      <c r="B561" s="17" t="s">
        <v>68</v>
      </c>
      <c r="C561" s="17" t="s">
        <v>113</v>
      </c>
      <c r="D561" s="17" t="s">
        <v>114</v>
      </c>
      <c r="E561" s="17" t="s">
        <v>101</v>
      </c>
      <c r="F561" s="17" t="s">
        <v>156</v>
      </c>
      <c r="G561" s="17">
        <v>169.62883567296001</v>
      </c>
      <c r="H561" s="17">
        <v>147.21530542240001</v>
      </c>
      <c r="I561" s="17" t="s">
        <v>115</v>
      </c>
    </row>
    <row r="562" spans="1:9" x14ac:dyDescent="0.3">
      <c r="A562" s="17" t="s">
        <v>58</v>
      </c>
      <c r="B562" s="17" t="s">
        <v>68</v>
      </c>
      <c r="C562" s="17" t="s">
        <v>113</v>
      </c>
      <c r="D562" s="17" t="s">
        <v>114</v>
      </c>
      <c r="E562" s="17" t="s">
        <v>101</v>
      </c>
      <c r="F562" s="17" t="s">
        <v>157</v>
      </c>
      <c r="G562" s="17">
        <v>6743.4579795659802</v>
      </c>
      <c r="H562" s="17">
        <v>5852.4261050692003</v>
      </c>
      <c r="I562" s="17" t="s">
        <v>115</v>
      </c>
    </row>
    <row r="563" spans="1:9" x14ac:dyDescent="0.3">
      <c r="A563" s="17" t="s">
        <v>58</v>
      </c>
      <c r="B563" s="17" t="s">
        <v>68</v>
      </c>
      <c r="C563" s="17" t="s">
        <v>113</v>
      </c>
      <c r="D563" s="17" t="s">
        <v>114</v>
      </c>
      <c r="E563" s="17" t="s">
        <v>101</v>
      </c>
      <c r="F563" s="17" t="s">
        <v>158</v>
      </c>
      <c r="G563" s="17">
        <v>465.03471932058102</v>
      </c>
      <c r="H563" s="17">
        <v>403.58838734699998</v>
      </c>
      <c r="I563" s="17" t="s">
        <v>115</v>
      </c>
    </row>
    <row r="564" spans="1:9" x14ac:dyDescent="0.3">
      <c r="A564" s="17" t="s">
        <v>58</v>
      </c>
      <c r="B564" s="17" t="s">
        <v>68</v>
      </c>
      <c r="C564" s="17" t="s">
        <v>113</v>
      </c>
      <c r="D564" s="17" t="s">
        <v>114</v>
      </c>
      <c r="E564" s="17" t="s">
        <v>101</v>
      </c>
      <c r="F564" s="17" t="s">
        <v>159</v>
      </c>
      <c r="G564" s="17">
        <v>123.89849096899199</v>
      </c>
      <c r="H564" s="17">
        <v>107.527438463</v>
      </c>
      <c r="I564" s="17" t="s">
        <v>115</v>
      </c>
    </row>
    <row r="565" spans="1:9" x14ac:dyDescent="0.3">
      <c r="A565" s="17" t="s">
        <v>58</v>
      </c>
      <c r="B565" s="17" t="s">
        <v>68</v>
      </c>
      <c r="C565" s="17" t="s">
        <v>113</v>
      </c>
      <c r="D565" s="17" t="s">
        <v>114</v>
      </c>
      <c r="E565" s="17" t="s">
        <v>101</v>
      </c>
      <c r="F565" s="17" t="s">
        <v>160</v>
      </c>
      <c r="G565" s="17">
        <v>557.26082830274697</v>
      </c>
      <c r="H565" s="17">
        <v>483.62840382100001</v>
      </c>
      <c r="I565" s="17" t="s">
        <v>115</v>
      </c>
    </row>
    <row r="566" spans="1:9" x14ac:dyDescent="0.3">
      <c r="A566" s="17" t="s">
        <v>58</v>
      </c>
      <c r="B566" s="17" t="s">
        <v>68</v>
      </c>
      <c r="C566" s="17" t="s">
        <v>113</v>
      </c>
      <c r="D566" s="17" t="s">
        <v>114</v>
      </c>
      <c r="E566" s="17" t="s">
        <v>101</v>
      </c>
      <c r="F566" s="17" t="s">
        <v>162</v>
      </c>
      <c r="G566" s="17">
        <v>347.28378037103897</v>
      </c>
      <c r="H566" s="17">
        <v>301.396207742277</v>
      </c>
      <c r="I566" s="17" t="s">
        <v>115</v>
      </c>
    </row>
    <row r="567" spans="1:9" x14ac:dyDescent="0.3">
      <c r="A567" s="17" t="s">
        <v>58</v>
      </c>
      <c r="B567" s="17" t="s">
        <v>68</v>
      </c>
      <c r="C567" s="17" t="s">
        <v>113</v>
      </c>
      <c r="D567" s="17" t="s">
        <v>114</v>
      </c>
      <c r="E567" s="17" t="s">
        <v>101</v>
      </c>
      <c r="F567" s="17" t="s">
        <v>163</v>
      </c>
      <c r="G567" s="17">
        <v>502.869806688425</v>
      </c>
      <c r="H567" s="17">
        <v>436.4242193</v>
      </c>
      <c r="I567" s="17" t="s">
        <v>115</v>
      </c>
    </row>
    <row r="568" spans="1:9" x14ac:dyDescent="0.3">
      <c r="A568" s="17" t="s">
        <v>58</v>
      </c>
      <c r="B568" s="17" t="s">
        <v>68</v>
      </c>
      <c r="C568" s="17" t="s">
        <v>113</v>
      </c>
      <c r="D568" s="17" t="s">
        <v>114</v>
      </c>
      <c r="E568" s="17" t="s">
        <v>102</v>
      </c>
      <c r="F568" s="17" t="s">
        <v>165</v>
      </c>
      <c r="G568" s="17">
        <v>36.348417599999998</v>
      </c>
      <c r="H568" s="17">
        <v>31.5456</v>
      </c>
      <c r="I568" s="17" t="s">
        <v>115</v>
      </c>
    </row>
    <row r="569" spans="1:9" x14ac:dyDescent="0.3">
      <c r="A569" s="17" t="s">
        <v>58</v>
      </c>
      <c r="B569" s="17" t="s">
        <v>68</v>
      </c>
      <c r="C569" s="17" t="s">
        <v>113</v>
      </c>
      <c r="D569" s="17" t="s">
        <v>114</v>
      </c>
      <c r="E569" s="17" t="s">
        <v>102</v>
      </c>
      <c r="F569" s="17" t="s">
        <v>166</v>
      </c>
      <c r="G569" s="17">
        <v>541.14596228487005</v>
      </c>
      <c r="H569" s="17">
        <v>469.642839908761</v>
      </c>
      <c r="I569" s="17" t="s">
        <v>115</v>
      </c>
    </row>
    <row r="570" spans="1:9" x14ac:dyDescent="0.3">
      <c r="A570" s="17" t="s">
        <v>58</v>
      </c>
      <c r="B570" s="17" t="s">
        <v>68</v>
      </c>
      <c r="C570" s="17" t="s">
        <v>113</v>
      </c>
      <c r="D570" s="17" t="s">
        <v>114</v>
      </c>
      <c r="E570" s="17" t="s">
        <v>103</v>
      </c>
      <c r="F570" s="17" t="s">
        <v>103</v>
      </c>
      <c r="G570" s="17">
        <v>33.898042750000002</v>
      </c>
      <c r="H570" s="17">
        <v>29.419</v>
      </c>
      <c r="I570" s="17" t="s">
        <v>115</v>
      </c>
    </row>
    <row r="571" spans="1:9" x14ac:dyDescent="0.3">
      <c r="A571" s="17" t="s">
        <v>58</v>
      </c>
      <c r="B571" s="17" t="s">
        <v>68</v>
      </c>
      <c r="C571" s="17" t="s">
        <v>167</v>
      </c>
      <c r="D571" s="17" t="s">
        <v>168</v>
      </c>
      <c r="E571" s="17" t="s">
        <v>100</v>
      </c>
      <c r="F571" s="17" t="s">
        <v>100</v>
      </c>
      <c r="G571" s="17">
        <v>0</v>
      </c>
      <c r="H571" s="17">
        <v>0</v>
      </c>
      <c r="I571" s="17" t="s">
        <v>115</v>
      </c>
    </row>
    <row r="572" spans="1:9" x14ac:dyDescent="0.3">
      <c r="A572" s="17" t="s">
        <v>58</v>
      </c>
      <c r="B572" s="17" t="s">
        <v>68</v>
      </c>
      <c r="C572" s="17" t="s">
        <v>167</v>
      </c>
      <c r="D572" s="17" t="s">
        <v>114</v>
      </c>
      <c r="E572" s="17" t="s">
        <v>100</v>
      </c>
      <c r="F572" s="17" t="s">
        <v>100</v>
      </c>
      <c r="G572" s="17">
        <v>270.89858400000003</v>
      </c>
      <c r="H572" s="17">
        <v>235.10400000000001</v>
      </c>
      <c r="I572" s="17" t="s">
        <v>115</v>
      </c>
    </row>
    <row r="573" spans="1:9" x14ac:dyDescent="0.3">
      <c r="A573" s="17" t="s">
        <v>58</v>
      </c>
      <c r="B573" s="17" t="s">
        <v>69</v>
      </c>
      <c r="C573" s="17" t="s">
        <v>113</v>
      </c>
      <c r="D573" s="17" t="s">
        <v>114</v>
      </c>
      <c r="E573" s="17" t="s">
        <v>71</v>
      </c>
      <c r="F573" s="17" t="s">
        <v>71</v>
      </c>
      <c r="G573" s="17">
        <v>73.870596000000006</v>
      </c>
      <c r="H573" s="17">
        <v>63.72</v>
      </c>
      <c r="I573" s="17" t="s">
        <v>115</v>
      </c>
    </row>
    <row r="574" spans="1:9" x14ac:dyDescent="0.3">
      <c r="A574" s="17" t="s">
        <v>58</v>
      </c>
      <c r="B574" s="17" t="s">
        <v>69</v>
      </c>
      <c r="C574" s="17" t="s">
        <v>113</v>
      </c>
      <c r="D574" s="17" t="s">
        <v>114</v>
      </c>
      <c r="E574" s="17" t="s">
        <v>72</v>
      </c>
      <c r="F574" s="17" t="s">
        <v>116</v>
      </c>
      <c r="G574" s="17">
        <v>186.24571847999999</v>
      </c>
      <c r="H574" s="17">
        <v>160.65360000000001</v>
      </c>
      <c r="I574" s="17" t="s">
        <v>115</v>
      </c>
    </row>
    <row r="575" spans="1:9" x14ac:dyDescent="0.3">
      <c r="A575" s="17" t="s">
        <v>58</v>
      </c>
      <c r="B575" s="17" t="s">
        <v>69</v>
      </c>
      <c r="C575" s="17" t="s">
        <v>113</v>
      </c>
      <c r="D575" s="17" t="s">
        <v>114</v>
      </c>
      <c r="E575" s="17" t="s">
        <v>73</v>
      </c>
      <c r="F575" s="17" t="s">
        <v>117</v>
      </c>
      <c r="G575" s="17">
        <v>0</v>
      </c>
      <c r="H575" s="17">
        <v>0</v>
      </c>
      <c r="I575" s="17" t="s">
        <v>115</v>
      </c>
    </row>
    <row r="576" spans="1:9" x14ac:dyDescent="0.3">
      <c r="A576" s="17" t="s">
        <v>58</v>
      </c>
      <c r="B576" s="17" t="s">
        <v>69</v>
      </c>
      <c r="C576" s="17" t="s">
        <v>113</v>
      </c>
      <c r="D576" s="17" t="s">
        <v>114</v>
      </c>
      <c r="E576" s="17" t="s">
        <v>73</v>
      </c>
      <c r="F576" s="17" t="s">
        <v>118</v>
      </c>
      <c r="G576" s="17">
        <v>549.39690719999999</v>
      </c>
      <c r="H576" s="17">
        <v>473.904</v>
      </c>
      <c r="I576" s="17" t="s">
        <v>115</v>
      </c>
    </row>
    <row r="577" spans="1:9" x14ac:dyDescent="0.3">
      <c r="A577" s="17" t="s">
        <v>58</v>
      </c>
      <c r="B577" s="17" t="s">
        <v>69</v>
      </c>
      <c r="C577" s="17" t="s">
        <v>113</v>
      </c>
      <c r="D577" s="17" t="s">
        <v>114</v>
      </c>
      <c r="E577" s="17" t="s">
        <v>73</v>
      </c>
      <c r="F577" s="17" t="s">
        <v>119</v>
      </c>
      <c r="G577" s="17">
        <v>934.85951999999997</v>
      </c>
      <c r="H577" s="17">
        <v>806.4</v>
      </c>
      <c r="I577" s="17" t="s">
        <v>115</v>
      </c>
    </row>
    <row r="578" spans="1:9" x14ac:dyDescent="0.3">
      <c r="A578" s="17" t="s">
        <v>58</v>
      </c>
      <c r="B578" s="17" t="s">
        <v>69</v>
      </c>
      <c r="C578" s="17" t="s">
        <v>113</v>
      </c>
      <c r="D578" s="17" t="s">
        <v>114</v>
      </c>
      <c r="E578" s="17" t="s">
        <v>73</v>
      </c>
      <c r="F578" s="17" t="s">
        <v>120</v>
      </c>
      <c r="G578" s="17">
        <v>34.925433882739704</v>
      </c>
      <c r="H578" s="17">
        <v>30.126312328767099</v>
      </c>
      <c r="I578" s="17" t="s">
        <v>115</v>
      </c>
    </row>
    <row r="579" spans="1:9" x14ac:dyDescent="0.3">
      <c r="A579" s="17" t="s">
        <v>58</v>
      </c>
      <c r="B579" s="17" t="s">
        <v>69</v>
      </c>
      <c r="C579" s="17" t="s">
        <v>113</v>
      </c>
      <c r="D579" s="17" t="s">
        <v>114</v>
      </c>
      <c r="E579" s="17" t="s">
        <v>74</v>
      </c>
      <c r="F579" s="17" t="s">
        <v>121</v>
      </c>
      <c r="G579" s="17">
        <v>18.104039887780001</v>
      </c>
      <c r="H579" s="17">
        <v>15.616354599999999</v>
      </c>
      <c r="I579" s="17" t="s">
        <v>115</v>
      </c>
    </row>
    <row r="580" spans="1:9" x14ac:dyDescent="0.3">
      <c r="A580" s="17" t="s">
        <v>58</v>
      </c>
      <c r="B580" s="17" t="s">
        <v>69</v>
      </c>
      <c r="C580" s="17" t="s">
        <v>113</v>
      </c>
      <c r="D580" s="17" t="s">
        <v>114</v>
      </c>
      <c r="E580" s="17" t="s">
        <v>76</v>
      </c>
      <c r="F580" s="17" t="s">
        <v>122</v>
      </c>
      <c r="G580" s="17">
        <v>149.410584</v>
      </c>
      <c r="H580" s="17">
        <v>128.88</v>
      </c>
      <c r="I580" s="17" t="s">
        <v>115</v>
      </c>
    </row>
    <row r="581" spans="1:9" x14ac:dyDescent="0.3">
      <c r="A581" s="17" t="s">
        <v>58</v>
      </c>
      <c r="B581" s="17" t="s">
        <v>69</v>
      </c>
      <c r="C581" s="17" t="s">
        <v>113</v>
      </c>
      <c r="D581" s="17" t="s">
        <v>114</v>
      </c>
      <c r="E581" s="17" t="s">
        <v>80</v>
      </c>
      <c r="F581" s="17" t="s">
        <v>80</v>
      </c>
      <c r="G581" s="17">
        <v>0.70496784670460599</v>
      </c>
      <c r="H581" s="17">
        <v>0.60809785793548399</v>
      </c>
      <c r="I581" s="17" t="s">
        <v>115</v>
      </c>
    </row>
    <row r="582" spans="1:9" x14ac:dyDescent="0.3">
      <c r="A582" s="17" t="s">
        <v>58</v>
      </c>
      <c r="B582" s="17" t="s">
        <v>69</v>
      </c>
      <c r="C582" s="17" t="s">
        <v>113</v>
      </c>
      <c r="D582" s="17" t="s">
        <v>114</v>
      </c>
      <c r="E582" s="17" t="s">
        <v>77</v>
      </c>
      <c r="F582" s="17" t="s">
        <v>77</v>
      </c>
      <c r="G582" s="17">
        <v>6.7714713000000004E-4</v>
      </c>
      <c r="H582" s="17">
        <v>5.8410000000000005E-4</v>
      </c>
      <c r="I582" s="17" t="s">
        <v>115</v>
      </c>
    </row>
    <row r="583" spans="1:9" x14ac:dyDescent="0.3">
      <c r="A583" s="17" t="s">
        <v>58</v>
      </c>
      <c r="B583" s="17" t="s">
        <v>69</v>
      </c>
      <c r="C583" s="17" t="s">
        <v>113</v>
      </c>
      <c r="D583" s="17" t="s">
        <v>114</v>
      </c>
      <c r="E583" s="17" t="s">
        <v>78</v>
      </c>
      <c r="F583" s="17" t="s">
        <v>123</v>
      </c>
      <c r="G583" s="17">
        <v>17.508702965677401</v>
      </c>
      <c r="H583" s="17">
        <v>15.1028232258065</v>
      </c>
      <c r="I583" s="17" t="s">
        <v>115</v>
      </c>
    </row>
    <row r="584" spans="1:9" x14ac:dyDescent="0.3">
      <c r="A584" s="17" t="s">
        <v>58</v>
      </c>
      <c r="B584" s="17" t="s">
        <v>69</v>
      </c>
      <c r="C584" s="17" t="s">
        <v>113</v>
      </c>
      <c r="D584" s="17" t="s">
        <v>114</v>
      </c>
      <c r="E584" s="17" t="s">
        <v>78</v>
      </c>
      <c r="F584" s="17" t="s">
        <v>124</v>
      </c>
      <c r="G584" s="17">
        <v>313.01100000000002</v>
      </c>
      <c r="H584" s="17">
        <v>270</v>
      </c>
      <c r="I584" s="17" t="s">
        <v>115</v>
      </c>
    </row>
    <row r="585" spans="1:9" x14ac:dyDescent="0.3">
      <c r="A585" s="17" t="s">
        <v>58</v>
      </c>
      <c r="B585" s="17" t="s">
        <v>69</v>
      </c>
      <c r="C585" s="17" t="s">
        <v>113</v>
      </c>
      <c r="D585" s="17" t="s">
        <v>114</v>
      </c>
      <c r="E585" s="17" t="s">
        <v>78</v>
      </c>
      <c r="F585" s="17" t="s">
        <v>125</v>
      </c>
      <c r="G585" s="17">
        <v>199.99316160000001</v>
      </c>
      <c r="H585" s="17">
        <v>172.512</v>
      </c>
      <c r="I585" s="17" t="s">
        <v>115</v>
      </c>
    </row>
    <row r="586" spans="1:9" x14ac:dyDescent="0.3">
      <c r="A586" s="17" t="s">
        <v>58</v>
      </c>
      <c r="B586" s="17" t="s">
        <v>69</v>
      </c>
      <c r="C586" s="17" t="s">
        <v>113</v>
      </c>
      <c r="D586" s="17" t="s">
        <v>114</v>
      </c>
      <c r="E586" s="17" t="s">
        <v>79</v>
      </c>
      <c r="F586" s="17" t="s">
        <v>126</v>
      </c>
      <c r="G586" s="17">
        <v>1281.2008965631601</v>
      </c>
      <c r="H586" s="17">
        <v>1105.15043264311</v>
      </c>
      <c r="I586" s="17" t="s">
        <v>115</v>
      </c>
    </row>
    <row r="587" spans="1:9" x14ac:dyDescent="0.3">
      <c r="A587" s="17" t="s">
        <v>58</v>
      </c>
      <c r="B587" s="17" t="s">
        <v>69</v>
      </c>
      <c r="C587" s="17" t="s">
        <v>113</v>
      </c>
      <c r="D587" s="17" t="s">
        <v>114</v>
      </c>
      <c r="E587" s="17" t="s">
        <v>79</v>
      </c>
      <c r="F587" s="17" t="s">
        <v>79</v>
      </c>
      <c r="G587" s="17">
        <v>2012.8550633321199</v>
      </c>
      <c r="H587" s="17">
        <v>1736.2676298905601</v>
      </c>
      <c r="I587" s="17" t="s">
        <v>115</v>
      </c>
    </row>
    <row r="588" spans="1:9" x14ac:dyDescent="0.3">
      <c r="A588" s="17" t="s">
        <v>58</v>
      </c>
      <c r="B588" s="17" t="s">
        <v>69</v>
      </c>
      <c r="C588" s="17" t="s">
        <v>113</v>
      </c>
      <c r="D588" s="17" t="s">
        <v>114</v>
      </c>
      <c r="E588" s="17" t="s">
        <v>81</v>
      </c>
      <c r="F588" s="17" t="s">
        <v>81</v>
      </c>
      <c r="G588" s="17">
        <v>212.28933081745399</v>
      </c>
      <c r="H588" s="17">
        <v>183.118546379241</v>
      </c>
      <c r="I588" s="17" t="s">
        <v>115</v>
      </c>
    </row>
    <row r="589" spans="1:9" x14ac:dyDescent="0.3">
      <c r="A589" s="17" t="s">
        <v>58</v>
      </c>
      <c r="B589" s="17" t="s">
        <v>69</v>
      </c>
      <c r="C589" s="17" t="s">
        <v>113</v>
      </c>
      <c r="D589" s="17" t="s">
        <v>114</v>
      </c>
      <c r="E589" s="17" t="s">
        <v>82</v>
      </c>
      <c r="F589" s="17" t="s">
        <v>82</v>
      </c>
      <c r="G589" s="17">
        <v>134.606193696704</v>
      </c>
      <c r="H589" s="17">
        <v>116.109888464335</v>
      </c>
      <c r="I589" s="17" t="s">
        <v>115</v>
      </c>
    </row>
    <row r="590" spans="1:9" x14ac:dyDescent="0.3">
      <c r="A590" s="17" t="s">
        <v>58</v>
      </c>
      <c r="B590" s="17" t="s">
        <v>69</v>
      </c>
      <c r="C590" s="17" t="s">
        <v>113</v>
      </c>
      <c r="D590" s="17" t="s">
        <v>114</v>
      </c>
      <c r="E590" s="17" t="s">
        <v>83</v>
      </c>
      <c r="F590" s="17" t="s">
        <v>127</v>
      </c>
      <c r="G590" s="17">
        <v>0.74754561700653399</v>
      </c>
      <c r="H590" s="17">
        <v>0.64482499526139403</v>
      </c>
      <c r="I590" s="17" t="s">
        <v>115</v>
      </c>
    </row>
    <row r="591" spans="1:9" x14ac:dyDescent="0.3">
      <c r="A591" s="17" t="s">
        <v>58</v>
      </c>
      <c r="B591" s="17" t="s">
        <v>69</v>
      </c>
      <c r="C591" s="17" t="s">
        <v>113</v>
      </c>
      <c r="D591" s="17" t="s">
        <v>114</v>
      </c>
      <c r="E591" s="17" t="s">
        <v>83</v>
      </c>
      <c r="F591" s="17" t="s">
        <v>128</v>
      </c>
      <c r="G591" s="17">
        <v>1.61362426327418</v>
      </c>
      <c r="H591" s="17">
        <v>1.3918953362151101</v>
      </c>
      <c r="I591" s="17" t="s">
        <v>115</v>
      </c>
    </row>
    <row r="592" spans="1:9" x14ac:dyDescent="0.3">
      <c r="A592" s="17" t="s">
        <v>58</v>
      </c>
      <c r="B592" s="17" t="s">
        <v>69</v>
      </c>
      <c r="C592" s="17" t="s">
        <v>113</v>
      </c>
      <c r="D592" s="17" t="s">
        <v>114</v>
      </c>
      <c r="E592" s="17" t="s">
        <v>84</v>
      </c>
      <c r="F592" s="17" t="s">
        <v>177</v>
      </c>
      <c r="G592" s="17">
        <v>6.8019666864999995E-2</v>
      </c>
      <c r="H592" s="17">
        <v>5.8673049999999997E-2</v>
      </c>
      <c r="I592" s="17" t="s">
        <v>115</v>
      </c>
    </row>
    <row r="593" spans="1:9" x14ac:dyDescent="0.3">
      <c r="A593" s="17" t="s">
        <v>58</v>
      </c>
      <c r="B593" s="17" t="s">
        <v>69</v>
      </c>
      <c r="C593" s="17" t="s">
        <v>113</v>
      </c>
      <c r="D593" s="17" t="s">
        <v>114</v>
      </c>
      <c r="E593" s="17" t="s">
        <v>84</v>
      </c>
      <c r="F593" s="17" t="s">
        <v>172</v>
      </c>
      <c r="G593" s="17">
        <v>1.11237049263E-2</v>
      </c>
      <c r="H593" s="17">
        <v>9.5951909999999994E-3</v>
      </c>
      <c r="I593" s="17" t="s">
        <v>115</v>
      </c>
    </row>
    <row r="594" spans="1:9" x14ac:dyDescent="0.3">
      <c r="A594" s="17" t="s">
        <v>58</v>
      </c>
      <c r="B594" s="17" t="s">
        <v>69</v>
      </c>
      <c r="C594" s="17" t="s">
        <v>113</v>
      </c>
      <c r="D594" s="17" t="s">
        <v>114</v>
      </c>
      <c r="E594" s="17" t="s">
        <v>84</v>
      </c>
      <c r="F594" s="17" t="s">
        <v>129</v>
      </c>
      <c r="G594" s="17">
        <v>19046.177775101802</v>
      </c>
      <c r="H594" s="17">
        <v>16429.032843182798</v>
      </c>
      <c r="I594" s="17" t="s">
        <v>115</v>
      </c>
    </row>
    <row r="595" spans="1:9" x14ac:dyDescent="0.3">
      <c r="A595" s="17" t="s">
        <v>58</v>
      </c>
      <c r="B595" s="17" t="s">
        <v>69</v>
      </c>
      <c r="C595" s="17" t="s">
        <v>113</v>
      </c>
      <c r="D595" s="17" t="s">
        <v>114</v>
      </c>
      <c r="E595" s="17" t="s">
        <v>85</v>
      </c>
      <c r="F595" s="17" t="s">
        <v>85</v>
      </c>
      <c r="G595" s="17">
        <v>167.483060363992</v>
      </c>
      <c r="H595" s="17">
        <v>144.469128235998</v>
      </c>
      <c r="I595" s="17" t="s">
        <v>115</v>
      </c>
    </row>
    <row r="596" spans="1:9" x14ac:dyDescent="0.3">
      <c r="A596" s="17" t="s">
        <v>58</v>
      </c>
      <c r="B596" s="17" t="s">
        <v>69</v>
      </c>
      <c r="C596" s="17" t="s">
        <v>113</v>
      </c>
      <c r="D596" s="17" t="s">
        <v>114</v>
      </c>
      <c r="E596" s="17" t="s">
        <v>86</v>
      </c>
      <c r="F596" s="17" t="s">
        <v>86</v>
      </c>
      <c r="G596" s="17">
        <v>0.20390061743488599</v>
      </c>
      <c r="H596" s="17">
        <v>0.175882530350113</v>
      </c>
      <c r="I596" s="17" t="s">
        <v>115</v>
      </c>
    </row>
    <row r="597" spans="1:9" x14ac:dyDescent="0.3">
      <c r="A597" s="17" t="s">
        <v>58</v>
      </c>
      <c r="B597" s="17" t="s">
        <v>69</v>
      </c>
      <c r="C597" s="17" t="s">
        <v>113</v>
      </c>
      <c r="D597" s="17" t="s">
        <v>114</v>
      </c>
      <c r="E597" s="17" t="s">
        <v>87</v>
      </c>
      <c r="F597" s="17" t="s">
        <v>87</v>
      </c>
      <c r="G597" s="17">
        <v>5.3543070938685</v>
      </c>
      <c r="H597" s="17">
        <v>4.6185690450000001</v>
      </c>
      <c r="I597" s="17" t="s">
        <v>115</v>
      </c>
    </row>
    <row r="598" spans="1:9" x14ac:dyDescent="0.3">
      <c r="A598" s="17" t="s">
        <v>58</v>
      </c>
      <c r="B598" s="17" t="s">
        <v>69</v>
      </c>
      <c r="C598" s="17" t="s">
        <v>113</v>
      </c>
      <c r="D598" s="17" t="s">
        <v>114</v>
      </c>
      <c r="E598" s="17" t="s">
        <v>88</v>
      </c>
      <c r="F598" s="17" t="s">
        <v>88</v>
      </c>
      <c r="G598" s="17">
        <v>13.3047306335776</v>
      </c>
      <c r="H598" s="17">
        <v>11.476520860500001</v>
      </c>
      <c r="I598" s="17" t="s">
        <v>115</v>
      </c>
    </row>
    <row r="599" spans="1:9" x14ac:dyDescent="0.3">
      <c r="A599" s="17" t="s">
        <v>58</v>
      </c>
      <c r="B599" s="17" t="s">
        <v>69</v>
      </c>
      <c r="C599" s="17" t="s">
        <v>113</v>
      </c>
      <c r="D599" s="17" t="s">
        <v>114</v>
      </c>
      <c r="E599" s="17" t="s">
        <v>89</v>
      </c>
      <c r="F599" s="17" t="s">
        <v>89</v>
      </c>
      <c r="G599" s="17">
        <v>299.68674333506698</v>
      </c>
      <c r="H599" s="17">
        <v>258.50663618999999</v>
      </c>
      <c r="I599" s="17" t="s">
        <v>115</v>
      </c>
    </row>
    <row r="600" spans="1:9" x14ac:dyDescent="0.3">
      <c r="A600" s="17" t="s">
        <v>58</v>
      </c>
      <c r="B600" s="17" t="s">
        <v>69</v>
      </c>
      <c r="C600" s="17" t="s">
        <v>113</v>
      </c>
      <c r="D600" s="17" t="s">
        <v>114</v>
      </c>
      <c r="E600" s="17" t="s">
        <v>90</v>
      </c>
      <c r="F600" s="17" t="s">
        <v>90</v>
      </c>
      <c r="G600" s="17">
        <v>314.05299893785701</v>
      </c>
      <c r="H600" s="17">
        <v>270.89881733620001</v>
      </c>
      <c r="I600" s="17" t="s">
        <v>115</v>
      </c>
    </row>
    <row r="601" spans="1:9" x14ac:dyDescent="0.3">
      <c r="A601" s="17" t="s">
        <v>58</v>
      </c>
      <c r="B601" s="17" t="s">
        <v>69</v>
      </c>
      <c r="C601" s="17" t="s">
        <v>113</v>
      </c>
      <c r="D601" s="17" t="s">
        <v>114</v>
      </c>
      <c r="E601" s="17" t="s">
        <v>91</v>
      </c>
      <c r="F601" s="17" t="s">
        <v>91</v>
      </c>
      <c r="G601" s="17">
        <v>27.374529758924002</v>
      </c>
      <c r="H601" s="17">
        <v>23.612981763930001</v>
      </c>
      <c r="I601" s="17" t="s">
        <v>115</v>
      </c>
    </row>
    <row r="602" spans="1:9" x14ac:dyDescent="0.3">
      <c r="A602" s="17" t="s">
        <v>58</v>
      </c>
      <c r="B602" s="17" t="s">
        <v>69</v>
      </c>
      <c r="C602" s="17" t="s">
        <v>113</v>
      </c>
      <c r="D602" s="17" t="s">
        <v>114</v>
      </c>
      <c r="E602" s="17" t="s">
        <v>92</v>
      </c>
      <c r="F602" s="17" t="s">
        <v>92</v>
      </c>
      <c r="G602" s="17">
        <v>5.5256252328369202</v>
      </c>
      <c r="H602" s="17">
        <v>4.7663462717475298</v>
      </c>
      <c r="I602" s="17" t="s">
        <v>115</v>
      </c>
    </row>
    <row r="603" spans="1:9" x14ac:dyDescent="0.3">
      <c r="A603" s="17" t="s">
        <v>58</v>
      </c>
      <c r="B603" s="17" t="s">
        <v>69</v>
      </c>
      <c r="C603" s="17" t="s">
        <v>113</v>
      </c>
      <c r="D603" s="17" t="s">
        <v>114</v>
      </c>
      <c r="E603" s="17" t="s">
        <v>93</v>
      </c>
      <c r="F603" s="17" t="s">
        <v>130</v>
      </c>
      <c r="G603" s="17">
        <v>1190.5092579354</v>
      </c>
      <c r="H603" s="17">
        <v>1026.9207779999999</v>
      </c>
      <c r="I603" s="17" t="s">
        <v>115</v>
      </c>
    </row>
    <row r="604" spans="1:9" x14ac:dyDescent="0.3">
      <c r="A604" s="17" t="s">
        <v>58</v>
      </c>
      <c r="B604" s="17" t="s">
        <v>69</v>
      </c>
      <c r="C604" s="17" t="s">
        <v>113</v>
      </c>
      <c r="D604" s="17" t="s">
        <v>114</v>
      </c>
      <c r="E604" s="17" t="s">
        <v>93</v>
      </c>
      <c r="F604" s="17" t="s">
        <v>131</v>
      </c>
      <c r="G604" s="17">
        <v>114.2223511</v>
      </c>
      <c r="H604" s="17">
        <v>98.527000000000001</v>
      </c>
      <c r="I604" s="17" t="s">
        <v>115</v>
      </c>
    </row>
    <row r="605" spans="1:9" x14ac:dyDescent="0.3">
      <c r="A605" s="17" t="s">
        <v>58</v>
      </c>
      <c r="B605" s="17" t="s">
        <v>69</v>
      </c>
      <c r="C605" s="17" t="s">
        <v>113</v>
      </c>
      <c r="D605" s="17" t="s">
        <v>114</v>
      </c>
      <c r="E605" s="17" t="s">
        <v>93</v>
      </c>
      <c r="F605" s="17" t="s">
        <v>132</v>
      </c>
      <c r="G605" s="17">
        <v>2.0054893001999998</v>
      </c>
      <c r="H605" s="17">
        <v>1.729914</v>
      </c>
      <c r="I605" s="17" t="s">
        <v>115</v>
      </c>
    </row>
    <row r="606" spans="1:9" x14ac:dyDescent="0.3">
      <c r="A606" s="17" t="s">
        <v>58</v>
      </c>
      <c r="B606" s="17" t="s">
        <v>69</v>
      </c>
      <c r="C606" s="17" t="s">
        <v>113</v>
      </c>
      <c r="D606" s="17" t="s">
        <v>114</v>
      </c>
      <c r="E606" s="17" t="s">
        <v>93</v>
      </c>
      <c r="F606" s="17" t="s">
        <v>133</v>
      </c>
      <c r="G606" s="17">
        <v>29.786530645161299</v>
      </c>
      <c r="H606" s="17">
        <v>25.693548387096801</v>
      </c>
      <c r="I606" s="17" t="s">
        <v>115</v>
      </c>
    </row>
    <row r="607" spans="1:9" x14ac:dyDescent="0.3">
      <c r="A607" s="17" t="s">
        <v>58</v>
      </c>
      <c r="B607" s="17" t="s">
        <v>69</v>
      </c>
      <c r="C607" s="17" t="s">
        <v>113</v>
      </c>
      <c r="D607" s="17" t="s">
        <v>114</v>
      </c>
      <c r="E607" s="17" t="s">
        <v>93</v>
      </c>
      <c r="F607" s="17" t="s">
        <v>134</v>
      </c>
      <c r="G607" s="17">
        <v>3.3963780240000001</v>
      </c>
      <c r="H607" s="17">
        <v>2.9296799999999998</v>
      </c>
      <c r="I607" s="17" t="s">
        <v>115</v>
      </c>
    </row>
    <row r="608" spans="1:9" x14ac:dyDescent="0.3">
      <c r="A608" s="17" t="s">
        <v>58</v>
      </c>
      <c r="B608" s="17" t="s">
        <v>69</v>
      </c>
      <c r="C608" s="17" t="s">
        <v>113</v>
      </c>
      <c r="D608" s="17" t="s">
        <v>114</v>
      </c>
      <c r="E608" s="17" t="s">
        <v>93</v>
      </c>
      <c r="F608" s="17" t="s">
        <v>135</v>
      </c>
      <c r="G608" s="17">
        <v>26.8247061290323</v>
      </c>
      <c r="H608" s="17">
        <v>23.138709677419399</v>
      </c>
      <c r="I608" s="17" t="s">
        <v>115</v>
      </c>
    </row>
    <row r="609" spans="1:9" x14ac:dyDescent="0.3">
      <c r="A609" s="17" t="s">
        <v>58</v>
      </c>
      <c r="B609" s="17" t="s">
        <v>69</v>
      </c>
      <c r="C609" s="17" t="s">
        <v>113</v>
      </c>
      <c r="D609" s="17" t="s">
        <v>114</v>
      </c>
      <c r="E609" s="17" t="s">
        <v>93</v>
      </c>
      <c r="F609" s="17" t="s">
        <v>136</v>
      </c>
      <c r="G609" s="17">
        <v>149.67911631694801</v>
      </c>
      <c r="H609" s="17">
        <v>129.111633155307</v>
      </c>
      <c r="I609" s="17" t="s">
        <v>115</v>
      </c>
    </row>
    <row r="610" spans="1:9" x14ac:dyDescent="0.3">
      <c r="A610" s="17" t="s">
        <v>58</v>
      </c>
      <c r="B610" s="17" t="s">
        <v>69</v>
      </c>
      <c r="C610" s="17" t="s">
        <v>113</v>
      </c>
      <c r="D610" s="17" t="s">
        <v>114</v>
      </c>
      <c r="E610" s="17" t="s">
        <v>93</v>
      </c>
      <c r="F610" s="17" t="s">
        <v>137</v>
      </c>
      <c r="G610" s="17">
        <v>168.85518670299999</v>
      </c>
      <c r="H610" s="17">
        <v>145.65271000000001</v>
      </c>
      <c r="I610" s="17" t="s">
        <v>115</v>
      </c>
    </row>
    <row r="611" spans="1:9" x14ac:dyDescent="0.3">
      <c r="A611" s="17" t="s">
        <v>58</v>
      </c>
      <c r="B611" s="17" t="s">
        <v>69</v>
      </c>
      <c r="C611" s="17" t="s">
        <v>113</v>
      </c>
      <c r="D611" s="17" t="s">
        <v>114</v>
      </c>
      <c r="E611" s="17" t="s">
        <v>94</v>
      </c>
      <c r="F611" s="17" t="s">
        <v>94</v>
      </c>
      <c r="G611" s="17">
        <v>19.959118371868101</v>
      </c>
      <c r="H611" s="17">
        <v>17.216525810288999</v>
      </c>
      <c r="I611" s="17" t="s">
        <v>115</v>
      </c>
    </row>
    <row r="612" spans="1:9" x14ac:dyDescent="0.3">
      <c r="A612" s="17" t="s">
        <v>58</v>
      </c>
      <c r="B612" s="17" t="s">
        <v>69</v>
      </c>
      <c r="C612" s="17" t="s">
        <v>113</v>
      </c>
      <c r="D612" s="17" t="s">
        <v>114</v>
      </c>
      <c r="E612" s="17" t="s">
        <v>95</v>
      </c>
      <c r="F612" s="17" t="s">
        <v>138</v>
      </c>
      <c r="G612" s="17">
        <v>473.60651039999999</v>
      </c>
      <c r="H612" s="17">
        <v>408.52800000000002</v>
      </c>
      <c r="I612" s="17" t="s">
        <v>115</v>
      </c>
    </row>
    <row r="613" spans="1:9" x14ac:dyDescent="0.3">
      <c r="A613" s="17" t="s">
        <v>58</v>
      </c>
      <c r="B613" s="17" t="s">
        <v>69</v>
      </c>
      <c r="C613" s="17" t="s">
        <v>113</v>
      </c>
      <c r="D613" s="17" t="s">
        <v>114</v>
      </c>
      <c r="E613" s="17" t="s">
        <v>98</v>
      </c>
      <c r="F613" s="17" t="s">
        <v>139</v>
      </c>
      <c r="G613" s="17">
        <v>198.24029999999999</v>
      </c>
      <c r="H613" s="17">
        <v>171</v>
      </c>
      <c r="I613" s="17" t="s">
        <v>115</v>
      </c>
    </row>
    <row r="614" spans="1:9" x14ac:dyDescent="0.3">
      <c r="A614" s="17" t="s">
        <v>58</v>
      </c>
      <c r="B614" s="17" t="s">
        <v>69</v>
      </c>
      <c r="C614" s="17" t="s">
        <v>113</v>
      </c>
      <c r="D614" s="17" t="s">
        <v>114</v>
      </c>
      <c r="E614" s="17" t="s">
        <v>98</v>
      </c>
      <c r="F614" s="17" t="s">
        <v>140</v>
      </c>
      <c r="G614" s="17">
        <v>12801.106529999999</v>
      </c>
      <c r="H614" s="17">
        <v>11042.1</v>
      </c>
      <c r="I614" s="17" t="s">
        <v>115</v>
      </c>
    </row>
    <row r="615" spans="1:9" x14ac:dyDescent="0.3">
      <c r="A615" s="17" t="s">
        <v>58</v>
      </c>
      <c r="B615" s="17" t="s">
        <v>69</v>
      </c>
      <c r="C615" s="17" t="s">
        <v>113</v>
      </c>
      <c r="D615" s="17" t="s">
        <v>114</v>
      </c>
      <c r="E615" s="17" t="s">
        <v>98</v>
      </c>
      <c r="F615" s="17" t="s">
        <v>141</v>
      </c>
      <c r="G615" s="17">
        <v>102.59805</v>
      </c>
      <c r="H615" s="17">
        <v>88.5</v>
      </c>
      <c r="I615" s="17" t="s">
        <v>115</v>
      </c>
    </row>
    <row r="616" spans="1:9" x14ac:dyDescent="0.3">
      <c r="A616" s="17" t="s">
        <v>58</v>
      </c>
      <c r="B616" s="17" t="s">
        <v>69</v>
      </c>
      <c r="C616" s="17" t="s">
        <v>113</v>
      </c>
      <c r="D616" s="17" t="s">
        <v>114</v>
      </c>
      <c r="E616" s="17" t="s">
        <v>96</v>
      </c>
      <c r="F616" s="17" t="s">
        <v>96</v>
      </c>
      <c r="G616" s="17">
        <v>6.7879282358940003</v>
      </c>
      <c r="H616" s="17">
        <v>5.8551955800000002</v>
      </c>
      <c r="I616" s="17" t="s">
        <v>115</v>
      </c>
    </row>
    <row r="617" spans="1:9" x14ac:dyDescent="0.3">
      <c r="A617" s="17" t="s">
        <v>58</v>
      </c>
      <c r="B617" s="17" t="s">
        <v>69</v>
      </c>
      <c r="C617" s="17" t="s">
        <v>113</v>
      </c>
      <c r="D617" s="17" t="s">
        <v>114</v>
      </c>
      <c r="E617" s="17" t="s">
        <v>97</v>
      </c>
      <c r="F617" s="17" t="s">
        <v>97</v>
      </c>
      <c r="G617" s="17">
        <v>132.1602</v>
      </c>
      <c r="H617" s="17">
        <v>114</v>
      </c>
      <c r="I617" s="17" t="s">
        <v>115</v>
      </c>
    </row>
    <row r="618" spans="1:9" x14ac:dyDescent="0.3">
      <c r="A618" s="17" t="s">
        <v>58</v>
      </c>
      <c r="B618" s="17" t="s">
        <v>69</v>
      </c>
      <c r="C618" s="17" t="s">
        <v>113</v>
      </c>
      <c r="D618" s="17" t="s">
        <v>114</v>
      </c>
      <c r="E618" s="17" t="s">
        <v>99</v>
      </c>
      <c r="F618" s="17" t="s">
        <v>142</v>
      </c>
      <c r="G618" s="17">
        <v>180.23489078593599</v>
      </c>
      <c r="H618" s="17">
        <v>155.46872318289999</v>
      </c>
      <c r="I618" s="17" t="s">
        <v>115</v>
      </c>
    </row>
    <row r="619" spans="1:9" x14ac:dyDescent="0.3">
      <c r="A619" s="17" t="s">
        <v>58</v>
      </c>
      <c r="B619" s="17" t="s">
        <v>69</v>
      </c>
      <c r="C619" s="17" t="s">
        <v>113</v>
      </c>
      <c r="D619" s="17" t="s">
        <v>114</v>
      </c>
      <c r="E619" s="17" t="s">
        <v>99</v>
      </c>
      <c r="F619" s="17" t="s">
        <v>143</v>
      </c>
      <c r="G619" s="17">
        <v>21.2259835661383</v>
      </c>
      <c r="H619" s="17">
        <v>18.309310416750002</v>
      </c>
      <c r="I619" s="17" t="s">
        <v>115</v>
      </c>
    </row>
    <row r="620" spans="1:9" x14ac:dyDescent="0.3">
      <c r="A620" s="17" t="s">
        <v>58</v>
      </c>
      <c r="B620" s="17" t="s">
        <v>69</v>
      </c>
      <c r="C620" s="17" t="s">
        <v>113</v>
      </c>
      <c r="D620" s="17" t="s">
        <v>114</v>
      </c>
      <c r="E620" s="17" t="s">
        <v>99</v>
      </c>
      <c r="F620" s="17" t="s">
        <v>144</v>
      </c>
      <c r="G620" s="17">
        <v>65.693412417144401</v>
      </c>
      <c r="H620" s="17">
        <v>56.666447353700001</v>
      </c>
      <c r="I620" s="17" t="s">
        <v>115</v>
      </c>
    </row>
    <row r="621" spans="1:9" x14ac:dyDescent="0.3">
      <c r="A621" s="17" t="s">
        <v>58</v>
      </c>
      <c r="B621" s="17" t="s">
        <v>69</v>
      </c>
      <c r="C621" s="17" t="s">
        <v>113</v>
      </c>
      <c r="D621" s="17" t="s">
        <v>114</v>
      </c>
      <c r="E621" s="17" t="s">
        <v>99</v>
      </c>
      <c r="F621" s="17" t="s">
        <v>145</v>
      </c>
      <c r="G621" s="17">
        <v>1.2230730929999999E-4</v>
      </c>
      <c r="H621" s="17">
        <v>1.0550100000000001E-4</v>
      </c>
      <c r="I621" s="17" t="s">
        <v>115</v>
      </c>
    </row>
    <row r="622" spans="1:9" x14ac:dyDescent="0.3">
      <c r="A622" s="17" t="s">
        <v>58</v>
      </c>
      <c r="B622" s="17" t="s">
        <v>69</v>
      </c>
      <c r="C622" s="17" t="s">
        <v>113</v>
      </c>
      <c r="D622" s="17" t="s">
        <v>114</v>
      </c>
      <c r="E622" s="17" t="s">
        <v>99</v>
      </c>
      <c r="F622" s="17" t="s">
        <v>146</v>
      </c>
      <c r="G622" s="17">
        <v>7.4313742598480004E-2</v>
      </c>
      <c r="H622" s="17">
        <v>6.4102253600000006E-2</v>
      </c>
      <c r="I622" s="17" t="s">
        <v>115</v>
      </c>
    </row>
    <row r="623" spans="1:9" x14ac:dyDescent="0.3">
      <c r="A623" s="17" t="s">
        <v>58</v>
      </c>
      <c r="B623" s="17" t="s">
        <v>69</v>
      </c>
      <c r="C623" s="17" t="s">
        <v>113</v>
      </c>
      <c r="D623" s="17" t="s">
        <v>114</v>
      </c>
      <c r="E623" s="17" t="s">
        <v>99</v>
      </c>
      <c r="F623" s="17" t="s">
        <v>147</v>
      </c>
      <c r="G623" s="17">
        <v>8.1730389056988706</v>
      </c>
      <c r="H623" s="17">
        <v>7.04997749133</v>
      </c>
      <c r="I623" s="17" t="s">
        <v>115</v>
      </c>
    </row>
    <row r="624" spans="1:9" x14ac:dyDescent="0.3">
      <c r="A624" s="17" t="s">
        <v>58</v>
      </c>
      <c r="B624" s="17" t="s">
        <v>69</v>
      </c>
      <c r="C624" s="17" t="s">
        <v>113</v>
      </c>
      <c r="D624" s="17" t="s">
        <v>114</v>
      </c>
      <c r="E624" s="17" t="s">
        <v>99</v>
      </c>
      <c r="F624" s="17" t="s">
        <v>148</v>
      </c>
      <c r="G624" s="17">
        <v>1286.54233098446</v>
      </c>
      <c r="H624" s="17">
        <v>1109.757897856</v>
      </c>
      <c r="I624" s="17" t="s">
        <v>115</v>
      </c>
    </row>
    <row r="625" spans="1:9" x14ac:dyDescent="0.3">
      <c r="A625" s="17" t="s">
        <v>58</v>
      </c>
      <c r="B625" s="17" t="s">
        <v>69</v>
      </c>
      <c r="C625" s="17" t="s">
        <v>113</v>
      </c>
      <c r="D625" s="17" t="s">
        <v>114</v>
      </c>
      <c r="E625" s="17" t="s">
        <v>99</v>
      </c>
      <c r="F625" s="17" t="s">
        <v>149</v>
      </c>
      <c r="G625" s="17">
        <v>4.4238888000000001E-6</v>
      </c>
      <c r="H625" s="17">
        <v>3.8160000000000004E-6</v>
      </c>
      <c r="I625" s="17" t="s">
        <v>115</v>
      </c>
    </row>
    <row r="626" spans="1:9" x14ac:dyDescent="0.3">
      <c r="A626" s="17" t="s">
        <v>58</v>
      </c>
      <c r="B626" s="17" t="s">
        <v>69</v>
      </c>
      <c r="C626" s="17" t="s">
        <v>113</v>
      </c>
      <c r="D626" s="17" t="s">
        <v>114</v>
      </c>
      <c r="E626" s="17" t="s">
        <v>99</v>
      </c>
      <c r="F626" s="17" t="s">
        <v>150</v>
      </c>
      <c r="G626" s="17">
        <v>3.7512142493999998E-4</v>
      </c>
      <c r="H626" s="17">
        <v>3.2357579999999999E-4</v>
      </c>
      <c r="I626" s="17" t="s">
        <v>115</v>
      </c>
    </row>
    <row r="627" spans="1:9" x14ac:dyDescent="0.3">
      <c r="A627" s="17" t="s">
        <v>58</v>
      </c>
      <c r="B627" s="17" t="s">
        <v>69</v>
      </c>
      <c r="C627" s="17" t="s">
        <v>113</v>
      </c>
      <c r="D627" s="17" t="s">
        <v>114</v>
      </c>
      <c r="E627" s="17" t="s">
        <v>99</v>
      </c>
      <c r="F627" s="17" t="s">
        <v>151</v>
      </c>
      <c r="G627" s="17">
        <v>9.7206761272069802</v>
      </c>
      <c r="H627" s="17">
        <v>8.3849530986000005</v>
      </c>
      <c r="I627" s="17" t="s">
        <v>115</v>
      </c>
    </row>
    <row r="628" spans="1:9" x14ac:dyDescent="0.3">
      <c r="A628" s="17" t="s">
        <v>58</v>
      </c>
      <c r="B628" s="17" t="s">
        <v>69</v>
      </c>
      <c r="C628" s="17" t="s">
        <v>113</v>
      </c>
      <c r="D628" s="17" t="s">
        <v>114</v>
      </c>
      <c r="E628" s="17" t="s">
        <v>99</v>
      </c>
      <c r="F628" s="17" t="s">
        <v>152</v>
      </c>
      <c r="G628" s="17">
        <v>37.766140527955201</v>
      </c>
      <c r="H628" s="17">
        <v>32.5766760355</v>
      </c>
      <c r="I628" s="17" t="s">
        <v>115</v>
      </c>
    </row>
    <row r="629" spans="1:9" x14ac:dyDescent="0.3">
      <c r="A629" s="17" t="s">
        <v>58</v>
      </c>
      <c r="B629" s="17" t="s">
        <v>69</v>
      </c>
      <c r="C629" s="17" t="s">
        <v>113</v>
      </c>
      <c r="D629" s="17" t="s">
        <v>114</v>
      </c>
      <c r="E629" s="17" t="s">
        <v>99</v>
      </c>
      <c r="F629" s="17" t="s">
        <v>153</v>
      </c>
      <c r="G629" s="17">
        <v>2.4648360524063202</v>
      </c>
      <c r="H629" s="17">
        <v>2.1261416824000001</v>
      </c>
      <c r="I629" s="17" t="s">
        <v>115</v>
      </c>
    </row>
    <row r="630" spans="1:9" x14ac:dyDescent="0.3">
      <c r="A630" s="17" t="s">
        <v>58</v>
      </c>
      <c r="B630" s="17" t="s">
        <v>69</v>
      </c>
      <c r="C630" s="17" t="s">
        <v>113</v>
      </c>
      <c r="D630" s="17" t="s">
        <v>114</v>
      </c>
      <c r="E630" s="17" t="s">
        <v>99</v>
      </c>
      <c r="F630" s="17" t="s">
        <v>154</v>
      </c>
      <c r="G630" s="17">
        <v>6.8500683620999995E-4</v>
      </c>
      <c r="H630" s="17">
        <v>5.9087970000000001E-4</v>
      </c>
      <c r="I630" s="17" t="s">
        <v>115</v>
      </c>
    </row>
    <row r="631" spans="1:9" x14ac:dyDescent="0.3">
      <c r="A631" s="17" t="s">
        <v>58</v>
      </c>
      <c r="B631" s="17" t="s">
        <v>69</v>
      </c>
      <c r="C631" s="17" t="s">
        <v>113</v>
      </c>
      <c r="D631" s="17" t="s">
        <v>114</v>
      </c>
      <c r="E631" s="17" t="s">
        <v>101</v>
      </c>
      <c r="F631" s="17" t="s">
        <v>170</v>
      </c>
      <c r="G631" s="17">
        <v>70.767286920000004</v>
      </c>
      <c r="H631" s="17">
        <v>61.0431181920124</v>
      </c>
      <c r="I631" s="17" t="s">
        <v>115</v>
      </c>
    </row>
    <row r="632" spans="1:9" x14ac:dyDescent="0.3">
      <c r="A632" s="17" t="s">
        <v>58</v>
      </c>
      <c r="B632" s="17" t="s">
        <v>69</v>
      </c>
      <c r="C632" s="17" t="s">
        <v>113</v>
      </c>
      <c r="D632" s="17" t="s">
        <v>114</v>
      </c>
      <c r="E632" s="17" t="s">
        <v>101</v>
      </c>
      <c r="F632" s="17" t="s">
        <v>155</v>
      </c>
      <c r="G632" s="17">
        <v>5.62199704902556</v>
      </c>
      <c r="H632" s="17">
        <v>4.8494755878767899</v>
      </c>
      <c r="I632" s="17" t="s">
        <v>115</v>
      </c>
    </row>
    <row r="633" spans="1:9" x14ac:dyDescent="0.3">
      <c r="A633" s="17" t="s">
        <v>58</v>
      </c>
      <c r="B633" s="17" t="s">
        <v>69</v>
      </c>
      <c r="C633" s="17" t="s">
        <v>113</v>
      </c>
      <c r="D633" s="17" t="s">
        <v>114</v>
      </c>
      <c r="E633" s="17" t="s">
        <v>101</v>
      </c>
      <c r="F633" s="17" t="s">
        <v>156</v>
      </c>
      <c r="G633" s="17">
        <v>138.806873895915</v>
      </c>
      <c r="H633" s="17">
        <v>119.7333510704</v>
      </c>
      <c r="I633" s="17" t="s">
        <v>115</v>
      </c>
    </row>
    <row r="634" spans="1:9" x14ac:dyDescent="0.3">
      <c r="A634" s="17" t="s">
        <v>58</v>
      </c>
      <c r="B634" s="17" t="s">
        <v>69</v>
      </c>
      <c r="C634" s="17" t="s">
        <v>113</v>
      </c>
      <c r="D634" s="17" t="s">
        <v>114</v>
      </c>
      <c r="E634" s="17" t="s">
        <v>101</v>
      </c>
      <c r="F634" s="17" t="s">
        <v>178</v>
      </c>
      <c r="G634" s="17">
        <v>31.500277897322899</v>
      </c>
      <c r="H634" s="17">
        <v>27.171808761600001</v>
      </c>
      <c r="I634" s="17" t="s">
        <v>115</v>
      </c>
    </row>
    <row r="635" spans="1:9" x14ac:dyDescent="0.3">
      <c r="A635" s="17" t="s">
        <v>58</v>
      </c>
      <c r="B635" s="17" t="s">
        <v>69</v>
      </c>
      <c r="C635" s="17" t="s">
        <v>113</v>
      </c>
      <c r="D635" s="17" t="s">
        <v>114</v>
      </c>
      <c r="E635" s="17" t="s">
        <v>101</v>
      </c>
      <c r="F635" s="17" t="s">
        <v>157</v>
      </c>
      <c r="G635" s="17">
        <v>6566.0046713909496</v>
      </c>
      <c r="H635" s="17">
        <v>5663.7666448641003</v>
      </c>
      <c r="I635" s="17" t="s">
        <v>115</v>
      </c>
    </row>
    <row r="636" spans="1:9" x14ac:dyDescent="0.3">
      <c r="A636" s="17" t="s">
        <v>58</v>
      </c>
      <c r="B636" s="17" t="s">
        <v>69</v>
      </c>
      <c r="C636" s="17" t="s">
        <v>113</v>
      </c>
      <c r="D636" s="17" t="s">
        <v>114</v>
      </c>
      <c r="E636" s="17" t="s">
        <v>101</v>
      </c>
      <c r="F636" s="17" t="s">
        <v>158</v>
      </c>
      <c r="G636" s="17">
        <v>452.77805937520401</v>
      </c>
      <c r="H636" s="17">
        <v>390.56159697679999</v>
      </c>
      <c r="I636" s="17" t="s">
        <v>115</v>
      </c>
    </row>
    <row r="637" spans="1:9" x14ac:dyDescent="0.3">
      <c r="A637" s="17" t="s">
        <v>58</v>
      </c>
      <c r="B637" s="17" t="s">
        <v>69</v>
      </c>
      <c r="C637" s="17" t="s">
        <v>113</v>
      </c>
      <c r="D637" s="17" t="s">
        <v>114</v>
      </c>
      <c r="E637" s="17" t="s">
        <v>101</v>
      </c>
      <c r="F637" s="17" t="s">
        <v>159</v>
      </c>
      <c r="G637" s="17">
        <v>117.686859162022</v>
      </c>
      <c r="H637" s="17">
        <v>101.515448255</v>
      </c>
      <c r="I637" s="17" t="s">
        <v>115</v>
      </c>
    </row>
    <row r="638" spans="1:9" x14ac:dyDescent="0.3">
      <c r="A638" s="17" t="s">
        <v>58</v>
      </c>
      <c r="B638" s="17" t="s">
        <v>69</v>
      </c>
      <c r="C638" s="17" t="s">
        <v>113</v>
      </c>
      <c r="D638" s="17" t="s">
        <v>114</v>
      </c>
      <c r="E638" s="17" t="s">
        <v>101</v>
      </c>
      <c r="F638" s="17" t="s">
        <v>160</v>
      </c>
      <c r="G638" s="17">
        <v>406.05096024282301</v>
      </c>
      <c r="H638" s="17">
        <v>350.25529219600003</v>
      </c>
      <c r="I638" s="17" t="s">
        <v>115</v>
      </c>
    </row>
    <row r="639" spans="1:9" x14ac:dyDescent="0.3">
      <c r="A639" s="17" t="s">
        <v>58</v>
      </c>
      <c r="B639" s="17" t="s">
        <v>69</v>
      </c>
      <c r="C639" s="17" t="s">
        <v>113</v>
      </c>
      <c r="D639" s="17" t="s">
        <v>114</v>
      </c>
      <c r="E639" s="17" t="s">
        <v>101</v>
      </c>
      <c r="F639" s="17" t="s">
        <v>162</v>
      </c>
      <c r="G639" s="17">
        <v>222.96171008449701</v>
      </c>
      <c r="H639" s="17">
        <v>192.32442860734699</v>
      </c>
      <c r="I639" s="17" t="s">
        <v>115</v>
      </c>
    </row>
    <row r="640" spans="1:9" x14ac:dyDescent="0.3">
      <c r="A640" s="17" t="s">
        <v>58</v>
      </c>
      <c r="B640" s="17" t="s">
        <v>69</v>
      </c>
      <c r="C640" s="17" t="s">
        <v>113</v>
      </c>
      <c r="D640" s="17" t="s">
        <v>114</v>
      </c>
      <c r="E640" s="17" t="s">
        <v>101</v>
      </c>
      <c r="F640" s="17" t="s">
        <v>163</v>
      </c>
      <c r="G640" s="17">
        <v>560.76814699841395</v>
      </c>
      <c r="H640" s="17">
        <v>483.71271197999999</v>
      </c>
      <c r="I640" s="17" t="s">
        <v>115</v>
      </c>
    </row>
    <row r="641" spans="1:9" x14ac:dyDescent="0.3">
      <c r="A641" s="17" t="s">
        <v>58</v>
      </c>
      <c r="B641" s="17" t="s">
        <v>69</v>
      </c>
      <c r="C641" s="17" t="s">
        <v>113</v>
      </c>
      <c r="D641" s="17" t="s">
        <v>114</v>
      </c>
      <c r="E641" s="17" t="s">
        <v>102</v>
      </c>
      <c r="F641" s="17" t="s">
        <v>165</v>
      </c>
      <c r="G641" s="17">
        <v>34.282873346436098</v>
      </c>
      <c r="H641" s="17">
        <v>29.572046361111099</v>
      </c>
      <c r="I641" s="17" t="s">
        <v>115</v>
      </c>
    </row>
    <row r="642" spans="1:9" x14ac:dyDescent="0.3">
      <c r="A642" s="17" t="s">
        <v>58</v>
      </c>
      <c r="B642" s="17" t="s">
        <v>69</v>
      </c>
      <c r="C642" s="17" t="s">
        <v>113</v>
      </c>
      <c r="D642" s="17" t="s">
        <v>114</v>
      </c>
      <c r="E642" s="17" t="s">
        <v>102</v>
      </c>
      <c r="F642" s="17" t="s">
        <v>166</v>
      </c>
      <c r="G642" s="17">
        <v>479.93607173185097</v>
      </c>
      <c r="H642" s="17">
        <v>413.987813104331</v>
      </c>
      <c r="I642" s="17" t="s">
        <v>115</v>
      </c>
    </row>
    <row r="643" spans="1:9" x14ac:dyDescent="0.3">
      <c r="A643" s="17" t="s">
        <v>58</v>
      </c>
      <c r="B643" s="17" t="s">
        <v>69</v>
      </c>
      <c r="C643" s="17" t="s">
        <v>113</v>
      </c>
      <c r="D643" s="17" t="s">
        <v>114</v>
      </c>
      <c r="E643" s="17" t="s">
        <v>103</v>
      </c>
      <c r="F643" s="17" t="s">
        <v>103</v>
      </c>
      <c r="G643" s="17">
        <v>33.005271</v>
      </c>
      <c r="H643" s="17">
        <v>28.47</v>
      </c>
      <c r="I643" s="17" t="s">
        <v>115</v>
      </c>
    </row>
    <row r="644" spans="1:9" x14ac:dyDescent="0.3">
      <c r="A644" s="17" t="s">
        <v>58</v>
      </c>
      <c r="B644" s="17" t="s">
        <v>69</v>
      </c>
      <c r="C644" s="17" t="s">
        <v>167</v>
      </c>
      <c r="D644" s="17" t="s">
        <v>168</v>
      </c>
      <c r="E644" s="17" t="s">
        <v>100</v>
      </c>
      <c r="F644" s="17" t="s">
        <v>100</v>
      </c>
      <c r="G644" s="17">
        <v>0</v>
      </c>
      <c r="H644" s="17">
        <v>0</v>
      </c>
      <c r="I644" s="17" t="s">
        <v>115</v>
      </c>
    </row>
    <row r="645" spans="1:9" x14ac:dyDescent="0.3">
      <c r="A645" s="17" t="s">
        <v>58</v>
      </c>
      <c r="B645" s="17" t="s">
        <v>69</v>
      </c>
      <c r="C645" s="17" t="s">
        <v>167</v>
      </c>
      <c r="D645" s="17" t="s">
        <v>114</v>
      </c>
      <c r="E645" s="17" t="s">
        <v>100</v>
      </c>
      <c r="F645" s="17" t="s">
        <v>100</v>
      </c>
      <c r="G645" s="17">
        <v>263.763936</v>
      </c>
      <c r="H645" s="17">
        <v>227.52</v>
      </c>
      <c r="I645" s="17" t="s">
        <v>115</v>
      </c>
    </row>
    <row r="646" spans="1:9" x14ac:dyDescent="0.3">
      <c r="A646" s="17" t="s">
        <v>58</v>
      </c>
      <c r="B646" s="17" t="s">
        <v>203</v>
      </c>
      <c r="C646" s="17" t="s">
        <v>113</v>
      </c>
      <c r="D646" s="17" t="s">
        <v>114</v>
      </c>
      <c r="E646" s="17" t="s">
        <v>71</v>
      </c>
      <c r="F646" s="17" t="s">
        <v>71</v>
      </c>
      <c r="G646" s="17">
        <v>17.3836656</v>
      </c>
      <c r="H646" s="17">
        <v>14.868</v>
      </c>
      <c r="I646" s="17" t="s">
        <v>115</v>
      </c>
    </row>
    <row r="647" spans="1:9" x14ac:dyDescent="0.3">
      <c r="A647" s="17" t="s">
        <v>58</v>
      </c>
      <c r="B647" s="17" t="s">
        <v>203</v>
      </c>
      <c r="C647" s="17" t="s">
        <v>113</v>
      </c>
      <c r="D647" s="17" t="s">
        <v>114</v>
      </c>
      <c r="E647" s="17" t="s">
        <v>72</v>
      </c>
      <c r="F647" s="17" t="s">
        <v>116</v>
      </c>
      <c r="G647" s="17">
        <v>40.176073784000003</v>
      </c>
      <c r="H647" s="17">
        <v>34.362020000000001</v>
      </c>
      <c r="I647" s="17" t="s">
        <v>115</v>
      </c>
    </row>
    <row r="648" spans="1:9" x14ac:dyDescent="0.3">
      <c r="A648" s="17" t="s">
        <v>58</v>
      </c>
      <c r="B648" s="17" t="s">
        <v>203</v>
      </c>
      <c r="C648" s="17" t="s">
        <v>113</v>
      </c>
      <c r="D648" s="17" t="s">
        <v>114</v>
      </c>
      <c r="E648" s="17" t="s">
        <v>73</v>
      </c>
      <c r="F648" s="17" t="s">
        <v>117</v>
      </c>
      <c r="G648" s="17">
        <v>0</v>
      </c>
      <c r="H648" s="17">
        <v>0</v>
      </c>
      <c r="I648" s="17" t="s">
        <v>115</v>
      </c>
    </row>
    <row r="649" spans="1:9" x14ac:dyDescent="0.3">
      <c r="A649" s="17" t="s">
        <v>58</v>
      </c>
      <c r="B649" s="17" t="s">
        <v>203</v>
      </c>
      <c r="C649" s="17" t="s">
        <v>113</v>
      </c>
      <c r="D649" s="17" t="s">
        <v>114</v>
      </c>
      <c r="E649" s="17" t="s">
        <v>73</v>
      </c>
      <c r="F649" s="17" t="s">
        <v>118</v>
      </c>
      <c r="G649" s="17">
        <v>116.97425088</v>
      </c>
      <c r="H649" s="17">
        <v>100.04640000000001</v>
      </c>
      <c r="I649" s="17" t="s">
        <v>115</v>
      </c>
    </row>
    <row r="650" spans="1:9" x14ac:dyDescent="0.3">
      <c r="A650" s="17" t="s">
        <v>58</v>
      </c>
      <c r="B650" s="17" t="s">
        <v>203</v>
      </c>
      <c r="C650" s="17" t="s">
        <v>113</v>
      </c>
      <c r="D650" s="17" t="s">
        <v>114</v>
      </c>
      <c r="E650" s="17" t="s">
        <v>73</v>
      </c>
      <c r="F650" s="17" t="s">
        <v>119</v>
      </c>
      <c r="G650" s="17">
        <v>199.04460800000001</v>
      </c>
      <c r="H650" s="17">
        <v>170.24</v>
      </c>
      <c r="I650" s="17" t="s">
        <v>115</v>
      </c>
    </row>
    <row r="651" spans="1:9" x14ac:dyDescent="0.3">
      <c r="A651" s="17" t="s">
        <v>58</v>
      </c>
      <c r="B651" s="17" t="s">
        <v>203</v>
      </c>
      <c r="C651" s="17" t="s">
        <v>113</v>
      </c>
      <c r="D651" s="17" t="s">
        <v>114</v>
      </c>
      <c r="E651" s="17" t="s">
        <v>73</v>
      </c>
      <c r="F651" s="17" t="s">
        <v>120</v>
      </c>
      <c r="G651" s="17">
        <v>7.7519305380821901</v>
      </c>
      <c r="H651" s="17">
        <v>6.6301150684931498</v>
      </c>
      <c r="I651" s="17" t="s">
        <v>115</v>
      </c>
    </row>
    <row r="652" spans="1:9" x14ac:dyDescent="0.3">
      <c r="A652" s="17" t="s">
        <v>58</v>
      </c>
      <c r="B652" s="17" t="s">
        <v>203</v>
      </c>
      <c r="C652" s="17" t="s">
        <v>113</v>
      </c>
      <c r="D652" s="17" t="s">
        <v>114</v>
      </c>
      <c r="E652" s="17" t="s">
        <v>74</v>
      </c>
      <c r="F652" s="17" t="s">
        <v>121</v>
      </c>
      <c r="G652" s="17">
        <v>2.4488894000000001</v>
      </c>
      <c r="H652" s="17">
        <v>2.0945</v>
      </c>
      <c r="I652" s="17" t="s">
        <v>115</v>
      </c>
    </row>
    <row r="653" spans="1:9" x14ac:dyDescent="0.3">
      <c r="A653" s="17" t="s">
        <v>58</v>
      </c>
      <c r="B653" s="17" t="s">
        <v>203</v>
      </c>
      <c r="C653" s="17" t="s">
        <v>113</v>
      </c>
      <c r="D653" s="17" t="s">
        <v>114</v>
      </c>
      <c r="E653" s="17" t="s">
        <v>76</v>
      </c>
      <c r="F653" s="17" t="s">
        <v>122</v>
      </c>
      <c r="G653" s="17">
        <v>31.811593599999998</v>
      </c>
      <c r="H653" s="17">
        <v>27.207999999999998</v>
      </c>
      <c r="I653" s="17" t="s">
        <v>115</v>
      </c>
    </row>
    <row r="654" spans="1:9" x14ac:dyDescent="0.3">
      <c r="A654" s="17" t="s">
        <v>58</v>
      </c>
      <c r="B654" s="17" t="s">
        <v>203</v>
      </c>
      <c r="C654" s="17" t="s">
        <v>113</v>
      </c>
      <c r="D654" s="17" t="s">
        <v>114</v>
      </c>
      <c r="E654" s="17" t="s">
        <v>80</v>
      </c>
      <c r="F654" s="17" t="s">
        <v>80</v>
      </c>
      <c r="G654" s="17">
        <v>0.15007033976973799</v>
      </c>
      <c r="H654" s="17">
        <v>0.128353010408602</v>
      </c>
      <c r="I654" s="17" t="s">
        <v>115</v>
      </c>
    </row>
    <row r="655" spans="1:9" x14ac:dyDescent="0.3">
      <c r="A655" s="17" t="s">
        <v>58</v>
      </c>
      <c r="B655" s="17" t="s">
        <v>203</v>
      </c>
      <c r="C655" s="17" t="s">
        <v>113</v>
      </c>
      <c r="D655" s="17" t="s">
        <v>114</v>
      </c>
      <c r="E655" s="17" t="s">
        <v>77</v>
      </c>
      <c r="F655" s="17" t="s">
        <v>77</v>
      </c>
      <c r="G655" s="17">
        <v>1.4486387999999999E-4</v>
      </c>
      <c r="H655" s="17">
        <v>1.239E-4</v>
      </c>
      <c r="I655" s="17" t="s">
        <v>115</v>
      </c>
    </row>
    <row r="656" spans="1:9" x14ac:dyDescent="0.3">
      <c r="A656" s="17" t="s">
        <v>58</v>
      </c>
      <c r="B656" s="17" t="s">
        <v>203</v>
      </c>
      <c r="C656" s="17" t="s">
        <v>113</v>
      </c>
      <c r="D656" s="17" t="s">
        <v>114</v>
      </c>
      <c r="E656" s="17" t="s">
        <v>78</v>
      </c>
      <c r="F656" s="17" t="s">
        <v>123</v>
      </c>
      <c r="G656" s="17">
        <v>3.68133557677419</v>
      </c>
      <c r="H656" s="17">
        <v>3.1485935483871001</v>
      </c>
      <c r="I656" s="17" t="s">
        <v>115</v>
      </c>
    </row>
    <row r="657" spans="1:9" x14ac:dyDescent="0.3">
      <c r="A657" s="17" t="s">
        <v>58</v>
      </c>
      <c r="B657" s="17" t="s">
        <v>203</v>
      </c>
      <c r="C657" s="17" t="s">
        <v>113</v>
      </c>
      <c r="D657" s="17" t="s">
        <v>114</v>
      </c>
      <c r="E657" s="17" t="s">
        <v>78</v>
      </c>
      <c r="F657" s="17" t="s">
        <v>124</v>
      </c>
      <c r="G657" s="17">
        <v>66.205950000000001</v>
      </c>
      <c r="H657" s="17">
        <v>56.625</v>
      </c>
      <c r="I657" s="17" t="s">
        <v>115</v>
      </c>
    </row>
    <row r="658" spans="1:9" x14ac:dyDescent="0.3">
      <c r="A658" s="17" t="s">
        <v>58</v>
      </c>
      <c r="B658" s="17" t="s">
        <v>203</v>
      </c>
      <c r="C658" s="17" t="s">
        <v>113</v>
      </c>
      <c r="D658" s="17" t="s">
        <v>114</v>
      </c>
      <c r="E658" s="17" t="s">
        <v>78</v>
      </c>
      <c r="F658" s="17" t="s">
        <v>125</v>
      </c>
      <c r="G658" s="17">
        <v>42.301188320000001</v>
      </c>
      <c r="H658" s="17">
        <v>36.179600000000001</v>
      </c>
      <c r="I658" s="17" t="s">
        <v>115</v>
      </c>
    </row>
    <row r="659" spans="1:9" x14ac:dyDescent="0.3">
      <c r="A659" s="17" t="s">
        <v>58</v>
      </c>
      <c r="B659" s="17" t="s">
        <v>203</v>
      </c>
      <c r="C659" s="17" t="s">
        <v>113</v>
      </c>
      <c r="D659" s="17" t="s">
        <v>114</v>
      </c>
      <c r="E659" s="17" t="s">
        <v>79</v>
      </c>
      <c r="F659" s="17" t="s">
        <v>126</v>
      </c>
      <c r="G659" s="17">
        <v>258.34577773854397</v>
      </c>
      <c r="H659" s="17">
        <v>220.95944041955599</v>
      </c>
      <c r="I659" s="17" t="s">
        <v>115</v>
      </c>
    </row>
    <row r="660" spans="1:9" x14ac:dyDescent="0.3">
      <c r="A660" s="17" t="s">
        <v>58</v>
      </c>
      <c r="B660" s="17" t="s">
        <v>203</v>
      </c>
      <c r="C660" s="17" t="s">
        <v>113</v>
      </c>
      <c r="D660" s="17" t="s">
        <v>114</v>
      </c>
      <c r="E660" s="17" t="s">
        <v>79</v>
      </c>
      <c r="F660" s="17" t="s">
        <v>79</v>
      </c>
      <c r="G660" s="17">
        <v>434.84395804102201</v>
      </c>
      <c r="H660" s="17">
        <v>371.91580400361102</v>
      </c>
      <c r="I660" s="17" t="s">
        <v>115</v>
      </c>
    </row>
    <row r="661" spans="1:9" x14ac:dyDescent="0.3">
      <c r="A661" s="17" t="s">
        <v>58</v>
      </c>
      <c r="B661" s="17" t="s">
        <v>203</v>
      </c>
      <c r="C661" s="17" t="s">
        <v>113</v>
      </c>
      <c r="D661" s="17" t="s">
        <v>114</v>
      </c>
      <c r="E661" s="17" t="s">
        <v>81</v>
      </c>
      <c r="F661" s="17" t="s">
        <v>81</v>
      </c>
      <c r="G661" s="17">
        <v>32.457292334609697</v>
      </c>
      <c r="H661" s="17">
        <v>27.760256871886501</v>
      </c>
      <c r="I661" s="17" t="s">
        <v>115</v>
      </c>
    </row>
    <row r="662" spans="1:9" x14ac:dyDescent="0.3">
      <c r="A662" s="17" t="s">
        <v>58</v>
      </c>
      <c r="B662" s="17" t="s">
        <v>203</v>
      </c>
      <c r="C662" s="17" t="s">
        <v>113</v>
      </c>
      <c r="D662" s="17" t="s">
        <v>114</v>
      </c>
      <c r="E662" s="17" t="s">
        <v>82</v>
      </c>
      <c r="F662" s="17" t="s">
        <v>82</v>
      </c>
      <c r="G662" s="17">
        <v>29.683095736074002</v>
      </c>
      <c r="H662" s="17">
        <v>25.3875262881235</v>
      </c>
      <c r="I662" s="17" t="s">
        <v>115</v>
      </c>
    </row>
    <row r="663" spans="1:9" x14ac:dyDescent="0.3">
      <c r="A663" s="17" t="s">
        <v>58</v>
      </c>
      <c r="B663" s="17" t="s">
        <v>203</v>
      </c>
      <c r="C663" s="17" t="s">
        <v>113</v>
      </c>
      <c r="D663" s="17" t="s">
        <v>114</v>
      </c>
      <c r="E663" s="17" t="s">
        <v>83</v>
      </c>
      <c r="F663" s="17" t="s">
        <v>127</v>
      </c>
      <c r="G663" s="17">
        <v>0.44631061620468199</v>
      </c>
      <c r="H663" s="17">
        <v>0.38172307236117198</v>
      </c>
      <c r="I663" s="17" t="s">
        <v>115</v>
      </c>
    </row>
    <row r="664" spans="1:9" x14ac:dyDescent="0.3">
      <c r="A664" s="17" t="s">
        <v>58</v>
      </c>
      <c r="B664" s="17" t="s">
        <v>203</v>
      </c>
      <c r="C664" s="17" t="s">
        <v>113</v>
      </c>
      <c r="D664" s="17" t="s">
        <v>114</v>
      </c>
      <c r="E664" s="17" t="s">
        <v>83</v>
      </c>
      <c r="F664" s="17" t="s">
        <v>128</v>
      </c>
      <c r="G664" s="17">
        <v>0.423569226335688</v>
      </c>
      <c r="H664" s="17">
        <v>0.36227268759467002</v>
      </c>
      <c r="I664" s="17" t="s">
        <v>115</v>
      </c>
    </row>
    <row r="665" spans="1:9" x14ac:dyDescent="0.3">
      <c r="A665" s="17" t="s">
        <v>58</v>
      </c>
      <c r="B665" s="17" t="s">
        <v>203</v>
      </c>
      <c r="C665" s="17" t="s">
        <v>113</v>
      </c>
      <c r="D665" s="17" t="s">
        <v>114</v>
      </c>
      <c r="E665" s="17" t="s">
        <v>84</v>
      </c>
      <c r="F665" s="17" t="s">
        <v>177</v>
      </c>
      <c r="G665" s="17">
        <v>72.425910225588296</v>
      </c>
      <c r="H665" s="17">
        <v>61.944842820380003</v>
      </c>
      <c r="I665" s="17" t="s">
        <v>115</v>
      </c>
    </row>
    <row r="666" spans="1:9" x14ac:dyDescent="0.3">
      <c r="A666" s="17" t="s">
        <v>58</v>
      </c>
      <c r="B666" s="17" t="s">
        <v>203</v>
      </c>
      <c r="C666" s="17" t="s">
        <v>113</v>
      </c>
      <c r="D666" s="17" t="s">
        <v>114</v>
      </c>
      <c r="E666" s="17" t="s">
        <v>84</v>
      </c>
      <c r="F666" s="17" t="s">
        <v>129</v>
      </c>
      <c r="G666" s="17">
        <v>504.64316121627098</v>
      </c>
      <c r="H666" s="17">
        <v>431.614061936599</v>
      </c>
      <c r="I666" s="17" t="s">
        <v>115</v>
      </c>
    </row>
    <row r="667" spans="1:9" x14ac:dyDescent="0.3">
      <c r="A667" s="17" t="s">
        <v>58</v>
      </c>
      <c r="B667" s="17" t="s">
        <v>203</v>
      </c>
      <c r="C667" s="17" t="s">
        <v>113</v>
      </c>
      <c r="D667" s="17" t="s">
        <v>114</v>
      </c>
      <c r="E667" s="17" t="s">
        <v>85</v>
      </c>
      <c r="F667" s="17" t="s">
        <v>85</v>
      </c>
      <c r="G667" s="17">
        <v>36.936105642597603</v>
      </c>
      <c r="H667" s="17">
        <v>31.5909216922662</v>
      </c>
      <c r="I667" s="17" t="s">
        <v>115</v>
      </c>
    </row>
    <row r="668" spans="1:9" x14ac:dyDescent="0.3">
      <c r="A668" s="17" t="s">
        <v>58</v>
      </c>
      <c r="B668" s="17" t="s">
        <v>203</v>
      </c>
      <c r="C668" s="17" t="s">
        <v>113</v>
      </c>
      <c r="D668" s="17" t="s">
        <v>114</v>
      </c>
      <c r="E668" s="17" t="s">
        <v>86</v>
      </c>
      <c r="F668" s="17" t="s">
        <v>86</v>
      </c>
      <c r="G668" s="17">
        <v>4.6379654694416503E-2</v>
      </c>
      <c r="H668" s="17">
        <v>3.9667853826904298E-2</v>
      </c>
      <c r="I668" s="17" t="s">
        <v>115</v>
      </c>
    </row>
    <row r="669" spans="1:9" x14ac:dyDescent="0.3">
      <c r="A669" s="17" t="s">
        <v>58</v>
      </c>
      <c r="B669" s="17" t="s">
        <v>203</v>
      </c>
      <c r="C669" s="17" t="s">
        <v>113</v>
      </c>
      <c r="D669" s="17" t="s">
        <v>114</v>
      </c>
      <c r="E669" s="17" t="s">
        <v>87</v>
      </c>
      <c r="F669" s="17" t="s">
        <v>87</v>
      </c>
      <c r="G669" s="17">
        <v>0.4443338668804</v>
      </c>
      <c r="H669" s="17">
        <v>0.38003238700000003</v>
      </c>
      <c r="I669" s="17" t="s">
        <v>115</v>
      </c>
    </row>
    <row r="670" spans="1:9" x14ac:dyDescent="0.3">
      <c r="A670" s="17" t="s">
        <v>58</v>
      </c>
      <c r="B670" s="17" t="s">
        <v>203</v>
      </c>
      <c r="C670" s="17" t="s">
        <v>113</v>
      </c>
      <c r="D670" s="17" t="s">
        <v>114</v>
      </c>
      <c r="E670" s="17" t="s">
        <v>88</v>
      </c>
      <c r="F670" s="17" t="s">
        <v>88</v>
      </c>
      <c r="G670" s="17">
        <v>2.8470203283791999</v>
      </c>
      <c r="H670" s="17">
        <v>2.4350156759999999</v>
      </c>
      <c r="I670" s="17" t="s">
        <v>115</v>
      </c>
    </row>
    <row r="671" spans="1:9" x14ac:dyDescent="0.3">
      <c r="A671" s="17" t="s">
        <v>58</v>
      </c>
      <c r="B671" s="17" t="s">
        <v>203</v>
      </c>
      <c r="C671" s="17" t="s">
        <v>113</v>
      </c>
      <c r="D671" s="17" t="s">
        <v>114</v>
      </c>
      <c r="E671" s="17" t="s">
        <v>89</v>
      </c>
      <c r="F671" s="17" t="s">
        <v>89</v>
      </c>
      <c r="G671" s="17">
        <v>63.995142130223996</v>
      </c>
      <c r="H671" s="17">
        <v>54.734127719999996</v>
      </c>
      <c r="I671" s="17" t="s">
        <v>115</v>
      </c>
    </row>
    <row r="672" spans="1:9" x14ac:dyDescent="0.3">
      <c r="A672" s="17" t="s">
        <v>58</v>
      </c>
      <c r="B672" s="17" t="s">
        <v>203</v>
      </c>
      <c r="C672" s="17" t="s">
        <v>113</v>
      </c>
      <c r="D672" s="17" t="s">
        <v>114</v>
      </c>
      <c r="E672" s="17" t="s">
        <v>90</v>
      </c>
      <c r="F672" s="17" t="s">
        <v>90</v>
      </c>
      <c r="G672" s="17">
        <v>60.058495587368803</v>
      </c>
      <c r="H672" s="17">
        <v>51.367170362101298</v>
      </c>
      <c r="I672" s="17" t="s">
        <v>115</v>
      </c>
    </row>
    <row r="673" spans="1:9" x14ac:dyDescent="0.3">
      <c r="A673" s="17" t="s">
        <v>58</v>
      </c>
      <c r="B673" s="17" t="s">
        <v>203</v>
      </c>
      <c r="C673" s="17" t="s">
        <v>113</v>
      </c>
      <c r="D673" s="17" t="s">
        <v>114</v>
      </c>
      <c r="E673" s="17" t="s">
        <v>91</v>
      </c>
      <c r="F673" s="17" t="s">
        <v>91</v>
      </c>
      <c r="G673" s="17">
        <v>3.7294501871050798</v>
      </c>
      <c r="H673" s="17">
        <v>3.1897452848999999</v>
      </c>
      <c r="I673" s="17" t="s">
        <v>115</v>
      </c>
    </row>
    <row r="674" spans="1:9" x14ac:dyDescent="0.3">
      <c r="A674" s="17" t="s">
        <v>58</v>
      </c>
      <c r="B674" s="17" t="s">
        <v>203</v>
      </c>
      <c r="C674" s="17" t="s">
        <v>113</v>
      </c>
      <c r="D674" s="17" t="s">
        <v>114</v>
      </c>
      <c r="E674" s="17" t="s">
        <v>92</v>
      </c>
      <c r="F674" s="17" t="s">
        <v>92</v>
      </c>
      <c r="G674" s="17">
        <v>1.3822046154574199</v>
      </c>
      <c r="H674" s="17">
        <v>1.18217979426738</v>
      </c>
      <c r="I674" s="17" t="s">
        <v>115</v>
      </c>
    </row>
    <row r="675" spans="1:9" x14ac:dyDescent="0.3">
      <c r="A675" s="17" t="s">
        <v>58</v>
      </c>
      <c r="B675" s="17" t="s">
        <v>203</v>
      </c>
      <c r="C675" s="17" t="s">
        <v>113</v>
      </c>
      <c r="D675" s="17" t="s">
        <v>114</v>
      </c>
      <c r="E675" s="17" t="s">
        <v>93</v>
      </c>
      <c r="F675" s="17" t="s">
        <v>130</v>
      </c>
      <c r="G675" s="17">
        <v>200.78162764160001</v>
      </c>
      <c r="H675" s="17">
        <v>171.72564800000001</v>
      </c>
      <c r="I675" s="17" t="s">
        <v>115</v>
      </c>
    </row>
    <row r="676" spans="1:9" x14ac:dyDescent="0.3">
      <c r="A676" s="17" t="s">
        <v>58</v>
      </c>
      <c r="B676" s="17" t="s">
        <v>203</v>
      </c>
      <c r="C676" s="17" t="s">
        <v>113</v>
      </c>
      <c r="D676" s="17" t="s">
        <v>114</v>
      </c>
      <c r="E676" s="17" t="s">
        <v>93</v>
      </c>
      <c r="F676" s="17" t="s">
        <v>131</v>
      </c>
      <c r="G676" s="17">
        <v>24.650711279999999</v>
      </c>
      <c r="H676" s="17">
        <v>21.083400000000001</v>
      </c>
      <c r="I676" s="17" t="s">
        <v>115</v>
      </c>
    </row>
    <row r="677" spans="1:9" x14ac:dyDescent="0.3">
      <c r="A677" s="17" t="s">
        <v>58</v>
      </c>
      <c r="B677" s="17" t="s">
        <v>203</v>
      </c>
      <c r="C677" s="17" t="s">
        <v>113</v>
      </c>
      <c r="D677" s="17" t="s">
        <v>114</v>
      </c>
      <c r="E677" s="17" t="s">
        <v>93</v>
      </c>
      <c r="F677" s="17" t="s">
        <v>132</v>
      </c>
      <c r="G677" s="17">
        <v>0.42759047039999998</v>
      </c>
      <c r="H677" s="17">
        <v>0.36571199999999998</v>
      </c>
      <c r="I677" s="17" t="s">
        <v>115</v>
      </c>
    </row>
    <row r="678" spans="1:9" x14ac:dyDescent="0.3">
      <c r="A678" s="17" t="s">
        <v>58</v>
      </c>
      <c r="B678" s="17" t="s">
        <v>203</v>
      </c>
      <c r="C678" s="17" t="s">
        <v>113</v>
      </c>
      <c r="D678" s="17" t="s">
        <v>114</v>
      </c>
      <c r="E678" s="17" t="s">
        <v>93</v>
      </c>
      <c r="F678" s="17" t="s">
        <v>133</v>
      </c>
      <c r="G678" s="17">
        <v>6.3836905645161304</v>
      </c>
      <c r="H678" s="17">
        <v>5.4598790322580699</v>
      </c>
      <c r="I678" s="17" t="s">
        <v>115</v>
      </c>
    </row>
    <row r="679" spans="1:9" x14ac:dyDescent="0.3">
      <c r="A679" s="17" t="s">
        <v>58</v>
      </c>
      <c r="B679" s="17" t="s">
        <v>203</v>
      </c>
      <c r="C679" s="17" t="s">
        <v>113</v>
      </c>
      <c r="D679" s="17" t="s">
        <v>114</v>
      </c>
      <c r="E679" s="17" t="s">
        <v>93</v>
      </c>
      <c r="F679" s="17" t="s">
        <v>134</v>
      </c>
      <c r="G679" s="17">
        <v>0.72789364440000004</v>
      </c>
      <c r="H679" s="17">
        <v>0.62255700000000003</v>
      </c>
      <c r="I679" s="17" t="s">
        <v>115</v>
      </c>
    </row>
    <row r="680" spans="1:9" x14ac:dyDescent="0.3">
      <c r="A680" s="17" t="s">
        <v>58</v>
      </c>
      <c r="B680" s="17" t="s">
        <v>203</v>
      </c>
      <c r="C680" s="17" t="s">
        <v>113</v>
      </c>
      <c r="D680" s="17" t="s">
        <v>114</v>
      </c>
      <c r="E680" s="17" t="s">
        <v>93</v>
      </c>
      <c r="F680" s="17" t="s">
        <v>135</v>
      </c>
      <c r="G680" s="17">
        <v>5.7113534193548396</v>
      </c>
      <c r="H680" s="17">
        <v>4.8848387096774202</v>
      </c>
      <c r="I680" s="17" t="s">
        <v>115</v>
      </c>
    </row>
    <row r="681" spans="1:9" x14ac:dyDescent="0.3">
      <c r="A681" s="17" t="s">
        <v>58</v>
      </c>
      <c r="B681" s="17" t="s">
        <v>203</v>
      </c>
      <c r="C681" s="17" t="s">
        <v>113</v>
      </c>
      <c r="D681" s="17" t="s">
        <v>114</v>
      </c>
      <c r="E681" s="17" t="s">
        <v>93</v>
      </c>
      <c r="F681" s="17" t="s">
        <v>136</v>
      </c>
      <c r="G681" s="17">
        <v>27.9796705469053</v>
      </c>
      <c r="H681" s="17">
        <v>23.930611141725301</v>
      </c>
      <c r="I681" s="17" t="s">
        <v>115</v>
      </c>
    </row>
    <row r="682" spans="1:9" x14ac:dyDescent="0.3">
      <c r="A682" s="17" t="s">
        <v>58</v>
      </c>
      <c r="B682" s="17" t="s">
        <v>203</v>
      </c>
      <c r="C682" s="17" t="s">
        <v>113</v>
      </c>
      <c r="D682" s="17" t="s">
        <v>114</v>
      </c>
      <c r="E682" s="17" t="s">
        <v>93</v>
      </c>
      <c r="F682" s="17" t="s">
        <v>137</v>
      </c>
      <c r="G682" s="17">
        <v>36.201483611999997</v>
      </c>
      <c r="H682" s="17">
        <v>30.962610000000002</v>
      </c>
      <c r="I682" s="17" t="s">
        <v>115</v>
      </c>
    </row>
    <row r="683" spans="1:9" x14ac:dyDescent="0.3">
      <c r="A683" s="17" t="s">
        <v>58</v>
      </c>
      <c r="B683" s="17" t="s">
        <v>203</v>
      </c>
      <c r="C683" s="17" t="s">
        <v>113</v>
      </c>
      <c r="D683" s="17" t="s">
        <v>114</v>
      </c>
      <c r="E683" s="17" t="s">
        <v>94</v>
      </c>
      <c r="F683" s="17" t="s">
        <v>94</v>
      </c>
      <c r="G683" s="17">
        <v>4.3051580879999998</v>
      </c>
      <c r="H683" s="17">
        <v>3.68214</v>
      </c>
      <c r="I683" s="17" t="s">
        <v>115</v>
      </c>
    </row>
    <row r="684" spans="1:9" x14ac:dyDescent="0.3">
      <c r="A684" s="17" t="s">
        <v>58</v>
      </c>
      <c r="B684" s="17" t="s">
        <v>203</v>
      </c>
      <c r="C684" s="17" t="s">
        <v>113</v>
      </c>
      <c r="D684" s="17" t="s">
        <v>114</v>
      </c>
      <c r="E684" s="17" t="s">
        <v>95</v>
      </c>
      <c r="F684" s="17" t="s">
        <v>138</v>
      </c>
      <c r="G684" s="17">
        <v>100.83742015999999</v>
      </c>
      <c r="H684" s="17">
        <v>86.244799999999998</v>
      </c>
      <c r="I684" s="17" t="s">
        <v>115</v>
      </c>
    </row>
    <row r="685" spans="1:9" x14ac:dyDescent="0.3">
      <c r="A685" s="17" t="s">
        <v>58</v>
      </c>
      <c r="B685" s="17" t="s">
        <v>203</v>
      </c>
      <c r="C685" s="17" t="s">
        <v>113</v>
      </c>
      <c r="D685" s="17" t="s">
        <v>114</v>
      </c>
      <c r="E685" s="17" t="s">
        <v>98</v>
      </c>
      <c r="F685" s="17" t="s">
        <v>139</v>
      </c>
      <c r="G685" s="17">
        <v>41.930434999999903</v>
      </c>
      <c r="H685" s="17">
        <v>35.862499999999898</v>
      </c>
      <c r="I685" s="17" t="s">
        <v>115</v>
      </c>
    </row>
    <row r="686" spans="1:9" x14ac:dyDescent="0.3">
      <c r="A686" s="17" t="s">
        <v>58</v>
      </c>
      <c r="B686" s="17" t="s">
        <v>203</v>
      </c>
      <c r="C686" s="17" t="s">
        <v>113</v>
      </c>
      <c r="D686" s="17" t="s">
        <v>114</v>
      </c>
      <c r="E686" s="17" t="s">
        <v>98</v>
      </c>
      <c r="F686" s="17" t="s">
        <v>140</v>
      </c>
      <c r="G686" s="17">
        <v>2707.6026685000002</v>
      </c>
      <c r="H686" s="17">
        <v>2315.7737499999998</v>
      </c>
      <c r="I686" s="17" t="s">
        <v>115</v>
      </c>
    </row>
    <row r="687" spans="1:9" x14ac:dyDescent="0.3">
      <c r="A687" s="17" t="s">
        <v>58</v>
      </c>
      <c r="B687" s="17" t="s">
        <v>203</v>
      </c>
      <c r="C687" s="17" t="s">
        <v>113</v>
      </c>
      <c r="D687" s="17" t="s">
        <v>114</v>
      </c>
      <c r="E687" s="17" t="s">
        <v>98</v>
      </c>
      <c r="F687" s="17" t="s">
        <v>141</v>
      </c>
      <c r="G687" s="17">
        <v>21.000812096774201</v>
      </c>
      <c r="H687" s="17">
        <v>17.9616935483871</v>
      </c>
      <c r="I687" s="17" t="s">
        <v>115</v>
      </c>
    </row>
    <row r="688" spans="1:9" x14ac:dyDescent="0.3">
      <c r="A688" s="17" t="s">
        <v>58</v>
      </c>
      <c r="B688" s="17" t="s">
        <v>203</v>
      </c>
      <c r="C688" s="17" t="s">
        <v>113</v>
      </c>
      <c r="D688" s="17" t="s">
        <v>114</v>
      </c>
      <c r="E688" s="17" t="s">
        <v>96</v>
      </c>
      <c r="F688" s="17" t="s">
        <v>96</v>
      </c>
      <c r="G688" s="17">
        <v>1.4522710565964001</v>
      </c>
      <c r="H688" s="17">
        <v>1.2421066169999999</v>
      </c>
      <c r="I688" s="17" t="s">
        <v>115</v>
      </c>
    </row>
    <row r="689" spans="1:9" x14ac:dyDescent="0.3">
      <c r="A689" s="17" t="s">
        <v>58</v>
      </c>
      <c r="B689" s="17" t="s">
        <v>203</v>
      </c>
      <c r="C689" s="17" t="s">
        <v>113</v>
      </c>
      <c r="D689" s="17" t="s">
        <v>114</v>
      </c>
      <c r="E689" s="17" t="s">
        <v>97</v>
      </c>
      <c r="F689" s="17" t="s">
        <v>97</v>
      </c>
      <c r="G689" s="17">
        <v>26.65776</v>
      </c>
      <c r="H689" s="17">
        <v>22.8</v>
      </c>
      <c r="I689" s="17" t="s">
        <v>115</v>
      </c>
    </row>
    <row r="690" spans="1:9" x14ac:dyDescent="0.3">
      <c r="A690" s="17" t="s">
        <v>58</v>
      </c>
      <c r="B690" s="17" t="s">
        <v>203</v>
      </c>
      <c r="C690" s="17" t="s">
        <v>113</v>
      </c>
      <c r="D690" s="17" t="s">
        <v>114</v>
      </c>
      <c r="E690" s="17" t="s">
        <v>99</v>
      </c>
      <c r="F690" s="17" t="s">
        <v>142</v>
      </c>
      <c r="G690" s="17">
        <v>32.4458350159818</v>
      </c>
      <c r="H690" s="17">
        <v>27.750457591499998</v>
      </c>
      <c r="I690" s="17" t="s">
        <v>115</v>
      </c>
    </row>
    <row r="691" spans="1:9" x14ac:dyDescent="0.3">
      <c r="A691" s="17" t="s">
        <v>58</v>
      </c>
      <c r="B691" s="17" t="s">
        <v>203</v>
      </c>
      <c r="C691" s="17" t="s">
        <v>113</v>
      </c>
      <c r="D691" s="17" t="s">
        <v>114</v>
      </c>
      <c r="E691" s="17" t="s">
        <v>99</v>
      </c>
      <c r="F691" s="17" t="s">
        <v>143</v>
      </c>
      <c r="G691" s="17">
        <v>4.4945870260401399</v>
      </c>
      <c r="H691" s="17">
        <v>3.8441558553199999</v>
      </c>
      <c r="I691" s="17" t="s">
        <v>115</v>
      </c>
    </row>
    <row r="692" spans="1:9" x14ac:dyDescent="0.3">
      <c r="A692" s="17" t="s">
        <v>58</v>
      </c>
      <c r="B692" s="17" t="s">
        <v>203</v>
      </c>
      <c r="C692" s="17" t="s">
        <v>113</v>
      </c>
      <c r="D692" s="17" t="s">
        <v>114</v>
      </c>
      <c r="E692" s="17" t="s">
        <v>99</v>
      </c>
      <c r="F692" s="17" t="s">
        <v>144</v>
      </c>
      <c r="G692" s="17">
        <v>9.9243204307752801</v>
      </c>
      <c r="H692" s="17">
        <v>8.4881290033999992</v>
      </c>
      <c r="I692" s="17" t="s">
        <v>115</v>
      </c>
    </row>
    <row r="693" spans="1:9" x14ac:dyDescent="0.3">
      <c r="A693" s="17" t="s">
        <v>58</v>
      </c>
      <c r="B693" s="17" t="s">
        <v>203</v>
      </c>
      <c r="C693" s="17" t="s">
        <v>113</v>
      </c>
      <c r="D693" s="17" t="s">
        <v>114</v>
      </c>
      <c r="E693" s="17" t="s">
        <v>99</v>
      </c>
      <c r="F693" s="17" t="s">
        <v>145</v>
      </c>
      <c r="G693" s="17">
        <v>1.7709872400000001E-5</v>
      </c>
      <c r="H693" s="17">
        <v>1.5147000000000001E-5</v>
      </c>
      <c r="I693" s="17" t="s">
        <v>115</v>
      </c>
    </row>
    <row r="694" spans="1:9" x14ac:dyDescent="0.3">
      <c r="A694" s="17" t="s">
        <v>58</v>
      </c>
      <c r="B694" s="17" t="s">
        <v>203</v>
      </c>
      <c r="C694" s="17" t="s">
        <v>113</v>
      </c>
      <c r="D694" s="17" t="s">
        <v>114</v>
      </c>
      <c r="E694" s="17" t="s">
        <v>99</v>
      </c>
      <c r="F694" s="17" t="s">
        <v>146</v>
      </c>
      <c r="G694" s="17">
        <v>1.019218438064E-2</v>
      </c>
      <c r="H694" s="17">
        <v>8.7172291999999992E-3</v>
      </c>
      <c r="I694" s="17" t="s">
        <v>115</v>
      </c>
    </row>
    <row r="695" spans="1:9" x14ac:dyDescent="0.3">
      <c r="A695" s="17" t="s">
        <v>58</v>
      </c>
      <c r="B695" s="17" t="s">
        <v>203</v>
      </c>
      <c r="C695" s="17" t="s">
        <v>113</v>
      </c>
      <c r="D695" s="17" t="s">
        <v>114</v>
      </c>
      <c r="E695" s="17" t="s">
        <v>99</v>
      </c>
      <c r="F695" s="17" t="s">
        <v>147</v>
      </c>
      <c r="G695" s="17">
        <v>0.88562007108455998</v>
      </c>
      <c r="H695" s="17">
        <v>0.75745815179999998</v>
      </c>
      <c r="I695" s="17" t="s">
        <v>115</v>
      </c>
    </row>
    <row r="696" spans="1:9" x14ac:dyDescent="0.3">
      <c r="A696" s="17" t="s">
        <v>58</v>
      </c>
      <c r="B696" s="17" t="s">
        <v>203</v>
      </c>
      <c r="C696" s="17" t="s">
        <v>113</v>
      </c>
      <c r="D696" s="17" t="s">
        <v>114</v>
      </c>
      <c r="E696" s="17" t="s">
        <v>99</v>
      </c>
      <c r="F696" s="17" t="s">
        <v>148</v>
      </c>
      <c r="G696" s="17">
        <v>263.27210839604902</v>
      </c>
      <c r="H696" s="17">
        <v>225.17286041400001</v>
      </c>
      <c r="I696" s="17" t="s">
        <v>115</v>
      </c>
    </row>
    <row r="697" spans="1:9" x14ac:dyDescent="0.3">
      <c r="A697" s="17" t="s">
        <v>58</v>
      </c>
      <c r="B697" s="17" t="s">
        <v>203</v>
      </c>
      <c r="C697" s="17" t="s">
        <v>113</v>
      </c>
      <c r="D697" s="17" t="s">
        <v>114</v>
      </c>
      <c r="E697" s="17" t="s">
        <v>99</v>
      </c>
      <c r="F697" s="17" t="s">
        <v>149</v>
      </c>
      <c r="G697" s="17">
        <v>8.9233343999999998E-7</v>
      </c>
      <c r="H697" s="17">
        <v>7.6319999999999995E-7</v>
      </c>
      <c r="I697" s="17" t="s">
        <v>115</v>
      </c>
    </row>
    <row r="698" spans="1:9" x14ac:dyDescent="0.3">
      <c r="A698" s="17" t="s">
        <v>58</v>
      </c>
      <c r="B698" s="17" t="s">
        <v>203</v>
      </c>
      <c r="C698" s="17" t="s">
        <v>113</v>
      </c>
      <c r="D698" s="17" t="s">
        <v>114</v>
      </c>
      <c r="E698" s="17" t="s">
        <v>99</v>
      </c>
      <c r="F698" s="17" t="s">
        <v>150</v>
      </c>
      <c r="G698" s="17">
        <v>7.5002776959999997E-5</v>
      </c>
      <c r="H698" s="17">
        <v>6.4148799999999998E-5</v>
      </c>
      <c r="I698" s="17" t="s">
        <v>115</v>
      </c>
    </row>
    <row r="699" spans="1:9" x14ac:dyDescent="0.3">
      <c r="A699" s="17" t="s">
        <v>58</v>
      </c>
      <c r="B699" s="17" t="s">
        <v>203</v>
      </c>
      <c r="C699" s="17" t="s">
        <v>113</v>
      </c>
      <c r="D699" s="17" t="s">
        <v>114</v>
      </c>
      <c r="E699" s="17" t="s">
        <v>99</v>
      </c>
      <c r="F699" s="17" t="s">
        <v>151</v>
      </c>
      <c r="G699" s="17">
        <v>2.1802632287788799</v>
      </c>
      <c r="H699" s="17">
        <v>1.8647478864</v>
      </c>
      <c r="I699" s="17" t="s">
        <v>115</v>
      </c>
    </row>
    <row r="700" spans="1:9" x14ac:dyDescent="0.3">
      <c r="A700" s="17" t="s">
        <v>58</v>
      </c>
      <c r="B700" s="17" t="s">
        <v>203</v>
      </c>
      <c r="C700" s="17" t="s">
        <v>113</v>
      </c>
      <c r="D700" s="17" t="s">
        <v>114</v>
      </c>
      <c r="E700" s="17" t="s">
        <v>99</v>
      </c>
      <c r="F700" s="17" t="s">
        <v>152</v>
      </c>
      <c r="G700" s="17">
        <v>7.6884423280150003</v>
      </c>
      <c r="H700" s="17">
        <v>6.5758145125</v>
      </c>
      <c r="I700" s="17" t="s">
        <v>115</v>
      </c>
    </row>
    <row r="701" spans="1:9" x14ac:dyDescent="0.3">
      <c r="A701" s="17" t="s">
        <v>58</v>
      </c>
      <c r="B701" s="17" t="s">
        <v>203</v>
      </c>
      <c r="C701" s="17" t="s">
        <v>113</v>
      </c>
      <c r="D701" s="17" t="s">
        <v>114</v>
      </c>
      <c r="E701" s="17" t="s">
        <v>99</v>
      </c>
      <c r="F701" s="17" t="s">
        <v>153</v>
      </c>
      <c r="G701" s="17">
        <v>0.46532073165072002</v>
      </c>
      <c r="H701" s="17">
        <v>0.3979821516</v>
      </c>
      <c r="I701" s="17" t="s">
        <v>115</v>
      </c>
    </row>
    <row r="702" spans="1:9" x14ac:dyDescent="0.3">
      <c r="A702" s="17" t="s">
        <v>58</v>
      </c>
      <c r="B702" s="17" t="s">
        <v>203</v>
      </c>
      <c r="C702" s="17" t="s">
        <v>113</v>
      </c>
      <c r="D702" s="17" t="s">
        <v>114</v>
      </c>
      <c r="E702" s="17" t="s">
        <v>99</v>
      </c>
      <c r="F702" s="17" t="s">
        <v>154</v>
      </c>
      <c r="G702" s="17">
        <v>1.4724706035999999E-4</v>
      </c>
      <c r="H702" s="17">
        <v>1.2593829999999999E-4</v>
      </c>
      <c r="I702" s="17" t="s">
        <v>115</v>
      </c>
    </row>
    <row r="703" spans="1:9" x14ac:dyDescent="0.3">
      <c r="A703" s="17" t="s">
        <v>58</v>
      </c>
      <c r="B703" s="17" t="s">
        <v>203</v>
      </c>
      <c r="C703" s="17" t="s">
        <v>113</v>
      </c>
      <c r="D703" s="17" t="s">
        <v>114</v>
      </c>
      <c r="E703" s="17" t="s">
        <v>101</v>
      </c>
      <c r="F703" s="17" t="s">
        <v>170</v>
      </c>
      <c r="G703" s="17">
        <v>16.1383717</v>
      </c>
      <c r="H703" s="17">
        <v>13.8029179781047</v>
      </c>
      <c r="I703" s="17" t="s">
        <v>115</v>
      </c>
    </row>
    <row r="704" spans="1:9" x14ac:dyDescent="0.3">
      <c r="A704" s="17" t="s">
        <v>58</v>
      </c>
      <c r="B704" s="17" t="s">
        <v>203</v>
      </c>
      <c r="C704" s="17" t="s">
        <v>113</v>
      </c>
      <c r="D704" s="17" t="s">
        <v>114</v>
      </c>
      <c r="E704" s="17" t="s">
        <v>101</v>
      </c>
      <c r="F704" s="17" t="s">
        <v>155</v>
      </c>
      <c r="G704" s="17">
        <v>0.37361172788351998</v>
      </c>
      <c r="H704" s="17">
        <v>0.31954475528867599</v>
      </c>
      <c r="I704" s="17" t="s">
        <v>115</v>
      </c>
    </row>
    <row r="705" spans="1:9" x14ac:dyDescent="0.3">
      <c r="A705" s="17" t="s">
        <v>58</v>
      </c>
      <c r="B705" s="17" t="s">
        <v>203</v>
      </c>
      <c r="C705" s="17" t="s">
        <v>113</v>
      </c>
      <c r="D705" s="17" t="s">
        <v>114</v>
      </c>
      <c r="E705" s="17" t="s">
        <v>101</v>
      </c>
      <c r="F705" s="17" t="s">
        <v>178</v>
      </c>
      <c r="G705" s="17">
        <v>43.721762483153299</v>
      </c>
      <c r="H705" s="17">
        <v>37.394596718400003</v>
      </c>
      <c r="I705" s="17" t="s">
        <v>115</v>
      </c>
    </row>
    <row r="706" spans="1:9" x14ac:dyDescent="0.3">
      <c r="A706" s="17" t="s">
        <v>58</v>
      </c>
      <c r="B706" s="17" t="s">
        <v>203</v>
      </c>
      <c r="C706" s="17" t="s">
        <v>113</v>
      </c>
      <c r="D706" s="17" t="s">
        <v>114</v>
      </c>
      <c r="E706" s="17" t="s">
        <v>101</v>
      </c>
      <c r="F706" s="17" t="s">
        <v>157</v>
      </c>
      <c r="G706" s="17">
        <v>1388.5179000253499</v>
      </c>
      <c r="H706" s="17">
        <v>1187.57945606</v>
      </c>
      <c r="I706" s="17" t="s">
        <v>115</v>
      </c>
    </row>
    <row r="707" spans="1:9" x14ac:dyDescent="0.3">
      <c r="A707" s="17" t="s">
        <v>58</v>
      </c>
      <c r="B707" s="17" t="s">
        <v>203</v>
      </c>
      <c r="C707" s="17" t="s">
        <v>113</v>
      </c>
      <c r="D707" s="17" t="s">
        <v>114</v>
      </c>
      <c r="E707" s="17" t="s">
        <v>101</v>
      </c>
      <c r="F707" s="17" t="s">
        <v>158</v>
      </c>
      <c r="G707" s="17">
        <v>95.777940999999998</v>
      </c>
      <c r="H707" s="17">
        <v>81.917500000000004</v>
      </c>
      <c r="I707" s="17" t="s">
        <v>115</v>
      </c>
    </row>
    <row r="708" spans="1:9" x14ac:dyDescent="0.3">
      <c r="A708" s="17" t="s">
        <v>58</v>
      </c>
      <c r="B708" s="17" t="s">
        <v>203</v>
      </c>
      <c r="C708" s="17" t="s">
        <v>113</v>
      </c>
      <c r="D708" s="17" t="s">
        <v>114</v>
      </c>
      <c r="E708" s="17" t="s">
        <v>101</v>
      </c>
      <c r="F708" s="17" t="s">
        <v>159</v>
      </c>
      <c r="G708" s="17">
        <v>25.485034152295601</v>
      </c>
      <c r="H708" s="17">
        <v>21.796984392999999</v>
      </c>
      <c r="I708" s="17" t="s">
        <v>115</v>
      </c>
    </row>
    <row r="709" spans="1:9" x14ac:dyDescent="0.3">
      <c r="A709" s="17" t="s">
        <v>58</v>
      </c>
      <c r="B709" s="17" t="s">
        <v>203</v>
      </c>
      <c r="C709" s="17" t="s">
        <v>113</v>
      </c>
      <c r="D709" s="17" t="s">
        <v>114</v>
      </c>
      <c r="E709" s="17" t="s">
        <v>101</v>
      </c>
      <c r="F709" s="17" t="s">
        <v>160</v>
      </c>
      <c r="G709" s="17">
        <v>94.147713650956405</v>
      </c>
      <c r="H709" s="17">
        <v>80.523189916999996</v>
      </c>
      <c r="I709" s="17" t="s">
        <v>115</v>
      </c>
    </row>
    <row r="710" spans="1:9" x14ac:dyDescent="0.3">
      <c r="A710" s="17" t="s">
        <v>58</v>
      </c>
      <c r="B710" s="17" t="s">
        <v>203</v>
      </c>
      <c r="C710" s="17" t="s">
        <v>113</v>
      </c>
      <c r="D710" s="17" t="s">
        <v>114</v>
      </c>
      <c r="E710" s="17" t="s">
        <v>101</v>
      </c>
      <c r="F710" s="17" t="s">
        <v>162</v>
      </c>
      <c r="G710" s="17">
        <v>44.165681035105401</v>
      </c>
      <c r="H710" s="17">
        <v>37.774273892495202</v>
      </c>
      <c r="I710" s="17" t="s">
        <v>115</v>
      </c>
    </row>
    <row r="711" spans="1:9" x14ac:dyDescent="0.3">
      <c r="A711" s="17" t="s">
        <v>58</v>
      </c>
      <c r="B711" s="17" t="s">
        <v>203</v>
      </c>
      <c r="C711" s="17" t="s">
        <v>113</v>
      </c>
      <c r="D711" s="17" t="s">
        <v>114</v>
      </c>
      <c r="E711" s="17" t="s">
        <v>101</v>
      </c>
      <c r="F711" s="17" t="s">
        <v>163</v>
      </c>
      <c r="G711" s="17">
        <v>60.026727999999999</v>
      </c>
      <c r="H711" s="17">
        <v>51.34</v>
      </c>
      <c r="I711" s="17" t="s">
        <v>115</v>
      </c>
    </row>
    <row r="712" spans="1:9" x14ac:dyDescent="0.3">
      <c r="A712" s="17" t="s">
        <v>58</v>
      </c>
      <c r="B712" s="17" t="s">
        <v>203</v>
      </c>
      <c r="C712" s="17" t="s">
        <v>113</v>
      </c>
      <c r="D712" s="17" t="s">
        <v>114</v>
      </c>
      <c r="E712" s="17" t="s">
        <v>102</v>
      </c>
      <c r="F712" s="17" t="s">
        <v>165</v>
      </c>
      <c r="G712" s="17">
        <v>6.6367299600000003</v>
      </c>
      <c r="H712" s="17">
        <v>5.6763000000000003</v>
      </c>
      <c r="I712" s="17" t="s">
        <v>115</v>
      </c>
    </row>
    <row r="713" spans="1:9" x14ac:dyDescent="0.3">
      <c r="A713" s="17" t="s">
        <v>58</v>
      </c>
      <c r="B713" s="17" t="s">
        <v>203</v>
      </c>
      <c r="C713" s="17" t="s">
        <v>113</v>
      </c>
      <c r="D713" s="17" t="s">
        <v>114</v>
      </c>
      <c r="E713" s="17" t="s">
        <v>102</v>
      </c>
      <c r="F713" s="17" t="s">
        <v>166</v>
      </c>
      <c r="G713" s="17">
        <v>104.09588524528699</v>
      </c>
      <c r="H713" s="17">
        <v>89.031718478692198</v>
      </c>
      <c r="I713" s="17" t="s">
        <v>115</v>
      </c>
    </row>
    <row r="714" spans="1:9" x14ac:dyDescent="0.3">
      <c r="A714" s="17" t="s">
        <v>58</v>
      </c>
      <c r="B714" s="17" t="s">
        <v>203</v>
      </c>
      <c r="C714" s="17" t="s">
        <v>113</v>
      </c>
      <c r="D714" s="17" t="s">
        <v>114</v>
      </c>
      <c r="E714" s="17" t="s">
        <v>103</v>
      </c>
      <c r="F714" s="17" t="s">
        <v>103</v>
      </c>
      <c r="G714" s="17">
        <v>6.6574248000000003</v>
      </c>
      <c r="H714" s="17">
        <v>5.694</v>
      </c>
      <c r="I714" s="17" t="s">
        <v>115</v>
      </c>
    </row>
    <row r="715" spans="1:9" x14ac:dyDescent="0.3">
      <c r="A715" s="17" t="s">
        <v>58</v>
      </c>
      <c r="B715" s="17" t="s">
        <v>203</v>
      </c>
      <c r="C715" s="17" t="s">
        <v>167</v>
      </c>
      <c r="D715" s="17" t="s">
        <v>168</v>
      </c>
      <c r="E715" s="17" t="s">
        <v>100</v>
      </c>
      <c r="F715" s="17" t="s">
        <v>100</v>
      </c>
      <c r="G715" s="17">
        <v>0</v>
      </c>
      <c r="H715" s="17">
        <v>0</v>
      </c>
      <c r="I715" s="17" t="s">
        <v>115</v>
      </c>
    </row>
    <row r="716" spans="1:9" x14ac:dyDescent="0.3">
      <c r="A716" s="17" t="s">
        <v>58</v>
      </c>
      <c r="B716" s="17" t="s">
        <v>203</v>
      </c>
      <c r="C716" s="17" t="s">
        <v>167</v>
      </c>
      <c r="D716" s="17" t="s">
        <v>114</v>
      </c>
      <c r="E716" s="17" t="s">
        <v>100</v>
      </c>
      <c r="F716" s="17" t="s">
        <v>100</v>
      </c>
      <c r="G716" s="17">
        <v>56.159014399999997</v>
      </c>
      <c r="H716" s="17">
        <v>48.031999999999996</v>
      </c>
      <c r="I716" s="17" t="s">
        <v>115</v>
      </c>
    </row>
  </sheetData>
  <autoFilter ref="B1:I645" xr:uid="{00000000-0009-0000-0000-000001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3253-08D5-46B7-89B2-DDED24653447}">
  <dimension ref="A1:I1147"/>
  <sheetViews>
    <sheetView topLeftCell="A1114" workbookViewId="0">
      <selection activeCell="A1147" sqref="A1147"/>
    </sheetView>
  </sheetViews>
  <sheetFormatPr defaultRowHeight="14.4" x14ac:dyDescent="0.3"/>
  <cols>
    <col min="1" max="1" width="36.88671875" customWidth="1"/>
  </cols>
  <sheetData>
    <row r="1" spans="1:9" ht="15.6" x14ac:dyDescent="0.3">
      <c r="A1" s="17" t="s">
        <v>59</v>
      </c>
      <c r="B1" s="17" t="s">
        <v>105</v>
      </c>
      <c r="C1" s="17" t="s">
        <v>106</v>
      </c>
      <c r="D1" s="17" t="s">
        <v>107</v>
      </c>
      <c r="E1" s="17" t="s">
        <v>108</v>
      </c>
      <c r="F1" s="17" t="s">
        <v>109</v>
      </c>
      <c r="G1" s="17" t="s">
        <v>110</v>
      </c>
      <c r="H1" s="17" t="s">
        <v>111</v>
      </c>
      <c r="I1" s="17" t="s">
        <v>112</v>
      </c>
    </row>
    <row r="2" spans="1:9" ht="15.6" x14ac:dyDescent="0.3">
      <c r="A2" s="17" t="s">
        <v>58</v>
      </c>
      <c r="B2" s="17" t="s">
        <v>61</v>
      </c>
      <c r="C2" s="17" t="s">
        <v>113</v>
      </c>
      <c r="D2" s="17" t="s">
        <v>114</v>
      </c>
      <c r="E2" s="17" t="s">
        <v>71</v>
      </c>
      <c r="F2" s="17" t="s">
        <v>71</v>
      </c>
      <c r="G2" s="17">
        <v>45.750605999999998</v>
      </c>
      <c r="H2" s="17">
        <v>43.896000000000001</v>
      </c>
      <c r="I2" s="17" t="s">
        <v>115</v>
      </c>
    </row>
    <row r="3" spans="1:9" ht="15.6" x14ac:dyDescent="0.3">
      <c r="A3" s="17" t="s">
        <v>58</v>
      </c>
      <c r="B3" s="17" t="s">
        <v>61</v>
      </c>
      <c r="C3" s="17" t="s">
        <v>113</v>
      </c>
      <c r="D3" s="17" t="s">
        <v>114</v>
      </c>
      <c r="E3" s="17" t="s">
        <v>72</v>
      </c>
      <c r="F3" s="17" t="s">
        <v>116</v>
      </c>
      <c r="G3" s="17">
        <v>173.02258842000001</v>
      </c>
      <c r="H3" s="17">
        <v>166.00872000000001</v>
      </c>
      <c r="I3" s="17" t="s">
        <v>115</v>
      </c>
    </row>
    <row r="4" spans="1:9" ht="15.6" x14ac:dyDescent="0.3">
      <c r="A4" s="17" t="s">
        <v>58</v>
      </c>
      <c r="B4" s="17" t="s">
        <v>61</v>
      </c>
      <c r="C4" s="17" t="s">
        <v>113</v>
      </c>
      <c r="D4" s="17" t="s">
        <v>114</v>
      </c>
      <c r="E4" s="17" t="s">
        <v>73</v>
      </c>
      <c r="F4" s="17" t="s">
        <v>117</v>
      </c>
      <c r="G4" s="17">
        <v>0</v>
      </c>
      <c r="H4" s="17">
        <v>0</v>
      </c>
      <c r="I4" s="17" t="s">
        <v>115</v>
      </c>
    </row>
    <row r="5" spans="1:9" ht="15.6" x14ac:dyDescent="0.3">
      <c r="A5" s="17" t="s">
        <v>58</v>
      </c>
      <c r="B5" s="17" t="s">
        <v>61</v>
      </c>
      <c r="C5" s="17" t="s">
        <v>113</v>
      </c>
      <c r="D5" s="17" t="s">
        <v>114</v>
      </c>
      <c r="E5" s="17" t="s">
        <v>73</v>
      </c>
      <c r="F5" s="17" t="s">
        <v>118</v>
      </c>
      <c r="G5" s="17">
        <v>224.100426</v>
      </c>
      <c r="H5" s="17">
        <v>215.01599999999999</v>
      </c>
      <c r="I5" s="17" t="s">
        <v>115</v>
      </c>
    </row>
    <row r="6" spans="1:9" ht="15.6" x14ac:dyDescent="0.3">
      <c r="A6" s="17" t="s">
        <v>58</v>
      </c>
      <c r="B6" s="17" t="s">
        <v>61</v>
      </c>
      <c r="C6" s="17" t="s">
        <v>113</v>
      </c>
      <c r="D6" s="17" t="s">
        <v>114</v>
      </c>
      <c r="E6" s="17" t="s">
        <v>73</v>
      </c>
      <c r="F6" s="17" t="s">
        <v>119</v>
      </c>
      <c r="G6" s="17">
        <v>1736.97216</v>
      </c>
      <c r="H6" s="17">
        <v>1666.56</v>
      </c>
      <c r="I6" s="17" t="s">
        <v>115</v>
      </c>
    </row>
    <row r="7" spans="1:9" ht="15.6" x14ac:dyDescent="0.3">
      <c r="A7" s="17" t="s">
        <v>58</v>
      </c>
      <c r="B7" s="17" t="s">
        <v>61</v>
      </c>
      <c r="C7" s="17" t="s">
        <v>113</v>
      </c>
      <c r="D7" s="17" t="s">
        <v>114</v>
      </c>
      <c r="E7" s="17" t="s">
        <v>73</v>
      </c>
      <c r="F7" s="17" t="s">
        <v>120</v>
      </c>
      <c r="G7" s="17">
        <v>16.911896868493201</v>
      </c>
      <c r="H7" s="17">
        <v>16.226334246575298</v>
      </c>
      <c r="I7" s="17" t="s">
        <v>115</v>
      </c>
    </row>
    <row r="8" spans="1:9" ht="15.6" x14ac:dyDescent="0.3">
      <c r="A8" s="17" t="s">
        <v>58</v>
      </c>
      <c r="B8" s="17" t="s">
        <v>61</v>
      </c>
      <c r="C8" s="17" t="s">
        <v>113</v>
      </c>
      <c r="D8" s="17" t="s">
        <v>114</v>
      </c>
      <c r="E8" s="17" t="s">
        <v>74</v>
      </c>
      <c r="F8" s="17" t="s">
        <v>121</v>
      </c>
      <c r="G8" s="17">
        <v>2.3859186999999999</v>
      </c>
      <c r="H8" s="17">
        <v>2.2892000000000001</v>
      </c>
      <c r="I8" s="17" t="s">
        <v>115</v>
      </c>
    </row>
    <row r="9" spans="1:9" ht="15.6" x14ac:dyDescent="0.3">
      <c r="A9" s="17" t="s">
        <v>58</v>
      </c>
      <c r="B9" s="17" t="s">
        <v>61</v>
      </c>
      <c r="C9" s="17" t="s">
        <v>113</v>
      </c>
      <c r="D9" s="17" t="s">
        <v>114</v>
      </c>
      <c r="E9" s="17" t="s">
        <v>75</v>
      </c>
      <c r="F9" s="17" t="s">
        <v>75</v>
      </c>
      <c r="G9" s="17">
        <v>78.292130607344902</v>
      </c>
      <c r="H9" s="17">
        <v>75.1183790907603</v>
      </c>
      <c r="I9" s="17" t="s">
        <v>115</v>
      </c>
    </row>
    <row r="10" spans="1:9" ht="15.6" x14ac:dyDescent="0.3">
      <c r="A10" s="17" t="s">
        <v>58</v>
      </c>
      <c r="B10" s="17" t="s">
        <v>61</v>
      </c>
      <c r="C10" s="17" t="s">
        <v>113</v>
      </c>
      <c r="D10" s="17" t="s">
        <v>114</v>
      </c>
      <c r="E10" s="17" t="s">
        <v>76</v>
      </c>
      <c r="F10" s="17" t="s">
        <v>122</v>
      </c>
      <c r="G10" s="17">
        <v>138.80268599999999</v>
      </c>
      <c r="H10" s="17">
        <v>133.17599999999999</v>
      </c>
      <c r="I10" s="17" t="s">
        <v>115</v>
      </c>
    </row>
    <row r="11" spans="1:9" ht="15.6" x14ac:dyDescent="0.3">
      <c r="A11" s="17" t="s">
        <v>58</v>
      </c>
      <c r="B11" s="17" t="s">
        <v>61</v>
      </c>
      <c r="C11" s="17" t="s">
        <v>113</v>
      </c>
      <c r="D11" s="17" t="s">
        <v>114</v>
      </c>
      <c r="E11" s="17" t="s">
        <v>80</v>
      </c>
      <c r="F11" s="17" t="s">
        <v>80</v>
      </c>
      <c r="G11" s="17">
        <v>0.63283172908999996</v>
      </c>
      <c r="H11" s="17">
        <v>0.60717843999999999</v>
      </c>
      <c r="I11" s="17" t="s">
        <v>115</v>
      </c>
    </row>
    <row r="12" spans="1:9" ht="15.6" x14ac:dyDescent="0.3">
      <c r="A12" s="17" t="s">
        <v>58</v>
      </c>
      <c r="B12" s="17" t="s">
        <v>61</v>
      </c>
      <c r="C12" s="17" t="s">
        <v>113</v>
      </c>
      <c r="D12" s="17" t="s">
        <v>114</v>
      </c>
      <c r="E12" s="17" t="s">
        <v>77</v>
      </c>
      <c r="F12" s="17" t="s">
        <v>77</v>
      </c>
      <c r="G12" s="17">
        <v>2.1184197309458299</v>
      </c>
      <c r="H12" s="17">
        <v>2.0325447166666701</v>
      </c>
      <c r="I12" s="17" t="s">
        <v>115</v>
      </c>
    </row>
    <row r="13" spans="1:9" ht="15.6" x14ac:dyDescent="0.3">
      <c r="A13" s="17" t="s">
        <v>58</v>
      </c>
      <c r="B13" s="17" t="s">
        <v>61</v>
      </c>
      <c r="C13" s="17" t="s">
        <v>113</v>
      </c>
      <c r="D13" s="17" t="s">
        <v>114</v>
      </c>
      <c r="E13" s="17" t="s">
        <v>78</v>
      </c>
      <c r="F13" s="17" t="s">
        <v>123</v>
      </c>
      <c r="G13" s="17">
        <v>13.474208000000001</v>
      </c>
      <c r="H13" s="17">
        <v>12.928000000000001</v>
      </c>
      <c r="I13" s="17" t="s">
        <v>115</v>
      </c>
    </row>
    <row r="14" spans="1:9" ht="15.6" x14ac:dyDescent="0.3">
      <c r="A14" s="17" t="s">
        <v>58</v>
      </c>
      <c r="B14" s="17" t="s">
        <v>61</v>
      </c>
      <c r="C14" s="17" t="s">
        <v>113</v>
      </c>
      <c r="D14" s="17" t="s">
        <v>114</v>
      </c>
      <c r="E14" s="17" t="s">
        <v>78</v>
      </c>
      <c r="F14" s="17" t="s">
        <v>124</v>
      </c>
      <c r="G14" s="17">
        <v>193.85849999999999</v>
      </c>
      <c r="H14" s="17">
        <v>186</v>
      </c>
      <c r="I14" s="17" t="s">
        <v>115</v>
      </c>
    </row>
    <row r="15" spans="1:9" ht="15.6" x14ac:dyDescent="0.3">
      <c r="A15" s="17" t="s">
        <v>58</v>
      </c>
      <c r="B15" s="17" t="s">
        <v>61</v>
      </c>
      <c r="C15" s="17" t="s">
        <v>113</v>
      </c>
      <c r="D15" s="17" t="s">
        <v>114</v>
      </c>
      <c r="E15" s="17" t="s">
        <v>78</v>
      </c>
      <c r="F15" s="17" t="s">
        <v>125</v>
      </c>
      <c r="G15" s="17">
        <v>185.79398639999999</v>
      </c>
      <c r="H15" s="17">
        <v>178.26240000000001</v>
      </c>
      <c r="I15" s="17" t="s">
        <v>115</v>
      </c>
    </row>
    <row r="16" spans="1:9" ht="15.6" x14ac:dyDescent="0.3">
      <c r="A16" s="17" t="s">
        <v>58</v>
      </c>
      <c r="B16" s="17" t="s">
        <v>61</v>
      </c>
      <c r="C16" s="17" t="s">
        <v>113</v>
      </c>
      <c r="D16" s="17" t="s">
        <v>114</v>
      </c>
      <c r="E16" s="17" t="s">
        <v>79</v>
      </c>
      <c r="F16" s="17" t="s">
        <v>126</v>
      </c>
      <c r="G16" s="17">
        <v>1999.1959024051</v>
      </c>
      <c r="H16" s="17">
        <v>1918.15390012483</v>
      </c>
      <c r="I16" s="17" t="s">
        <v>115</v>
      </c>
    </row>
    <row r="17" spans="1:9" ht="15.6" x14ac:dyDescent="0.3">
      <c r="A17" s="17" t="s">
        <v>58</v>
      </c>
      <c r="B17" s="17" t="s">
        <v>61</v>
      </c>
      <c r="C17" s="17" t="s">
        <v>113</v>
      </c>
      <c r="D17" s="17" t="s">
        <v>114</v>
      </c>
      <c r="E17" s="17" t="s">
        <v>79</v>
      </c>
      <c r="F17" s="17" t="s">
        <v>79</v>
      </c>
      <c r="G17" s="17">
        <v>1447.50767530804</v>
      </c>
      <c r="H17" s="17">
        <v>1388.8296237064401</v>
      </c>
      <c r="I17" s="17" t="s">
        <v>115</v>
      </c>
    </row>
    <row r="18" spans="1:9" ht="15.6" x14ac:dyDescent="0.3">
      <c r="A18" s="17" t="s">
        <v>58</v>
      </c>
      <c r="B18" s="17" t="s">
        <v>61</v>
      </c>
      <c r="C18" s="17" t="s">
        <v>113</v>
      </c>
      <c r="D18" s="17" t="s">
        <v>114</v>
      </c>
      <c r="E18" s="17" t="s">
        <v>81</v>
      </c>
      <c r="F18" s="17" t="s">
        <v>81</v>
      </c>
      <c r="G18" s="17">
        <v>242.501397582838</v>
      </c>
      <c r="H18" s="17">
        <v>232.67104589382399</v>
      </c>
      <c r="I18" s="17" t="s">
        <v>115</v>
      </c>
    </row>
    <row r="19" spans="1:9" ht="15.6" x14ac:dyDescent="0.3">
      <c r="A19" s="17" t="s">
        <v>58</v>
      </c>
      <c r="B19" s="17" t="s">
        <v>61</v>
      </c>
      <c r="C19" s="17" t="s">
        <v>113</v>
      </c>
      <c r="D19" s="17" t="s">
        <v>114</v>
      </c>
      <c r="E19" s="17" t="s">
        <v>82</v>
      </c>
      <c r="F19" s="17" t="s">
        <v>82</v>
      </c>
      <c r="G19" s="17">
        <v>43.954852852427997</v>
      </c>
      <c r="H19" s="17">
        <v>42.173041834903302</v>
      </c>
      <c r="I19" s="17" t="s">
        <v>115</v>
      </c>
    </row>
    <row r="20" spans="1:9" ht="15.6" x14ac:dyDescent="0.3">
      <c r="A20" s="17" t="s">
        <v>58</v>
      </c>
      <c r="B20" s="17" t="s">
        <v>61</v>
      </c>
      <c r="C20" s="17" t="s">
        <v>113</v>
      </c>
      <c r="D20" s="17" t="s">
        <v>114</v>
      </c>
      <c r="E20" s="17" t="s">
        <v>83</v>
      </c>
      <c r="F20" s="17" t="s">
        <v>127</v>
      </c>
      <c r="G20" s="17">
        <v>0.64202765075887402</v>
      </c>
      <c r="H20" s="17">
        <v>0.616001583841568</v>
      </c>
      <c r="I20" s="17" t="s">
        <v>115</v>
      </c>
    </row>
    <row r="21" spans="1:9" ht="15.6" x14ac:dyDescent="0.3">
      <c r="A21" s="17" t="s">
        <v>58</v>
      </c>
      <c r="B21" s="17" t="s">
        <v>61</v>
      </c>
      <c r="C21" s="17" t="s">
        <v>113</v>
      </c>
      <c r="D21" s="17" t="s">
        <v>114</v>
      </c>
      <c r="E21" s="17" t="s">
        <v>83</v>
      </c>
      <c r="F21" s="17" t="s">
        <v>128</v>
      </c>
      <c r="G21" s="17">
        <v>23.8464005626067</v>
      </c>
      <c r="H21" s="17">
        <v>22.8797318902439</v>
      </c>
      <c r="I21" s="17" t="s">
        <v>115</v>
      </c>
    </row>
    <row r="22" spans="1:9" ht="15.6" x14ac:dyDescent="0.3">
      <c r="A22" s="17" t="s">
        <v>58</v>
      </c>
      <c r="B22" s="17" t="s">
        <v>61</v>
      </c>
      <c r="C22" s="17" t="s">
        <v>113</v>
      </c>
      <c r="D22" s="17" t="s">
        <v>114</v>
      </c>
      <c r="E22" s="17" t="s">
        <v>84</v>
      </c>
      <c r="F22" s="17" t="s">
        <v>129</v>
      </c>
      <c r="G22" s="17">
        <v>806.52692865968095</v>
      </c>
      <c r="H22" s="17">
        <v>773.83250531032002</v>
      </c>
      <c r="I22" s="17" t="s">
        <v>115</v>
      </c>
    </row>
    <row r="23" spans="1:9" ht="15.6" x14ac:dyDescent="0.3">
      <c r="A23" s="17" t="s">
        <v>58</v>
      </c>
      <c r="B23" s="17" t="s">
        <v>61</v>
      </c>
      <c r="C23" s="17" t="s">
        <v>113</v>
      </c>
      <c r="D23" s="17" t="s">
        <v>114</v>
      </c>
      <c r="E23" s="17" t="s">
        <v>85</v>
      </c>
      <c r="F23" s="17" t="s">
        <v>85</v>
      </c>
      <c r="G23" s="17">
        <v>85.815382194467901</v>
      </c>
      <c r="H23" s="17">
        <v>82.336658377997495</v>
      </c>
      <c r="I23" s="17" t="s">
        <v>115</v>
      </c>
    </row>
    <row r="24" spans="1:9" ht="15.6" x14ac:dyDescent="0.3">
      <c r="A24" s="17" t="s">
        <v>58</v>
      </c>
      <c r="B24" s="17" t="s">
        <v>61</v>
      </c>
      <c r="C24" s="17" t="s">
        <v>113</v>
      </c>
      <c r="D24" s="17" t="s">
        <v>114</v>
      </c>
      <c r="E24" s="17" t="s">
        <v>86</v>
      </c>
      <c r="F24" s="17" t="s">
        <v>86</v>
      </c>
      <c r="G24" s="17">
        <v>2.2155569502400399E-3</v>
      </c>
      <c r="H24" s="17">
        <v>2.12574425544739E-3</v>
      </c>
      <c r="I24" s="17" t="s">
        <v>115</v>
      </c>
    </row>
    <row r="25" spans="1:9" ht="15.6" x14ac:dyDescent="0.3">
      <c r="A25" s="17" t="s">
        <v>58</v>
      </c>
      <c r="B25" s="17" t="s">
        <v>61</v>
      </c>
      <c r="C25" s="17" t="s">
        <v>113</v>
      </c>
      <c r="D25" s="17" t="s">
        <v>114</v>
      </c>
      <c r="E25" s="17" t="s">
        <v>87</v>
      </c>
      <c r="F25" s="17" t="s">
        <v>87</v>
      </c>
      <c r="G25" s="17">
        <v>0.98603263276925002</v>
      </c>
      <c r="H25" s="17">
        <v>0.94606153299999995</v>
      </c>
      <c r="I25" s="17" t="s">
        <v>115</v>
      </c>
    </row>
    <row r="26" spans="1:9" ht="15.6" x14ac:dyDescent="0.3">
      <c r="A26" s="17" t="s">
        <v>58</v>
      </c>
      <c r="B26" s="17" t="s">
        <v>61</v>
      </c>
      <c r="C26" s="17" t="s">
        <v>113</v>
      </c>
      <c r="D26" s="17" t="s">
        <v>114</v>
      </c>
      <c r="E26" s="17" t="s">
        <v>88</v>
      </c>
      <c r="F26" s="17" t="s">
        <v>88</v>
      </c>
      <c r="G26" s="17">
        <v>12.337083209228201</v>
      </c>
      <c r="H26" s="17">
        <v>11.836971177000001</v>
      </c>
      <c r="I26" s="17" t="s">
        <v>115</v>
      </c>
    </row>
    <row r="27" spans="1:9" ht="15.6" x14ac:dyDescent="0.3">
      <c r="A27" s="17" t="s">
        <v>58</v>
      </c>
      <c r="B27" s="17" t="s">
        <v>61</v>
      </c>
      <c r="C27" s="17" t="s">
        <v>113</v>
      </c>
      <c r="D27" s="17" t="s">
        <v>114</v>
      </c>
      <c r="E27" s="17" t="s">
        <v>89</v>
      </c>
      <c r="F27" s="17" t="s">
        <v>89</v>
      </c>
      <c r="G27" s="17">
        <v>0.35043303891749999</v>
      </c>
      <c r="H27" s="17">
        <v>0.33622742999999999</v>
      </c>
      <c r="I27" s="17" t="s">
        <v>115</v>
      </c>
    </row>
    <row r="28" spans="1:9" ht="15.6" x14ac:dyDescent="0.3">
      <c r="A28" s="17" t="s">
        <v>58</v>
      </c>
      <c r="B28" s="17" t="s">
        <v>61</v>
      </c>
      <c r="C28" s="17" t="s">
        <v>113</v>
      </c>
      <c r="D28" s="17" t="s">
        <v>114</v>
      </c>
      <c r="E28" s="17" t="s">
        <v>90</v>
      </c>
      <c r="F28" s="17" t="s">
        <v>90</v>
      </c>
      <c r="G28" s="17">
        <v>127.524847114247</v>
      </c>
      <c r="H28" s="17">
        <v>122.355334242501</v>
      </c>
      <c r="I28" s="17" t="s">
        <v>115</v>
      </c>
    </row>
    <row r="29" spans="1:9" ht="15.6" x14ac:dyDescent="0.3">
      <c r="A29" s="17" t="s">
        <v>58</v>
      </c>
      <c r="B29" s="17" t="s">
        <v>61</v>
      </c>
      <c r="C29" s="17" t="s">
        <v>113</v>
      </c>
      <c r="D29" s="17" t="s">
        <v>114</v>
      </c>
      <c r="E29" s="17" t="s">
        <v>91</v>
      </c>
      <c r="F29" s="17" t="s">
        <v>91</v>
      </c>
      <c r="G29" s="17">
        <v>20.077948676141499</v>
      </c>
      <c r="H29" s="17">
        <v>19.264042865091401</v>
      </c>
      <c r="I29" s="17" t="s">
        <v>115</v>
      </c>
    </row>
    <row r="30" spans="1:9" ht="15.6" x14ac:dyDescent="0.3">
      <c r="A30" s="17" t="s">
        <v>58</v>
      </c>
      <c r="B30" s="17" t="s">
        <v>61</v>
      </c>
      <c r="C30" s="17" t="s">
        <v>113</v>
      </c>
      <c r="D30" s="17" t="s">
        <v>114</v>
      </c>
      <c r="E30" s="17" t="s">
        <v>93</v>
      </c>
      <c r="F30" s="17" t="s">
        <v>130</v>
      </c>
      <c r="G30" s="17">
        <v>154.96199890049999</v>
      </c>
      <c r="H30" s="17">
        <v>148.68025800000001</v>
      </c>
      <c r="I30" s="17" t="s">
        <v>115</v>
      </c>
    </row>
    <row r="31" spans="1:9" ht="15.6" x14ac:dyDescent="0.3">
      <c r="A31" s="17" t="s">
        <v>58</v>
      </c>
      <c r="B31" s="17" t="s">
        <v>61</v>
      </c>
      <c r="C31" s="17" t="s">
        <v>113</v>
      </c>
      <c r="D31" s="17" t="s">
        <v>114</v>
      </c>
      <c r="E31" s="17" t="s">
        <v>93</v>
      </c>
      <c r="F31" s="17" t="s">
        <v>131</v>
      </c>
      <c r="G31" s="17">
        <v>172.61160839999999</v>
      </c>
      <c r="H31" s="17">
        <v>165.61439999999999</v>
      </c>
      <c r="I31" s="17" t="s">
        <v>115</v>
      </c>
    </row>
    <row r="32" spans="1:9" ht="15.6" x14ac:dyDescent="0.3">
      <c r="A32" s="17" t="s">
        <v>58</v>
      </c>
      <c r="B32" s="17" t="s">
        <v>61</v>
      </c>
      <c r="C32" s="17" t="s">
        <v>113</v>
      </c>
      <c r="D32" s="17" t="s">
        <v>114</v>
      </c>
      <c r="E32" s="17" t="s">
        <v>93</v>
      </c>
      <c r="F32" s="17" t="s">
        <v>132</v>
      </c>
      <c r="G32" s="17">
        <v>1.7102196869999999</v>
      </c>
      <c r="H32" s="17">
        <v>1.640892</v>
      </c>
      <c r="I32" s="17" t="s">
        <v>115</v>
      </c>
    </row>
    <row r="33" spans="1:9" ht="15.6" x14ac:dyDescent="0.3">
      <c r="A33" s="17" t="s">
        <v>58</v>
      </c>
      <c r="B33" s="17" t="s">
        <v>61</v>
      </c>
      <c r="C33" s="17" t="s">
        <v>113</v>
      </c>
      <c r="D33" s="17" t="s">
        <v>114</v>
      </c>
      <c r="E33" s="17" t="s">
        <v>93</v>
      </c>
      <c r="F33" s="17" t="s">
        <v>133</v>
      </c>
      <c r="G33" s="17">
        <v>18.447825000000002</v>
      </c>
      <c r="H33" s="17">
        <v>17.7</v>
      </c>
      <c r="I33" s="17" t="s">
        <v>115</v>
      </c>
    </row>
    <row r="34" spans="1:9" ht="15.6" x14ac:dyDescent="0.3">
      <c r="A34" s="17" t="s">
        <v>58</v>
      </c>
      <c r="B34" s="17" t="s">
        <v>61</v>
      </c>
      <c r="C34" s="17" t="s">
        <v>113</v>
      </c>
      <c r="D34" s="17" t="s">
        <v>114</v>
      </c>
      <c r="E34" s="17" t="s">
        <v>93</v>
      </c>
      <c r="F34" s="17" t="s">
        <v>134</v>
      </c>
      <c r="G34" s="17">
        <v>3.1552409460000002</v>
      </c>
      <c r="H34" s="17">
        <v>3.027336</v>
      </c>
      <c r="I34" s="17" t="s">
        <v>115</v>
      </c>
    </row>
    <row r="35" spans="1:9" ht="15.6" x14ac:dyDescent="0.3">
      <c r="A35" s="17" t="s">
        <v>58</v>
      </c>
      <c r="B35" s="17" t="s">
        <v>61</v>
      </c>
      <c r="C35" s="17" t="s">
        <v>113</v>
      </c>
      <c r="D35" s="17" t="s">
        <v>114</v>
      </c>
      <c r="E35" s="17" t="s">
        <v>93</v>
      </c>
      <c r="F35" s="17" t="s">
        <v>135</v>
      </c>
      <c r="G35" s="17">
        <v>16.613465000000001</v>
      </c>
      <c r="H35" s="17">
        <v>15.94</v>
      </c>
      <c r="I35" s="17" t="s">
        <v>115</v>
      </c>
    </row>
    <row r="36" spans="1:9" ht="15.6" x14ac:dyDescent="0.3">
      <c r="A36" s="17" t="s">
        <v>58</v>
      </c>
      <c r="B36" s="17" t="s">
        <v>61</v>
      </c>
      <c r="C36" s="17" t="s">
        <v>113</v>
      </c>
      <c r="D36" s="17" t="s">
        <v>114</v>
      </c>
      <c r="E36" s="17" t="s">
        <v>93</v>
      </c>
      <c r="F36" s="17" t="s">
        <v>136</v>
      </c>
      <c r="G36" s="17">
        <v>204.40555387841701</v>
      </c>
      <c r="H36" s="17">
        <v>196.11950480059201</v>
      </c>
      <c r="I36" s="17" t="s">
        <v>115</v>
      </c>
    </row>
    <row r="37" spans="1:9" ht="15.6" x14ac:dyDescent="0.3">
      <c r="A37" s="17" t="s">
        <v>58</v>
      </c>
      <c r="B37" s="17" t="s">
        <v>61</v>
      </c>
      <c r="C37" s="17" t="s">
        <v>113</v>
      </c>
      <c r="D37" s="17" t="s">
        <v>114</v>
      </c>
      <c r="E37" s="17" t="s">
        <v>93</v>
      </c>
      <c r="F37" s="17" t="s">
        <v>137</v>
      </c>
      <c r="G37" s="17">
        <v>112.9111427675</v>
      </c>
      <c r="H37" s="17">
        <v>108.33403</v>
      </c>
      <c r="I37" s="17" t="s">
        <v>115</v>
      </c>
    </row>
    <row r="38" spans="1:9" ht="15.6" x14ac:dyDescent="0.3">
      <c r="A38" s="17" t="s">
        <v>58</v>
      </c>
      <c r="B38" s="17" t="s">
        <v>61</v>
      </c>
      <c r="C38" s="17" t="s">
        <v>113</v>
      </c>
      <c r="D38" s="17" t="s">
        <v>114</v>
      </c>
      <c r="E38" s="17" t="s">
        <v>94</v>
      </c>
      <c r="F38" s="17" t="s">
        <v>94</v>
      </c>
      <c r="G38" s="17">
        <v>31.075035513112599</v>
      </c>
      <c r="H38" s="17">
        <v>29.8153375035861</v>
      </c>
      <c r="I38" s="17" t="s">
        <v>115</v>
      </c>
    </row>
    <row r="39" spans="1:9" ht="15.6" x14ac:dyDescent="0.3">
      <c r="A39" s="17" t="s">
        <v>58</v>
      </c>
      <c r="B39" s="17" t="s">
        <v>61</v>
      </c>
      <c r="C39" s="17" t="s">
        <v>113</v>
      </c>
      <c r="D39" s="17" t="s">
        <v>114</v>
      </c>
      <c r="E39" s="17" t="s">
        <v>95</v>
      </c>
      <c r="F39" s="17" t="s">
        <v>138</v>
      </c>
      <c r="G39" s="17">
        <v>439.98125160000001</v>
      </c>
      <c r="H39" s="17">
        <v>422.1456</v>
      </c>
      <c r="I39" s="17" t="s">
        <v>115</v>
      </c>
    </row>
    <row r="40" spans="1:9" ht="15.6" x14ac:dyDescent="0.3">
      <c r="A40" s="17" t="s">
        <v>58</v>
      </c>
      <c r="B40" s="17" t="s">
        <v>61</v>
      </c>
      <c r="C40" s="17" t="s">
        <v>113</v>
      </c>
      <c r="D40" s="17" t="s">
        <v>114</v>
      </c>
      <c r="E40" s="17" t="s">
        <v>98</v>
      </c>
      <c r="F40" s="17" t="s">
        <v>139</v>
      </c>
      <c r="G40" s="17">
        <v>122.77705</v>
      </c>
      <c r="H40" s="17">
        <v>117.8</v>
      </c>
      <c r="I40" s="17" t="s">
        <v>115</v>
      </c>
    </row>
    <row r="41" spans="1:9" ht="15.6" x14ac:dyDescent="0.3">
      <c r="A41" s="17" t="s">
        <v>58</v>
      </c>
      <c r="B41" s="17" t="s">
        <v>61</v>
      </c>
      <c r="C41" s="17" t="s">
        <v>113</v>
      </c>
      <c r="D41" s="17" t="s">
        <v>114</v>
      </c>
      <c r="E41" s="17" t="s">
        <v>98</v>
      </c>
      <c r="F41" s="17" t="s">
        <v>140</v>
      </c>
      <c r="G41" s="17">
        <v>3875.87761</v>
      </c>
      <c r="H41" s="17">
        <v>3718.76</v>
      </c>
      <c r="I41" s="17" t="s">
        <v>115</v>
      </c>
    </row>
    <row r="42" spans="1:9" ht="15.6" x14ac:dyDescent="0.3">
      <c r="A42" s="17" t="s">
        <v>58</v>
      </c>
      <c r="B42" s="17" t="s">
        <v>61</v>
      </c>
      <c r="C42" s="17" t="s">
        <v>113</v>
      </c>
      <c r="D42" s="17" t="s">
        <v>114</v>
      </c>
      <c r="E42" s="17" t="s">
        <v>98</v>
      </c>
      <c r="F42" s="17" t="s">
        <v>141</v>
      </c>
      <c r="G42" s="17">
        <v>61.492750000000001</v>
      </c>
      <c r="H42" s="17">
        <v>59</v>
      </c>
      <c r="I42" s="17" t="s">
        <v>115</v>
      </c>
    </row>
    <row r="43" spans="1:9" ht="15.6" x14ac:dyDescent="0.3">
      <c r="A43" s="17" t="s">
        <v>58</v>
      </c>
      <c r="B43" s="17" t="s">
        <v>61</v>
      </c>
      <c r="C43" s="17" t="s">
        <v>113</v>
      </c>
      <c r="D43" s="17" t="s">
        <v>114</v>
      </c>
      <c r="E43" s="17" t="s">
        <v>96</v>
      </c>
      <c r="F43" s="17" t="s">
        <v>96</v>
      </c>
      <c r="G43" s="17">
        <v>25.794823610242499</v>
      </c>
      <c r="H43" s="17">
        <v>24.749171130000001</v>
      </c>
      <c r="I43" s="17" t="s">
        <v>115</v>
      </c>
    </row>
    <row r="44" spans="1:9" ht="15.6" x14ac:dyDescent="0.3">
      <c r="A44" s="17" t="s">
        <v>58</v>
      </c>
      <c r="B44" s="17" t="s">
        <v>61</v>
      </c>
      <c r="C44" s="17" t="s">
        <v>113</v>
      </c>
      <c r="D44" s="17" t="s">
        <v>114</v>
      </c>
      <c r="E44" s="17" t="s">
        <v>97</v>
      </c>
      <c r="F44" s="17" t="s">
        <v>97</v>
      </c>
      <c r="G44" s="17">
        <v>122.77705</v>
      </c>
      <c r="H44" s="17">
        <v>117.8</v>
      </c>
      <c r="I44" s="17" t="s">
        <v>115</v>
      </c>
    </row>
    <row r="45" spans="1:9" ht="15.6" x14ac:dyDescent="0.3">
      <c r="A45" s="17" t="s">
        <v>58</v>
      </c>
      <c r="B45" s="17" t="s">
        <v>61</v>
      </c>
      <c r="C45" s="17" t="s">
        <v>113</v>
      </c>
      <c r="D45" s="17" t="s">
        <v>114</v>
      </c>
      <c r="E45" s="17" t="s">
        <v>99</v>
      </c>
      <c r="F45" s="17" t="s">
        <v>142</v>
      </c>
      <c r="G45" s="17">
        <v>38.744966630712902</v>
      </c>
      <c r="H45" s="17">
        <v>37.174350329299997</v>
      </c>
      <c r="I45" s="17" t="s">
        <v>115</v>
      </c>
    </row>
    <row r="46" spans="1:9" ht="15.6" x14ac:dyDescent="0.3">
      <c r="A46" s="17" t="s">
        <v>58</v>
      </c>
      <c r="B46" s="17" t="s">
        <v>61</v>
      </c>
      <c r="C46" s="17" t="s">
        <v>113</v>
      </c>
      <c r="D46" s="17" t="s">
        <v>114</v>
      </c>
      <c r="E46" s="17" t="s">
        <v>99</v>
      </c>
      <c r="F46" s="17" t="s">
        <v>143</v>
      </c>
      <c r="G46" s="17">
        <v>5.1293050638943303</v>
      </c>
      <c r="H46" s="17">
        <v>4.9213768902800004</v>
      </c>
      <c r="I46" s="17" t="s">
        <v>115</v>
      </c>
    </row>
    <row r="47" spans="1:9" ht="15.6" x14ac:dyDescent="0.3">
      <c r="A47" s="17" t="s">
        <v>58</v>
      </c>
      <c r="B47" s="17" t="s">
        <v>61</v>
      </c>
      <c r="C47" s="17" t="s">
        <v>113</v>
      </c>
      <c r="D47" s="17" t="s">
        <v>114</v>
      </c>
      <c r="E47" s="17" t="s">
        <v>99</v>
      </c>
      <c r="F47" s="17" t="s">
        <v>144</v>
      </c>
      <c r="G47" s="17">
        <v>20.418979637851599</v>
      </c>
      <c r="H47" s="17">
        <v>19.5912493527</v>
      </c>
      <c r="I47" s="17" t="s">
        <v>115</v>
      </c>
    </row>
    <row r="48" spans="1:9" ht="15.6" x14ac:dyDescent="0.3">
      <c r="A48" s="17" t="s">
        <v>58</v>
      </c>
      <c r="B48" s="17" t="s">
        <v>61</v>
      </c>
      <c r="C48" s="17" t="s">
        <v>113</v>
      </c>
      <c r="D48" s="17" t="s">
        <v>114</v>
      </c>
      <c r="E48" s="17" t="s">
        <v>99</v>
      </c>
      <c r="F48" s="17" t="s">
        <v>145</v>
      </c>
      <c r="G48" s="17">
        <v>7.6733571750000004E-5</v>
      </c>
      <c r="H48" s="17">
        <v>7.3622999999999996E-5</v>
      </c>
      <c r="I48" s="17" t="s">
        <v>115</v>
      </c>
    </row>
    <row r="49" spans="1:9" ht="15.6" x14ac:dyDescent="0.3">
      <c r="A49" s="17" t="s">
        <v>58</v>
      </c>
      <c r="B49" s="17" t="s">
        <v>61</v>
      </c>
      <c r="C49" s="17" t="s">
        <v>113</v>
      </c>
      <c r="D49" s="17" t="s">
        <v>114</v>
      </c>
      <c r="E49" s="17" t="s">
        <v>99</v>
      </c>
      <c r="F49" s="17" t="s">
        <v>146</v>
      </c>
      <c r="G49" s="17">
        <v>4.4874753296999997E-2</v>
      </c>
      <c r="H49" s="17">
        <v>4.3055652E-2</v>
      </c>
      <c r="I49" s="17" t="s">
        <v>115</v>
      </c>
    </row>
    <row r="50" spans="1:9" ht="15.6" x14ac:dyDescent="0.3">
      <c r="A50" s="17" t="s">
        <v>58</v>
      </c>
      <c r="B50" s="17" t="s">
        <v>61</v>
      </c>
      <c r="C50" s="17" t="s">
        <v>113</v>
      </c>
      <c r="D50" s="17" t="s">
        <v>114</v>
      </c>
      <c r="E50" s="17" t="s">
        <v>99</v>
      </c>
      <c r="F50" s="17" t="s">
        <v>147</v>
      </c>
      <c r="G50" s="17">
        <v>11.809681521031401</v>
      </c>
      <c r="H50" s="17">
        <v>11.330948928790001</v>
      </c>
      <c r="I50" s="17" t="s">
        <v>115</v>
      </c>
    </row>
    <row r="51" spans="1:9" ht="15.6" x14ac:dyDescent="0.3">
      <c r="A51" s="17" t="s">
        <v>58</v>
      </c>
      <c r="B51" s="17" t="s">
        <v>61</v>
      </c>
      <c r="C51" s="17" t="s">
        <v>113</v>
      </c>
      <c r="D51" s="17" t="s">
        <v>114</v>
      </c>
      <c r="E51" s="17" t="s">
        <v>99</v>
      </c>
      <c r="F51" s="17" t="s">
        <v>148</v>
      </c>
      <c r="G51" s="17">
        <v>578.076120274353</v>
      </c>
      <c r="H51" s="17">
        <v>554.64247567699999</v>
      </c>
      <c r="I51" s="17" t="s">
        <v>115</v>
      </c>
    </row>
    <row r="52" spans="1:9" ht="15.6" x14ac:dyDescent="0.3">
      <c r="A52" s="17" t="s">
        <v>58</v>
      </c>
      <c r="B52" s="17" t="s">
        <v>61</v>
      </c>
      <c r="C52" s="17" t="s">
        <v>113</v>
      </c>
      <c r="D52" s="17" t="s">
        <v>114</v>
      </c>
      <c r="E52" s="17" t="s">
        <v>99</v>
      </c>
      <c r="F52" s="17" t="s">
        <v>149</v>
      </c>
      <c r="G52" s="17">
        <v>2.1063830809999999E-4</v>
      </c>
      <c r="H52" s="17">
        <v>2.0209960000000001E-4</v>
      </c>
      <c r="I52" s="17" t="s">
        <v>115</v>
      </c>
    </row>
    <row r="53" spans="1:9" ht="15.6" x14ac:dyDescent="0.3">
      <c r="A53" s="17" t="s">
        <v>58</v>
      </c>
      <c r="B53" s="17" t="s">
        <v>61</v>
      </c>
      <c r="C53" s="17" t="s">
        <v>113</v>
      </c>
      <c r="D53" s="17" t="s">
        <v>114</v>
      </c>
      <c r="E53" s="17" t="s">
        <v>99</v>
      </c>
      <c r="F53" s="17" t="s">
        <v>150</v>
      </c>
      <c r="G53" s="17">
        <v>2.2073613888700001E-2</v>
      </c>
      <c r="H53" s="17">
        <v>2.1178809199999999E-2</v>
      </c>
      <c r="I53" s="17" t="s">
        <v>115</v>
      </c>
    </row>
    <row r="54" spans="1:9" ht="15.6" x14ac:dyDescent="0.3">
      <c r="A54" s="17" t="s">
        <v>58</v>
      </c>
      <c r="B54" s="17" t="s">
        <v>61</v>
      </c>
      <c r="C54" s="17" t="s">
        <v>113</v>
      </c>
      <c r="D54" s="17" t="s">
        <v>114</v>
      </c>
      <c r="E54" s="17" t="s">
        <v>99</v>
      </c>
      <c r="F54" s="17" t="s">
        <v>151</v>
      </c>
      <c r="G54" s="17">
        <v>3.084645121965</v>
      </c>
      <c r="H54" s="17">
        <v>2.9596019400000002</v>
      </c>
      <c r="I54" s="17" t="s">
        <v>115</v>
      </c>
    </row>
    <row r="55" spans="1:9" ht="15.6" x14ac:dyDescent="0.3">
      <c r="A55" s="17" t="s">
        <v>58</v>
      </c>
      <c r="B55" s="17" t="s">
        <v>61</v>
      </c>
      <c r="C55" s="17" t="s">
        <v>113</v>
      </c>
      <c r="D55" s="17" t="s">
        <v>114</v>
      </c>
      <c r="E55" s="17" t="s">
        <v>99</v>
      </c>
      <c r="F55" s="17" t="s">
        <v>152</v>
      </c>
      <c r="G55" s="17">
        <v>20.199115471683498</v>
      </c>
      <c r="H55" s="17">
        <v>19.380297886000001</v>
      </c>
      <c r="I55" s="17" t="s">
        <v>115</v>
      </c>
    </row>
    <row r="56" spans="1:9" ht="15.6" x14ac:dyDescent="0.3">
      <c r="A56" s="17" t="s">
        <v>58</v>
      </c>
      <c r="B56" s="17" t="s">
        <v>61</v>
      </c>
      <c r="C56" s="17" t="s">
        <v>113</v>
      </c>
      <c r="D56" s="17" t="s">
        <v>114</v>
      </c>
      <c r="E56" s="17" t="s">
        <v>99</v>
      </c>
      <c r="F56" s="17" t="s">
        <v>153</v>
      </c>
      <c r="G56" s="17">
        <v>0.79077020284184996</v>
      </c>
      <c r="H56" s="17">
        <v>0.75871451459999995</v>
      </c>
      <c r="I56" s="17" t="s">
        <v>115</v>
      </c>
    </row>
    <row r="57" spans="1:9" ht="15.6" x14ac:dyDescent="0.3">
      <c r="A57" s="17" t="s">
        <v>58</v>
      </c>
      <c r="B57" s="17" t="s">
        <v>61</v>
      </c>
      <c r="C57" s="17" t="s">
        <v>113</v>
      </c>
      <c r="D57" s="17" t="s">
        <v>114</v>
      </c>
      <c r="E57" s="17" t="s">
        <v>99</v>
      </c>
      <c r="F57" s="17" t="s">
        <v>154</v>
      </c>
      <c r="G57" s="17">
        <v>1.683413375534E-2</v>
      </c>
      <c r="H57" s="17">
        <v>1.6151723440000001E-2</v>
      </c>
      <c r="I57" s="17" t="s">
        <v>115</v>
      </c>
    </row>
    <row r="58" spans="1:9" ht="15.6" x14ac:dyDescent="0.3">
      <c r="A58" s="17" t="s">
        <v>58</v>
      </c>
      <c r="B58" s="17" t="s">
        <v>61</v>
      </c>
      <c r="C58" s="17" t="s">
        <v>113</v>
      </c>
      <c r="D58" s="17" t="s">
        <v>114</v>
      </c>
      <c r="E58" s="17" t="s">
        <v>101</v>
      </c>
      <c r="F58" s="17" t="s">
        <v>155</v>
      </c>
      <c r="G58" s="17">
        <v>24.5511549676629</v>
      </c>
      <c r="H58" s="17">
        <v>23.5559174551815</v>
      </c>
      <c r="I58" s="17" t="s">
        <v>115</v>
      </c>
    </row>
    <row r="59" spans="1:9" ht="15.6" x14ac:dyDescent="0.3">
      <c r="A59" s="17" t="s">
        <v>58</v>
      </c>
      <c r="B59" s="17" t="s">
        <v>61</v>
      </c>
      <c r="C59" s="17" t="s">
        <v>113</v>
      </c>
      <c r="D59" s="17" t="s">
        <v>114</v>
      </c>
      <c r="E59" s="17" t="s">
        <v>101</v>
      </c>
      <c r="F59" s="17" t="s">
        <v>156</v>
      </c>
      <c r="G59" s="17">
        <v>1.1423916437670001</v>
      </c>
      <c r="H59" s="17">
        <v>1.096082172</v>
      </c>
      <c r="I59" s="17" t="s">
        <v>115</v>
      </c>
    </row>
    <row r="60" spans="1:9" ht="15.6" x14ac:dyDescent="0.3">
      <c r="A60" s="17" t="s">
        <v>58</v>
      </c>
      <c r="B60" s="17" t="s">
        <v>61</v>
      </c>
      <c r="C60" s="17" t="s">
        <v>113</v>
      </c>
      <c r="D60" s="17" t="s">
        <v>114</v>
      </c>
      <c r="E60" s="17" t="s">
        <v>101</v>
      </c>
      <c r="F60" s="17" t="s">
        <v>157</v>
      </c>
      <c r="G60" s="17">
        <v>1051.8745272615199</v>
      </c>
      <c r="H60" s="17">
        <v>1009.2343749211</v>
      </c>
      <c r="I60" s="17" t="s">
        <v>115</v>
      </c>
    </row>
    <row r="61" spans="1:9" ht="15.6" x14ac:dyDescent="0.3">
      <c r="A61" s="17" t="s">
        <v>58</v>
      </c>
      <c r="B61" s="17" t="s">
        <v>61</v>
      </c>
      <c r="C61" s="17" t="s">
        <v>113</v>
      </c>
      <c r="D61" s="17" t="s">
        <v>114</v>
      </c>
      <c r="E61" s="17" t="s">
        <v>101</v>
      </c>
      <c r="F61" s="17" t="s">
        <v>158</v>
      </c>
      <c r="G61" s="17">
        <v>420.66823958894503</v>
      </c>
      <c r="H61" s="17">
        <v>403.61548533360002</v>
      </c>
      <c r="I61" s="17" t="s">
        <v>115</v>
      </c>
    </row>
    <row r="62" spans="1:9" ht="15.6" x14ac:dyDescent="0.3">
      <c r="A62" s="17" t="s">
        <v>58</v>
      </c>
      <c r="B62" s="17" t="s">
        <v>61</v>
      </c>
      <c r="C62" s="17" t="s">
        <v>113</v>
      </c>
      <c r="D62" s="17" t="s">
        <v>114</v>
      </c>
      <c r="E62" s="17" t="s">
        <v>101</v>
      </c>
      <c r="F62" s="17" t="s">
        <v>159</v>
      </c>
      <c r="G62" s="17">
        <v>8.5049300952000001E-2</v>
      </c>
      <c r="H62" s="17">
        <v>8.1601631999999993E-2</v>
      </c>
      <c r="I62" s="17" t="s">
        <v>115</v>
      </c>
    </row>
    <row r="63" spans="1:9" ht="15.6" x14ac:dyDescent="0.3">
      <c r="A63" s="17" t="s">
        <v>58</v>
      </c>
      <c r="B63" s="17" t="s">
        <v>61</v>
      </c>
      <c r="C63" s="17" t="s">
        <v>113</v>
      </c>
      <c r="D63" s="17" t="s">
        <v>114</v>
      </c>
      <c r="E63" s="17" t="s">
        <v>101</v>
      </c>
      <c r="F63" s="17" t="s">
        <v>160</v>
      </c>
      <c r="G63" s="17">
        <v>473.50818456596602</v>
      </c>
      <c r="H63" s="17">
        <v>454.31344165600001</v>
      </c>
      <c r="I63" s="17" t="s">
        <v>115</v>
      </c>
    </row>
    <row r="64" spans="1:9" ht="15.6" x14ac:dyDescent="0.3">
      <c r="A64" s="17" t="s">
        <v>58</v>
      </c>
      <c r="B64" s="17" t="s">
        <v>61</v>
      </c>
      <c r="C64" s="17" t="s">
        <v>113</v>
      </c>
      <c r="D64" s="17" t="s">
        <v>114</v>
      </c>
      <c r="E64" s="17" t="s">
        <v>101</v>
      </c>
      <c r="F64" s="17" t="s">
        <v>161</v>
      </c>
      <c r="G64" s="17">
        <v>57.509670418933403</v>
      </c>
      <c r="H64" s="17">
        <v>55.1783837073</v>
      </c>
      <c r="I64" s="17" t="s">
        <v>115</v>
      </c>
    </row>
    <row r="65" spans="1:9" ht="15.6" x14ac:dyDescent="0.3">
      <c r="A65" s="17" t="s">
        <v>58</v>
      </c>
      <c r="B65" s="17" t="s">
        <v>61</v>
      </c>
      <c r="C65" s="17" t="s">
        <v>113</v>
      </c>
      <c r="D65" s="17" t="s">
        <v>114</v>
      </c>
      <c r="E65" s="17" t="s">
        <v>101</v>
      </c>
      <c r="F65" s="17" t="s">
        <v>162</v>
      </c>
      <c r="G65" s="17">
        <v>131.513233246292</v>
      </c>
      <c r="H65" s="17">
        <v>126.18204197293601</v>
      </c>
      <c r="I65" s="17" t="s">
        <v>115</v>
      </c>
    </row>
    <row r="66" spans="1:9" ht="15.6" x14ac:dyDescent="0.3">
      <c r="A66" s="17" t="s">
        <v>58</v>
      </c>
      <c r="B66" s="17" t="s">
        <v>61</v>
      </c>
      <c r="C66" s="17" t="s">
        <v>113</v>
      </c>
      <c r="D66" s="17" t="s">
        <v>114</v>
      </c>
      <c r="E66" s="17" t="s">
        <v>101</v>
      </c>
      <c r="F66" s="17" t="s">
        <v>163</v>
      </c>
      <c r="G66" s="17">
        <v>222.966607896395</v>
      </c>
      <c r="H66" s="17">
        <v>213.92814382</v>
      </c>
      <c r="I66" s="17" t="s">
        <v>115</v>
      </c>
    </row>
    <row r="67" spans="1:9" ht="15.6" x14ac:dyDescent="0.3">
      <c r="A67" s="17" t="s">
        <v>58</v>
      </c>
      <c r="B67" s="17" t="s">
        <v>61</v>
      </c>
      <c r="C67" s="17" t="s">
        <v>113</v>
      </c>
      <c r="D67" s="17" t="s">
        <v>114</v>
      </c>
      <c r="E67" s="17" t="s">
        <v>101</v>
      </c>
      <c r="F67" s="17" t="s">
        <v>164</v>
      </c>
      <c r="G67" s="17">
        <v>188.60555828404</v>
      </c>
      <c r="H67" s="17">
        <v>180.95999835360001</v>
      </c>
      <c r="I67" s="17" t="s">
        <v>115</v>
      </c>
    </row>
    <row r="68" spans="1:9" ht="15.6" x14ac:dyDescent="0.3">
      <c r="A68" s="17" t="s">
        <v>58</v>
      </c>
      <c r="B68" s="17" t="s">
        <v>61</v>
      </c>
      <c r="C68" s="17" t="s">
        <v>113</v>
      </c>
      <c r="D68" s="17" t="s">
        <v>114</v>
      </c>
      <c r="E68" s="17" t="s">
        <v>102</v>
      </c>
      <c r="F68" s="17" t="s">
        <v>165</v>
      </c>
      <c r="G68" s="17">
        <v>20.3472726294826</v>
      </c>
      <c r="H68" s="17">
        <v>19.522449152777799</v>
      </c>
      <c r="I68" s="17" t="s">
        <v>115</v>
      </c>
    </row>
    <row r="69" spans="1:9" ht="15.6" x14ac:dyDescent="0.3">
      <c r="A69" s="17" t="s">
        <v>58</v>
      </c>
      <c r="B69" s="17" t="s">
        <v>61</v>
      </c>
      <c r="C69" s="17" t="s">
        <v>113</v>
      </c>
      <c r="D69" s="17" t="s">
        <v>114</v>
      </c>
      <c r="E69" s="17" t="s">
        <v>102</v>
      </c>
      <c r="F69" s="17" t="s">
        <v>166</v>
      </c>
      <c r="G69" s="17">
        <v>416.336790871939</v>
      </c>
      <c r="H69" s="17">
        <v>399.45962184882598</v>
      </c>
      <c r="I69" s="17" t="s">
        <v>115</v>
      </c>
    </row>
    <row r="70" spans="1:9" ht="15.6" x14ac:dyDescent="0.3">
      <c r="A70" s="17" t="s">
        <v>58</v>
      </c>
      <c r="B70" s="17" t="s">
        <v>61</v>
      </c>
      <c r="C70" s="17" t="s">
        <v>167</v>
      </c>
      <c r="D70" s="17" t="s">
        <v>168</v>
      </c>
      <c r="E70" s="17" t="s">
        <v>100</v>
      </c>
      <c r="F70" s="17" t="s">
        <v>100</v>
      </c>
      <c r="G70" s="17">
        <v>0</v>
      </c>
      <c r="H70" s="17">
        <v>0</v>
      </c>
      <c r="I70" s="17" t="s">
        <v>115</v>
      </c>
    </row>
    <row r="71" spans="1:9" ht="15.6" x14ac:dyDescent="0.3">
      <c r="A71" s="17" t="s">
        <v>58</v>
      </c>
      <c r="B71" s="17" t="s">
        <v>61</v>
      </c>
      <c r="C71" s="17" t="s">
        <v>167</v>
      </c>
      <c r="D71" s="17" t="s">
        <v>114</v>
      </c>
      <c r="E71" s="17" t="s">
        <v>100</v>
      </c>
      <c r="F71" s="17" t="s">
        <v>100</v>
      </c>
      <c r="G71" s="17">
        <v>245.03714400000001</v>
      </c>
      <c r="H71" s="17">
        <v>235.10400000000001</v>
      </c>
      <c r="I71" s="17" t="s">
        <v>115</v>
      </c>
    </row>
    <row r="72" spans="1:9" ht="15.6" x14ac:dyDescent="0.3">
      <c r="A72" s="17" t="s">
        <v>58</v>
      </c>
      <c r="B72" s="17" t="s">
        <v>62</v>
      </c>
      <c r="C72" s="17" t="s">
        <v>113</v>
      </c>
      <c r="D72" s="17" t="s">
        <v>114</v>
      </c>
      <c r="E72" s="17" t="s">
        <v>71</v>
      </c>
      <c r="F72" s="17" t="s">
        <v>71</v>
      </c>
      <c r="G72" s="17">
        <v>41.313215999999997</v>
      </c>
      <c r="H72" s="17">
        <v>39.648000000000003</v>
      </c>
      <c r="I72" s="17" t="s">
        <v>115</v>
      </c>
    </row>
    <row r="73" spans="1:9" ht="15.6" x14ac:dyDescent="0.3">
      <c r="A73" s="17" t="s">
        <v>58</v>
      </c>
      <c r="B73" s="17" t="s">
        <v>62</v>
      </c>
      <c r="C73" s="17" t="s">
        <v>113</v>
      </c>
      <c r="D73" s="17" t="s">
        <v>114</v>
      </c>
      <c r="E73" s="17" t="s">
        <v>72</v>
      </c>
      <c r="F73" s="17" t="s">
        <v>116</v>
      </c>
      <c r="G73" s="17">
        <v>156.24098111999999</v>
      </c>
      <c r="H73" s="17">
        <v>149.94336000000001</v>
      </c>
      <c r="I73" s="17" t="s">
        <v>115</v>
      </c>
    </row>
    <row r="74" spans="1:9" ht="15.6" x14ac:dyDescent="0.3">
      <c r="A74" s="17" t="s">
        <v>58</v>
      </c>
      <c r="B74" s="17" t="s">
        <v>62</v>
      </c>
      <c r="C74" s="17" t="s">
        <v>113</v>
      </c>
      <c r="D74" s="17" t="s">
        <v>114</v>
      </c>
      <c r="E74" s="17" t="s">
        <v>73</v>
      </c>
      <c r="F74" s="17" t="s">
        <v>169</v>
      </c>
      <c r="G74" s="17">
        <v>0</v>
      </c>
      <c r="H74" s="17">
        <v>0</v>
      </c>
      <c r="I74" s="17" t="s">
        <v>115</v>
      </c>
    </row>
    <row r="75" spans="1:9" ht="15.6" x14ac:dyDescent="0.3">
      <c r="A75" s="17" t="s">
        <v>58</v>
      </c>
      <c r="B75" s="17" t="s">
        <v>62</v>
      </c>
      <c r="C75" s="17" t="s">
        <v>113</v>
      </c>
      <c r="D75" s="17" t="s">
        <v>114</v>
      </c>
      <c r="E75" s="17" t="s">
        <v>73</v>
      </c>
      <c r="F75" s="17" t="s">
        <v>117</v>
      </c>
      <c r="G75" s="17">
        <v>0</v>
      </c>
      <c r="H75" s="17">
        <v>0</v>
      </c>
      <c r="I75" s="17" t="s">
        <v>115</v>
      </c>
    </row>
    <row r="76" spans="1:9" ht="15.6" x14ac:dyDescent="0.3">
      <c r="A76" s="17" t="s">
        <v>58</v>
      </c>
      <c r="B76" s="17" t="s">
        <v>62</v>
      </c>
      <c r="C76" s="17" t="s">
        <v>113</v>
      </c>
      <c r="D76" s="17" t="s">
        <v>114</v>
      </c>
      <c r="E76" s="17" t="s">
        <v>73</v>
      </c>
      <c r="F76" s="17" t="s">
        <v>118</v>
      </c>
      <c r="G76" s="17">
        <v>245.881048198592</v>
      </c>
      <c r="H76" s="17">
        <v>235.970295776</v>
      </c>
      <c r="I76" s="17" t="s">
        <v>115</v>
      </c>
    </row>
    <row r="77" spans="1:9" ht="15.6" x14ac:dyDescent="0.3">
      <c r="A77" s="17" t="s">
        <v>58</v>
      </c>
      <c r="B77" s="17" t="s">
        <v>62</v>
      </c>
      <c r="C77" s="17" t="s">
        <v>113</v>
      </c>
      <c r="D77" s="17" t="s">
        <v>114</v>
      </c>
      <c r="E77" s="17" t="s">
        <v>73</v>
      </c>
      <c r="F77" s="17" t="s">
        <v>119</v>
      </c>
      <c r="G77" s="17">
        <v>1568.5017600000001</v>
      </c>
      <c r="H77" s="17">
        <v>1505.28</v>
      </c>
      <c r="I77" s="17" t="s">
        <v>115</v>
      </c>
    </row>
    <row r="78" spans="1:9" ht="15.6" x14ac:dyDescent="0.3">
      <c r="A78" s="17" t="s">
        <v>58</v>
      </c>
      <c r="B78" s="17" t="s">
        <v>62</v>
      </c>
      <c r="C78" s="17" t="s">
        <v>113</v>
      </c>
      <c r="D78" s="17" t="s">
        <v>114</v>
      </c>
      <c r="E78" s="17" t="s">
        <v>73</v>
      </c>
      <c r="F78" s="17" t="s">
        <v>120</v>
      </c>
      <c r="G78" s="17">
        <v>15.2715976767123</v>
      </c>
      <c r="H78" s="17">
        <v>14.6560438356164</v>
      </c>
      <c r="I78" s="17" t="s">
        <v>115</v>
      </c>
    </row>
    <row r="79" spans="1:9" ht="15.6" x14ac:dyDescent="0.3">
      <c r="A79" s="17" t="s">
        <v>58</v>
      </c>
      <c r="B79" s="17" t="s">
        <v>62</v>
      </c>
      <c r="C79" s="17" t="s">
        <v>113</v>
      </c>
      <c r="D79" s="17" t="s">
        <v>114</v>
      </c>
      <c r="E79" s="17" t="s">
        <v>74</v>
      </c>
      <c r="F79" s="17" t="s">
        <v>121</v>
      </c>
      <c r="G79" s="17">
        <v>3.3603864379999999</v>
      </c>
      <c r="H79" s="17">
        <v>3.224939</v>
      </c>
      <c r="I79" s="17" t="s">
        <v>115</v>
      </c>
    </row>
    <row r="80" spans="1:9" ht="15.6" x14ac:dyDescent="0.3">
      <c r="A80" s="17" t="s">
        <v>58</v>
      </c>
      <c r="B80" s="17" t="s">
        <v>62</v>
      </c>
      <c r="C80" s="17" t="s">
        <v>113</v>
      </c>
      <c r="D80" s="17" t="s">
        <v>114</v>
      </c>
      <c r="E80" s="17" t="s">
        <v>75</v>
      </c>
      <c r="F80" s="17" t="s">
        <v>75</v>
      </c>
      <c r="G80" s="17">
        <v>54.029943674363899</v>
      </c>
      <c r="H80" s="17">
        <v>51.852153238353097</v>
      </c>
      <c r="I80" s="17" t="s">
        <v>115</v>
      </c>
    </row>
    <row r="81" spans="1:9" ht="15.6" x14ac:dyDescent="0.3">
      <c r="A81" s="17" t="s">
        <v>58</v>
      </c>
      <c r="B81" s="17" t="s">
        <v>62</v>
      </c>
      <c r="C81" s="17" t="s">
        <v>113</v>
      </c>
      <c r="D81" s="17" t="s">
        <v>114</v>
      </c>
      <c r="E81" s="17" t="s">
        <v>76</v>
      </c>
      <c r="F81" s="17" t="s">
        <v>122</v>
      </c>
      <c r="G81" s="17">
        <v>125.340096</v>
      </c>
      <c r="H81" s="17">
        <v>120.288</v>
      </c>
      <c r="I81" s="17" t="s">
        <v>115</v>
      </c>
    </row>
    <row r="82" spans="1:9" ht="15.6" x14ac:dyDescent="0.3">
      <c r="A82" s="17" t="s">
        <v>58</v>
      </c>
      <c r="B82" s="17" t="s">
        <v>62</v>
      </c>
      <c r="C82" s="17" t="s">
        <v>113</v>
      </c>
      <c r="D82" s="17" t="s">
        <v>114</v>
      </c>
      <c r="E82" s="17" t="s">
        <v>80</v>
      </c>
      <c r="F82" s="17" t="s">
        <v>80</v>
      </c>
      <c r="G82" s="17">
        <v>0.57428481423432298</v>
      </c>
      <c r="H82" s="17">
        <v>0.55113705780645195</v>
      </c>
      <c r="I82" s="17" t="s">
        <v>115</v>
      </c>
    </row>
    <row r="83" spans="1:9" ht="15.6" x14ac:dyDescent="0.3">
      <c r="A83" s="17" t="s">
        <v>58</v>
      </c>
      <c r="B83" s="17" t="s">
        <v>62</v>
      </c>
      <c r="C83" s="17" t="s">
        <v>113</v>
      </c>
      <c r="D83" s="17" t="s">
        <v>114</v>
      </c>
      <c r="E83" s="17" t="s">
        <v>77</v>
      </c>
      <c r="F83" s="17" t="s">
        <v>77</v>
      </c>
      <c r="G83" s="17">
        <v>3.6422981313</v>
      </c>
      <c r="H83" s="17">
        <v>3.4954876499999998</v>
      </c>
      <c r="I83" s="17" t="s">
        <v>115</v>
      </c>
    </row>
    <row r="84" spans="1:9" ht="15.6" x14ac:dyDescent="0.3">
      <c r="A84" s="17" t="s">
        <v>58</v>
      </c>
      <c r="B84" s="17" t="s">
        <v>62</v>
      </c>
      <c r="C84" s="17" t="s">
        <v>113</v>
      </c>
      <c r="D84" s="17" t="s">
        <v>114</v>
      </c>
      <c r="E84" s="17" t="s">
        <v>78</v>
      </c>
      <c r="F84" s="17" t="s">
        <v>123</v>
      </c>
      <c r="G84" s="17">
        <v>12.1673331612903</v>
      </c>
      <c r="H84" s="17">
        <v>11.6769032258065</v>
      </c>
      <c r="I84" s="17" t="s">
        <v>115</v>
      </c>
    </row>
    <row r="85" spans="1:9" ht="15.6" x14ac:dyDescent="0.3">
      <c r="A85" s="17" t="s">
        <v>58</v>
      </c>
      <c r="B85" s="17" t="s">
        <v>62</v>
      </c>
      <c r="C85" s="17" t="s">
        <v>113</v>
      </c>
      <c r="D85" s="17" t="s">
        <v>114</v>
      </c>
      <c r="E85" s="17" t="s">
        <v>78</v>
      </c>
      <c r="F85" s="17" t="s">
        <v>124</v>
      </c>
      <c r="G85" s="17">
        <v>175.05600000000001</v>
      </c>
      <c r="H85" s="17">
        <v>168</v>
      </c>
      <c r="I85" s="17" t="s">
        <v>115</v>
      </c>
    </row>
    <row r="86" spans="1:9" ht="15.6" x14ac:dyDescent="0.3">
      <c r="A86" s="17" t="s">
        <v>58</v>
      </c>
      <c r="B86" s="17" t="s">
        <v>62</v>
      </c>
      <c r="C86" s="17" t="s">
        <v>113</v>
      </c>
      <c r="D86" s="17" t="s">
        <v>114</v>
      </c>
      <c r="E86" s="17" t="s">
        <v>78</v>
      </c>
      <c r="F86" s="17" t="s">
        <v>125</v>
      </c>
      <c r="G86" s="17">
        <v>167.77367039999999</v>
      </c>
      <c r="H86" s="17">
        <v>161.0112</v>
      </c>
      <c r="I86" s="17" t="s">
        <v>115</v>
      </c>
    </row>
    <row r="87" spans="1:9" ht="15.6" x14ac:dyDescent="0.3">
      <c r="A87" s="17" t="s">
        <v>58</v>
      </c>
      <c r="B87" s="17" t="s">
        <v>62</v>
      </c>
      <c r="C87" s="17" t="s">
        <v>113</v>
      </c>
      <c r="D87" s="17" t="s">
        <v>114</v>
      </c>
      <c r="E87" s="17" t="s">
        <v>79</v>
      </c>
      <c r="F87" s="17" t="s">
        <v>126</v>
      </c>
      <c r="G87" s="17">
        <v>8651.42955361452</v>
      </c>
      <c r="H87" s="17">
        <v>8302.7155025091397</v>
      </c>
      <c r="I87" s="17" t="s">
        <v>115</v>
      </c>
    </row>
    <row r="88" spans="1:9" ht="15.6" x14ac:dyDescent="0.3">
      <c r="A88" s="17" t="s">
        <v>58</v>
      </c>
      <c r="B88" s="17" t="s">
        <v>62</v>
      </c>
      <c r="C88" s="17" t="s">
        <v>113</v>
      </c>
      <c r="D88" s="17" t="s">
        <v>114</v>
      </c>
      <c r="E88" s="17" t="s">
        <v>79</v>
      </c>
      <c r="F88" s="17" t="s">
        <v>79</v>
      </c>
      <c r="G88" s="17">
        <v>1365.0187777705901</v>
      </c>
      <c r="H88" s="17">
        <v>1309.99882703511</v>
      </c>
      <c r="I88" s="17" t="s">
        <v>115</v>
      </c>
    </row>
    <row r="89" spans="1:9" ht="15.6" x14ac:dyDescent="0.3">
      <c r="A89" s="17" t="s">
        <v>58</v>
      </c>
      <c r="B89" s="17" t="s">
        <v>62</v>
      </c>
      <c r="C89" s="17" t="s">
        <v>113</v>
      </c>
      <c r="D89" s="17" t="s">
        <v>114</v>
      </c>
      <c r="E89" s="17" t="s">
        <v>81</v>
      </c>
      <c r="F89" s="17" t="s">
        <v>81</v>
      </c>
      <c r="G89" s="17">
        <v>182.40064250737001</v>
      </c>
      <c r="H89" s="17">
        <v>175.048601254674</v>
      </c>
      <c r="I89" s="17" t="s">
        <v>115</v>
      </c>
    </row>
    <row r="90" spans="1:9" ht="15.6" x14ac:dyDescent="0.3">
      <c r="A90" s="17" t="s">
        <v>58</v>
      </c>
      <c r="B90" s="17" t="s">
        <v>62</v>
      </c>
      <c r="C90" s="17" t="s">
        <v>113</v>
      </c>
      <c r="D90" s="17" t="s">
        <v>114</v>
      </c>
      <c r="E90" s="17" t="s">
        <v>82</v>
      </c>
      <c r="F90" s="17" t="s">
        <v>82</v>
      </c>
      <c r="G90" s="17">
        <v>55.601360879070498</v>
      </c>
      <c r="H90" s="17">
        <v>53.3602311699333</v>
      </c>
      <c r="I90" s="17" t="s">
        <v>115</v>
      </c>
    </row>
    <row r="91" spans="1:9" ht="15.6" x14ac:dyDescent="0.3">
      <c r="A91" s="17" t="s">
        <v>58</v>
      </c>
      <c r="B91" s="17" t="s">
        <v>62</v>
      </c>
      <c r="C91" s="17" t="s">
        <v>113</v>
      </c>
      <c r="D91" s="17" t="s">
        <v>114</v>
      </c>
      <c r="E91" s="17" t="s">
        <v>83</v>
      </c>
      <c r="F91" s="17" t="s">
        <v>127</v>
      </c>
      <c r="G91" s="17">
        <v>1.1650881561214199</v>
      </c>
      <c r="H91" s="17">
        <v>1.1181268292911899</v>
      </c>
      <c r="I91" s="17" t="s">
        <v>115</v>
      </c>
    </row>
    <row r="92" spans="1:9" ht="15.6" x14ac:dyDescent="0.3">
      <c r="A92" s="17" t="s">
        <v>58</v>
      </c>
      <c r="B92" s="17" t="s">
        <v>62</v>
      </c>
      <c r="C92" s="17" t="s">
        <v>113</v>
      </c>
      <c r="D92" s="17" t="s">
        <v>114</v>
      </c>
      <c r="E92" s="17" t="s">
        <v>83</v>
      </c>
      <c r="F92" s="17" t="s">
        <v>128</v>
      </c>
      <c r="G92" s="17">
        <v>30.820413983947201</v>
      </c>
      <c r="H92" s="17">
        <v>29.5781324222142</v>
      </c>
      <c r="I92" s="17" t="s">
        <v>115</v>
      </c>
    </row>
    <row r="93" spans="1:9" ht="15.6" x14ac:dyDescent="0.3">
      <c r="A93" s="17" t="s">
        <v>58</v>
      </c>
      <c r="B93" s="17" t="s">
        <v>62</v>
      </c>
      <c r="C93" s="17" t="s">
        <v>113</v>
      </c>
      <c r="D93" s="17" t="s">
        <v>114</v>
      </c>
      <c r="E93" s="17" t="s">
        <v>84</v>
      </c>
      <c r="F93" s="17" t="s">
        <v>129</v>
      </c>
      <c r="G93" s="17">
        <v>2361.9133515209301</v>
      </c>
      <c r="H93" s="17">
        <v>2266.71146978976</v>
      </c>
      <c r="I93" s="17" t="s">
        <v>115</v>
      </c>
    </row>
    <row r="94" spans="1:9" ht="15.6" x14ac:dyDescent="0.3">
      <c r="A94" s="17" t="s">
        <v>58</v>
      </c>
      <c r="B94" s="17" t="s">
        <v>62</v>
      </c>
      <c r="C94" s="17" t="s">
        <v>113</v>
      </c>
      <c r="D94" s="17" t="s">
        <v>114</v>
      </c>
      <c r="E94" s="17" t="s">
        <v>85</v>
      </c>
      <c r="F94" s="17" t="s">
        <v>85</v>
      </c>
      <c r="G94" s="17">
        <v>78.1244192776185</v>
      </c>
      <c r="H94" s="17">
        <v>74.975450362397794</v>
      </c>
      <c r="I94" s="17" t="s">
        <v>115</v>
      </c>
    </row>
    <row r="95" spans="1:9" ht="15.6" x14ac:dyDescent="0.3">
      <c r="A95" s="17" t="s">
        <v>58</v>
      </c>
      <c r="B95" s="17" t="s">
        <v>62</v>
      </c>
      <c r="C95" s="17" t="s">
        <v>113</v>
      </c>
      <c r="D95" s="17" t="s">
        <v>114</v>
      </c>
      <c r="E95" s="17" t="s">
        <v>87</v>
      </c>
      <c r="F95" s="17" t="s">
        <v>87</v>
      </c>
      <c r="G95" s="17">
        <v>1.3822529575739999</v>
      </c>
      <c r="H95" s="17">
        <v>1.3265383470000001</v>
      </c>
      <c r="I95" s="17" t="s">
        <v>115</v>
      </c>
    </row>
    <row r="96" spans="1:9" ht="15.6" x14ac:dyDescent="0.3">
      <c r="A96" s="17" t="s">
        <v>58</v>
      </c>
      <c r="B96" s="17" t="s">
        <v>62</v>
      </c>
      <c r="C96" s="17" t="s">
        <v>113</v>
      </c>
      <c r="D96" s="17" t="s">
        <v>114</v>
      </c>
      <c r="E96" s="17" t="s">
        <v>88</v>
      </c>
      <c r="F96" s="17" t="s">
        <v>88</v>
      </c>
      <c r="G96" s="17">
        <v>11.14815020436</v>
      </c>
      <c r="H96" s="17">
        <v>10.69880058</v>
      </c>
      <c r="I96" s="17" t="s">
        <v>115</v>
      </c>
    </row>
    <row r="97" spans="1:9" ht="15.6" x14ac:dyDescent="0.3">
      <c r="A97" s="17" t="s">
        <v>58</v>
      </c>
      <c r="B97" s="17" t="s">
        <v>62</v>
      </c>
      <c r="C97" s="17" t="s">
        <v>113</v>
      </c>
      <c r="D97" s="17" t="s">
        <v>114</v>
      </c>
      <c r="E97" s="17" t="s">
        <v>89</v>
      </c>
      <c r="F97" s="17" t="s">
        <v>89</v>
      </c>
      <c r="G97" s="17">
        <v>0.44393632667999999</v>
      </c>
      <c r="H97" s="17">
        <v>0.42604254000000003</v>
      </c>
      <c r="I97" s="17" t="s">
        <v>115</v>
      </c>
    </row>
    <row r="98" spans="1:9" ht="15.6" x14ac:dyDescent="0.3">
      <c r="A98" s="17" t="s">
        <v>58</v>
      </c>
      <c r="B98" s="17" t="s">
        <v>62</v>
      </c>
      <c r="C98" s="17" t="s">
        <v>113</v>
      </c>
      <c r="D98" s="17" t="s">
        <v>114</v>
      </c>
      <c r="E98" s="17" t="s">
        <v>90</v>
      </c>
      <c r="F98" s="17" t="s">
        <v>90</v>
      </c>
      <c r="G98" s="17">
        <v>136.07677119297699</v>
      </c>
      <c r="H98" s="17">
        <v>130.59191093375901</v>
      </c>
      <c r="I98" s="17" t="s">
        <v>115</v>
      </c>
    </row>
    <row r="99" spans="1:9" ht="15.6" x14ac:dyDescent="0.3">
      <c r="A99" s="17" t="s">
        <v>58</v>
      </c>
      <c r="B99" s="17" t="s">
        <v>62</v>
      </c>
      <c r="C99" s="17" t="s">
        <v>113</v>
      </c>
      <c r="D99" s="17" t="s">
        <v>114</v>
      </c>
      <c r="E99" s="17" t="s">
        <v>91</v>
      </c>
      <c r="F99" s="17" t="s">
        <v>91</v>
      </c>
      <c r="G99" s="17">
        <v>18.516344750822501</v>
      </c>
      <c r="H99" s="17">
        <v>17.770004559330602</v>
      </c>
      <c r="I99" s="17" t="s">
        <v>115</v>
      </c>
    </row>
    <row r="100" spans="1:9" ht="15.6" x14ac:dyDescent="0.3">
      <c r="A100" s="17" t="s">
        <v>58</v>
      </c>
      <c r="B100" s="17" t="s">
        <v>62</v>
      </c>
      <c r="C100" s="17" t="s">
        <v>113</v>
      </c>
      <c r="D100" s="17" t="s">
        <v>114</v>
      </c>
      <c r="E100" s="17" t="s">
        <v>93</v>
      </c>
      <c r="F100" s="17" t="s">
        <v>130</v>
      </c>
      <c r="G100" s="17">
        <v>189.23569230000001</v>
      </c>
      <c r="H100" s="17">
        <v>181.60814999999999</v>
      </c>
      <c r="I100" s="17" t="s">
        <v>115</v>
      </c>
    </row>
    <row r="101" spans="1:9" ht="15.6" x14ac:dyDescent="0.3">
      <c r="A101" s="17" t="s">
        <v>58</v>
      </c>
      <c r="B101" s="17" t="s">
        <v>62</v>
      </c>
      <c r="C101" s="17" t="s">
        <v>113</v>
      </c>
      <c r="D101" s="17" t="s">
        <v>114</v>
      </c>
      <c r="E101" s="17" t="s">
        <v>93</v>
      </c>
      <c r="F101" s="17" t="s">
        <v>131</v>
      </c>
      <c r="G101" s="17">
        <v>161.6244116</v>
      </c>
      <c r="H101" s="17">
        <v>155.10980000000001</v>
      </c>
      <c r="I101" s="17" t="s">
        <v>115</v>
      </c>
    </row>
    <row r="102" spans="1:9" ht="15.6" x14ac:dyDescent="0.3">
      <c r="A102" s="17" t="s">
        <v>58</v>
      </c>
      <c r="B102" s="17" t="s">
        <v>62</v>
      </c>
      <c r="C102" s="17" t="s">
        <v>113</v>
      </c>
      <c r="D102" s="17" t="s">
        <v>114</v>
      </c>
      <c r="E102" s="17" t="s">
        <v>93</v>
      </c>
      <c r="F102" s="17" t="s">
        <v>132</v>
      </c>
      <c r="G102" s="17">
        <v>1.53974777</v>
      </c>
      <c r="H102" s="17">
        <v>1.4776849999999999</v>
      </c>
      <c r="I102" s="17" t="s">
        <v>115</v>
      </c>
    </row>
    <row r="103" spans="1:9" ht="15.6" x14ac:dyDescent="0.3">
      <c r="A103" s="17" t="s">
        <v>58</v>
      </c>
      <c r="B103" s="17" t="s">
        <v>62</v>
      </c>
      <c r="C103" s="17" t="s">
        <v>113</v>
      </c>
      <c r="D103" s="17" t="s">
        <v>114</v>
      </c>
      <c r="E103" s="17" t="s">
        <v>93</v>
      </c>
      <c r="F103" s="17" t="s">
        <v>133</v>
      </c>
      <c r="G103" s="17">
        <v>16.658554838709701</v>
      </c>
      <c r="H103" s="17">
        <v>15.987096774193599</v>
      </c>
      <c r="I103" s="17" t="s">
        <v>115</v>
      </c>
    </row>
    <row r="104" spans="1:9" ht="15.6" x14ac:dyDescent="0.3">
      <c r="A104" s="17" t="s">
        <v>58</v>
      </c>
      <c r="B104" s="17" t="s">
        <v>62</v>
      </c>
      <c r="C104" s="17" t="s">
        <v>113</v>
      </c>
      <c r="D104" s="17" t="s">
        <v>114</v>
      </c>
      <c r="E104" s="17" t="s">
        <v>93</v>
      </c>
      <c r="F104" s="17" t="s">
        <v>134</v>
      </c>
      <c r="G104" s="17">
        <v>2.8492114559999999</v>
      </c>
      <c r="H104" s="17">
        <v>2.7343679999999999</v>
      </c>
      <c r="I104" s="17" t="s">
        <v>115</v>
      </c>
    </row>
    <row r="105" spans="1:9" ht="15.6" x14ac:dyDescent="0.3">
      <c r="A105" s="17" t="s">
        <v>58</v>
      </c>
      <c r="B105" s="17" t="s">
        <v>62</v>
      </c>
      <c r="C105" s="17" t="s">
        <v>113</v>
      </c>
      <c r="D105" s="17" t="s">
        <v>114</v>
      </c>
      <c r="E105" s="17" t="s">
        <v>93</v>
      </c>
      <c r="F105" s="17" t="s">
        <v>135</v>
      </c>
      <c r="G105" s="17">
        <v>15.002110967741899</v>
      </c>
      <c r="H105" s="17">
        <v>14.3974193548387</v>
      </c>
      <c r="I105" s="17" t="s">
        <v>115</v>
      </c>
    </row>
    <row r="106" spans="1:9" ht="15.6" x14ac:dyDescent="0.3">
      <c r="A106" s="17" t="s">
        <v>58</v>
      </c>
      <c r="B106" s="17" t="s">
        <v>62</v>
      </c>
      <c r="C106" s="17" t="s">
        <v>113</v>
      </c>
      <c r="D106" s="17" t="s">
        <v>114</v>
      </c>
      <c r="E106" s="17" t="s">
        <v>93</v>
      </c>
      <c r="F106" s="17" t="s">
        <v>136</v>
      </c>
      <c r="G106" s="17">
        <v>150.06533564743299</v>
      </c>
      <c r="H106" s="17">
        <v>144.016636897729</v>
      </c>
      <c r="I106" s="17" t="s">
        <v>115</v>
      </c>
    </row>
    <row r="107" spans="1:9" ht="15.6" x14ac:dyDescent="0.3">
      <c r="A107" s="17" t="s">
        <v>58</v>
      </c>
      <c r="B107" s="17" t="s">
        <v>62</v>
      </c>
      <c r="C107" s="17" t="s">
        <v>113</v>
      </c>
      <c r="D107" s="17" t="s">
        <v>114</v>
      </c>
      <c r="E107" s="17" t="s">
        <v>93</v>
      </c>
      <c r="F107" s="17" t="s">
        <v>137</v>
      </c>
      <c r="G107" s="17">
        <v>103.51112338</v>
      </c>
      <c r="H107" s="17">
        <v>99.338890000000006</v>
      </c>
      <c r="I107" s="17" t="s">
        <v>115</v>
      </c>
    </row>
    <row r="108" spans="1:9" ht="15.6" x14ac:dyDescent="0.3">
      <c r="A108" s="17" t="s">
        <v>58</v>
      </c>
      <c r="B108" s="17" t="s">
        <v>62</v>
      </c>
      <c r="C108" s="17" t="s">
        <v>113</v>
      </c>
      <c r="D108" s="17" t="s">
        <v>114</v>
      </c>
      <c r="E108" s="17" t="s">
        <v>94</v>
      </c>
      <c r="F108" s="17" t="s">
        <v>94</v>
      </c>
      <c r="G108" s="17">
        <v>30.449335892058201</v>
      </c>
      <c r="H108" s="17">
        <v>29.222011412723798</v>
      </c>
      <c r="I108" s="17" t="s">
        <v>115</v>
      </c>
    </row>
    <row r="109" spans="1:9" ht="15.6" x14ac:dyDescent="0.3">
      <c r="A109" s="17" t="s">
        <v>58</v>
      </c>
      <c r="B109" s="17" t="s">
        <v>62</v>
      </c>
      <c r="C109" s="17" t="s">
        <v>113</v>
      </c>
      <c r="D109" s="17" t="s">
        <v>114</v>
      </c>
      <c r="E109" s="17" t="s">
        <v>95</v>
      </c>
      <c r="F109" s="17" t="s">
        <v>138</v>
      </c>
      <c r="G109" s="17">
        <v>397.30709760000002</v>
      </c>
      <c r="H109" s="17">
        <v>381.2928</v>
      </c>
      <c r="I109" s="17" t="s">
        <v>115</v>
      </c>
    </row>
    <row r="110" spans="1:9" ht="15.6" x14ac:dyDescent="0.3">
      <c r="A110" s="17" t="s">
        <v>58</v>
      </c>
      <c r="B110" s="17" t="s">
        <v>62</v>
      </c>
      <c r="C110" s="17" t="s">
        <v>113</v>
      </c>
      <c r="D110" s="17" t="s">
        <v>114</v>
      </c>
      <c r="E110" s="17" t="s">
        <v>98</v>
      </c>
      <c r="F110" s="17" t="s">
        <v>139</v>
      </c>
      <c r="G110" s="17">
        <v>110.86879999999999</v>
      </c>
      <c r="H110" s="17">
        <v>106.4</v>
      </c>
      <c r="I110" s="17" t="s">
        <v>115</v>
      </c>
    </row>
    <row r="111" spans="1:9" ht="15.6" x14ac:dyDescent="0.3">
      <c r="A111" s="17" t="s">
        <v>58</v>
      </c>
      <c r="B111" s="17" t="s">
        <v>62</v>
      </c>
      <c r="C111" s="17" t="s">
        <v>113</v>
      </c>
      <c r="D111" s="17" t="s">
        <v>114</v>
      </c>
      <c r="E111" s="17" t="s">
        <v>98</v>
      </c>
      <c r="F111" s="17" t="s">
        <v>140</v>
      </c>
      <c r="G111" s="17">
        <v>3499.9529600000001</v>
      </c>
      <c r="H111" s="17">
        <v>3358.88</v>
      </c>
      <c r="I111" s="17" t="s">
        <v>115</v>
      </c>
    </row>
    <row r="112" spans="1:9" ht="15.6" x14ac:dyDescent="0.3">
      <c r="A112" s="17" t="s">
        <v>58</v>
      </c>
      <c r="B112" s="17" t="s">
        <v>62</v>
      </c>
      <c r="C112" s="17" t="s">
        <v>113</v>
      </c>
      <c r="D112" s="17" t="s">
        <v>114</v>
      </c>
      <c r="E112" s="17" t="s">
        <v>98</v>
      </c>
      <c r="F112" s="17" t="s">
        <v>141</v>
      </c>
      <c r="G112" s="17">
        <v>55.528516129032297</v>
      </c>
      <c r="H112" s="17">
        <v>53.290322580645203</v>
      </c>
      <c r="I112" s="17" t="s">
        <v>115</v>
      </c>
    </row>
    <row r="113" spans="1:9" ht="15.6" x14ac:dyDescent="0.3">
      <c r="A113" s="17" t="s">
        <v>58</v>
      </c>
      <c r="B113" s="17" t="s">
        <v>62</v>
      </c>
      <c r="C113" s="17" t="s">
        <v>113</v>
      </c>
      <c r="D113" s="17" t="s">
        <v>114</v>
      </c>
      <c r="E113" s="17" t="s">
        <v>96</v>
      </c>
      <c r="F113" s="17" t="s">
        <v>96</v>
      </c>
      <c r="G113" s="17">
        <v>25.170447647867999</v>
      </c>
      <c r="H113" s="17">
        <v>24.155899854000001</v>
      </c>
      <c r="I113" s="17" t="s">
        <v>115</v>
      </c>
    </row>
    <row r="114" spans="1:9" ht="15.6" x14ac:dyDescent="0.3">
      <c r="A114" s="17" t="s">
        <v>58</v>
      </c>
      <c r="B114" s="17" t="s">
        <v>62</v>
      </c>
      <c r="C114" s="17" t="s">
        <v>113</v>
      </c>
      <c r="D114" s="17" t="s">
        <v>114</v>
      </c>
      <c r="E114" s="17" t="s">
        <v>97</v>
      </c>
      <c r="F114" s="17" t="s">
        <v>97</v>
      </c>
      <c r="G114" s="17">
        <v>110.86879999999999</v>
      </c>
      <c r="H114" s="17">
        <v>106.4</v>
      </c>
      <c r="I114" s="17" t="s">
        <v>115</v>
      </c>
    </row>
    <row r="115" spans="1:9" ht="15.6" x14ac:dyDescent="0.3">
      <c r="A115" s="17" t="s">
        <v>58</v>
      </c>
      <c r="B115" s="17" t="s">
        <v>62</v>
      </c>
      <c r="C115" s="17" t="s">
        <v>113</v>
      </c>
      <c r="D115" s="17" t="s">
        <v>114</v>
      </c>
      <c r="E115" s="17" t="s">
        <v>99</v>
      </c>
      <c r="F115" s="17" t="s">
        <v>142</v>
      </c>
      <c r="G115" s="17">
        <v>71.057207573639005</v>
      </c>
      <c r="H115" s="17">
        <v>68.193097479499997</v>
      </c>
      <c r="I115" s="17" t="s">
        <v>115</v>
      </c>
    </row>
    <row r="116" spans="1:9" ht="15.6" x14ac:dyDescent="0.3">
      <c r="A116" s="17" t="s">
        <v>58</v>
      </c>
      <c r="B116" s="17" t="s">
        <v>62</v>
      </c>
      <c r="C116" s="17" t="s">
        <v>113</v>
      </c>
      <c r="D116" s="17" t="s">
        <v>114</v>
      </c>
      <c r="E116" s="17" t="s">
        <v>99</v>
      </c>
      <c r="F116" s="17" t="s">
        <v>143</v>
      </c>
      <c r="G116" s="17">
        <v>3.5146634063994799</v>
      </c>
      <c r="H116" s="17">
        <v>3.3729975109399999</v>
      </c>
      <c r="I116" s="17" t="s">
        <v>115</v>
      </c>
    </row>
    <row r="117" spans="1:9" ht="15.6" x14ac:dyDescent="0.3">
      <c r="A117" s="17" t="s">
        <v>58</v>
      </c>
      <c r="B117" s="17" t="s">
        <v>62</v>
      </c>
      <c r="C117" s="17" t="s">
        <v>113</v>
      </c>
      <c r="D117" s="17" t="s">
        <v>114</v>
      </c>
      <c r="E117" s="17" t="s">
        <v>99</v>
      </c>
      <c r="F117" s="17" t="s">
        <v>144</v>
      </c>
      <c r="G117" s="17">
        <v>7.6907207878534001</v>
      </c>
      <c r="H117" s="17">
        <v>7.3807301227000002</v>
      </c>
      <c r="I117" s="17" t="s">
        <v>115</v>
      </c>
    </row>
    <row r="118" spans="1:9" ht="15.6" x14ac:dyDescent="0.3">
      <c r="A118" s="17" t="s">
        <v>58</v>
      </c>
      <c r="B118" s="17" t="s">
        <v>62</v>
      </c>
      <c r="C118" s="17" t="s">
        <v>113</v>
      </c>
      <c r="D118" s="17" t="s">
        <v>114</v>
      </c>
      <c r="E118" s="17" t="s">
        <v>99</v>
      </c>
      <c r="F118" s="17" t="s">
        <v>145</v>
      </c>
      <c r="G118" s="17">
        <v>6.9322175999999999E-5</v>
      </c>
      <c r="H118" s="17">
        <v>6.6527999999999997E-5</v>
      </c>
      <c r="I118" s="17" t="s">
        <v>115</v>
      </c>
    </row>
    <row r="119" spans="1:9" ht="15.6" x14ac:dyDescent="0.3">
      <c r="A119" s="17" t="s">
        <v>58</v>
      </c>
      <c r="B119" s="17" t="s">
        <v>62</v>
      </c>
      <c r="C119" s="17" t="s">
        <v>113</v>
      </c>
      <c r="D119" s="17" t="s">
        <v>114</v>
      </c>
      <c r="E119" s="17" t="s">
        <v>99</v>
      </c>
      <c r="F119" s="17" t="s">
        <v>146</v>
      </c>
      <c r="G119" s="17">
        <v>4.8298288424800002E-2</v>
      </c>
      <c r="H119" s="17">
        <v>4.6351524400000003E-2</v>
      </c>
      <c r="I119" s="17" t="s">
        <v>115</v>
      </c>
    </row>
    <row r="120" spans="1:9" ht="15.6" x14ac:dyDescent="0.3">
      <c r="A120" s="17" t="s">
        <v>58</v>
      </c>
      <c r="B120" s="17" t="s">
        <v>62</v>
      </c>
      <c r="C120" s="17" t="s">
        <v>113</v>
      </c>
      <c r="D120" s="17" t="s">
        <v>114</v>
      </c>
      <c r="E120" s="17" t="s">
        <v>99</v>
      </c>
      <c r="F120" s="17" t="s">
        <v>147</v>
      </c>
      <c r="G120" s="17">
        <v>8.4631980951090995</v>
      </c>
      <c r="H120" s="17">
        <v>8.1220711085499993</v>
      </c>
      <c r="I120" s="17" t="s">
        <v>115</v>
      </c>
    </row>
    <row r="121" spans="1:9" ht="15.6" x14ac:dyDescent="0.3">
      <c r="A121" s="17" t="s">
        <v>58</v>
      </c>
      <c r="B121" s="17" t="s">
        <v>62</v>
      </c>
      <c r="C121" s="17" t="s">
        <v>113</v>
      </c>
      <c r="D121" s="17" t="s">
        <v>114</v>
      </c>
      <c r="E121" s="17" t="s">
        <v>99</v>
      </c>
      <c r="F121" s="17" t="s">
        <v>148</v>
      </c>
      <c r="G121" s="17">
        <v>606.01358659093603</v>
      </c>
      <c r="H121" s="17">
        <v>581.58693530799997</v>
      </c>
      <c r="I121" s="17" t="s">
        <v>115</v>
      </c>
    </row>
    <row r="122" spans="1:9" ht="15.6" x14ac:dyDescent="0.3">
      <c r="A122" s="17" t="s">
        <v>58</v>
      </c>
      <c r="B122" s="17" t="s">
        <v>62</v>
      </c>
      <c r="C122" s="17" t="s">
        <v>113</v>
      </c>
      <c r="D122" s="17" t="s">
        <v>114</v>
      </c>
      <c r="E122" s="17" t="s">
        <v>99</v>
      </c>
      <c r="F122" s="17" t="s">
        <v>149</v>
      </c>
      <c r="G122" s="17">
        <v>1.8997744E-4</v>
      </c>
      <c r="H122" s="17">
        <v>1.8232E-4</v>
      </c>
      <c r="I122" s="17" t="s">
        <v>115</v>
      </c>
    </row>
    <row r="123" spans="1:9" ht="15.6" x14ac:dyDescent="0.3">
      <c r="A123" s="17" t="s">
        <v>58</v>
      </c>
      <c r="B123" s="17" t="s">
        <v>62</v>
      </c>
      <c r="C123" s="17" t="s">
        <v>113</v>
      </c>
      <c r="D123" s="17" t="s">
        <v>114</v>
      </c>
      <c r="E123" s="17" t="s">
        <v>99</v>
      </c>
      <c r="F123" s="17" t="s">
        <v>150</v>
      </c>
      <c r="G123" s="17">
        <v>1.7947147812600001E-2</v>
      </c>
      <c r="H123" s="17">
        <v>1.72237503E-2</v>
      </c>
      <c r="I123" s="17" t="s">
        <v>115</v>
      </c>
    </row>
    <row r="124" spans="1:9" ht="15.6" x14ac:dyDescent="0.3">
      <c r="A124" s="17" t="s">
        <v>58</v>
      </c>
      <c r="B124" s="17" t="s">
        <v>62</v>
      </c>
      <c r="C124" s="17" t="s">
        <v>113</v>
      </c>
      <c r="D124" s="17" t="s">
        <v>114</v>
      </c>
      <c r="E124" s="17" t="s">
        <v>99</v>
      </c>
      <c r="F124" s="17" t="s">
        <v>151</v>
      </c>
      <c r="G124" s="17">
        <v>3.0547592640071999</v>
      </c>
      <c r="H124" s="17">
        <v>2.9316307716000001</v>
      </c>
      <c r="I124" s="17" t="s">
        <v>115</v>
      </c>
    </row>
    <row r="125" spans="1:9" ht="15.6" x14ac:dyDescent="0.3">
      <c r="A125" s="17" t="s">
        <v>58</v>
      </c>
      <c r="B125" s="17" t="s">
        <v>62</v>
      </c>
      <c r="C125" s="17" t="s">
        <v>113</v>
      </c>
      <c r="D125" s="17" t="s">
        <v>114</v>
      </c>
      <c r="E125" s="17" t="s">
        <v>99</v>
      </c>
      <c r="F125" s="17" t="s">
        <v>152</v>
      </c>
      <c r="G125" s="17">
        <v>29.583095226716001</v>
      </c>
      <c r="H125" s="17">
        <v>28.390686398</v>
      </c>
      <c r="I125" s="17" t="s">
        <v>115</v>
      </c>
    </row>
    <row r="126" spans="1:9" ht="15.6" x14ac:dyDescent="0.3">
      <c r="A126" s="17" t="s">
        <v>58</v>
      </c>
      <c r="B126" s="17" t="s">
        <v>62</v>
      </c>
      <c r="C126" s="17" t="s">
        <v>113</v>
      </c>
      <c r="D126" s="17" t="s">
        <v>114</v>
      </c>
      <c r="E126" s="17" t="s">
        <v>99</v>
      </c>
      <c r="F126" s="17" t="s">
        <v>153</v>
      </c>
      <c r="G126" s="17">
        <v>1.169030705572</v>
      </c>
      <c r="H126" s="17">
        <v>1.1219104660000001</v>
      </c>
      <c r="I126" s="17" t="s">
        <v>115</v>
      </c>
    </row>
    <row r="127" spans="1:9" ht="15.6" x14ac:dyDescent="0.3">
      <c r="A127" s="17" t="s">
        <v>58</v>
      </c>
      <c r="B127" s="17" t="s">
        <v>62</v>
      </c>
      <c r="C127" s="17" t="s">
        <v>113</v>
      </c>
      <c r="D127" s="17" t="s">
        <v>114</v>
      </c>
      <c r="E127" s="17" t="s">
        <v>99</v>
      </c>
      <c r="F127" s="17" t="s">
        <v>154</v>
      </c>
      <c r="G127" s="17">
        <v>1.268765391712E-2</v>
      </c>
      <c r="H127" s="17">
        <v>1.2176251359999999E-2</v>
      </c>
      <c r="I127" s="17" t="s">
        <v>115</v>
      </c>
    </row>
    <row r="128" spans="1:9" ht="15.6" x14ac:dyDescent="0.3">
      <c r="A128" s="17" t="s">
        <v>58</v>
      </c>
      <c r="B128" s="17" t="s">
        <v>62</v>
      </c>
      <c r="C128" s="17" t="s">
        <v>113</v>
      </c>
      <c r="D128" s="17" t="s">
        <v>114</v>
      </c>
      <c r="E128" s="17" t="s">
        <v>101</v>
      </c>
      <c r="F128" s="17" t="s">
        <v>155</v>
      </c>
      <c r="G128" s="17">
        <v>5.8499049957599997E-2</v>
      </c>
      <c r="H128" s="17">
        <v>5.6141122799999998E-2</v>
      </c>
      <c r="I128" s="17" t="s">
        <v>115</v>
      </c>
    </row>
    <row r="129" spans="1:9" ht="15.6" x14ac:dyDescent="0.3">
      <c r="A129" s="17" t="s">
        <v>58</v>
      </c>
      <c r="B129" s="17" t="s">
        <v>62</v>
      </c>
      <c r="C129" s="17" t="s">
        <v>113</v>
      </c>
      <c r="D129" s="17" t="s">
        <v>114</v>
      </c>
      <c r="E129" s="17" t="s">
        <v>101</v>
      </c>
      <c r="F129" s="17" t="s">
        <v>157</v>
      </c>
      <c r="G129" s="17">
        <v>1268.46936935484</v>
      </c>
      <c r="H129" s="17">
        <v>1217.3410454461</v>
      </c>
      <c r="I129" s="17" t="s">
        <v>115</v>
      </c>
    </row>
    <row r="130" spans="1:9" ht="15.6" x14ac:dyDescent="0.3">
      <c r="A130" s="17" t="s">
        <v>58</v>
      </c>
      <c r="B130" s="17" t="s">
        <v>62</v>
      </c>
      <c r="C130" s="17" t="s">
        <v>113</v>
      </c>
      <c r="D130" s="17" t="s">
        <v>114</v>
      </c>
      <c r="E130" s="17" t="s">
        <v>101</v>
      </c>
      <c r="F130" s="17" t="s">
        <v>158</v>
      </c>
      <c r="G130" s="17">
        <v>379.862109700605</v>
      </c>
      <c r="H130" s="17">
        <v>364.55096900249998</v>
      </c>
      <c r="I130" s="17" t="s">
        <v>115</v>
      </c>
    </row>
    <row r="131" spans="1:9" ht="15.6" x14ac:dyDescent="0.3">
      <c r="A131" s="17" t="s">
        <v>58</v>
      </c>
      <c r="B131" s="17" t="s">
        <v>62</v>
      </c>
      <c r="C131" s="17" t="s">
        <v>113</v>
      </c>
      <c r="D131" s="17" t="s">
        <v>114</v>
      </c>
      <c r="E131" s="17" t="s">
        <v>101</v>
      </c>
      <c r="F131" s="17" t="s">
        <v>159</v>
      </c>
      <c r="G131" s="17">
        <v>0.102534850656</v>
      </c>
      <c r="H131" s="17">
        <v>9.8401968000000006E-2</v>
      </c>
      <c r="I131" s="17" t="s">
        <v>115</v>
      </c>
    </row>
    <row r="132" spans="1:9" ht="15.6" x14ac:dyDescent="0.3">
      <c r="A132" s="17" t="s">
        <v>58</v>
      </c>
      <c r="B132" s="17" t="s">
        <v>62</v>
      </c>
      <c r="C132" s="17" t="s">
        <v>113</v>
      </c>
      <c r="D132" s="17" t="s">
        <v>114</v>
      </c>
      <c r="E132" s="17" t="s">
        <v>101</v>
      </c>
      <c r="F132" s="17" t="s">
        <v>160</v>
      </c>
      <c r="G132" s="17">
        <v>458.25373638859799</v>
      </c>
      <c r="H132" s="17">
        <v>439.78285641899998</v>
      </c>
      <c r="I132" s="17" t="s">
        <v>115</v>
      </c>
    </row>
    <row r="133" spans="1:9" ht="15.6" x14ac:dyDescent="0.3">
      <c r="A133" s="17" t="s">
        <v>58</v>
      </c>
      <c r="B133" s="17" t="s">
        <v>62</v>
      </c>
      <c r="C133" s="17" t="s">
        <v>113</v>
      </c>
      <c r="D133" s="17" t="s">
        <v>114</v>
      </c>
      <c r="E133" s="17" t="s">
        <v>101</v>
      </c>
      <c r="F133" s="17" t="s">
        <v>161</v>
      </c>
      <c r="G133" s="17">
        <v>32.5959187402634</v>
      </c>
      <c r="H133" s="17">
        <v>31.2820717277</v>
      </c>
      <c r="I133" s="17" t="s">
        <v>115</v>
      </c>
    </row>
    <row r="134" spans="1:9" ht="15.6" x14ac:dyDescent="0.3">
      <c r="A134" s="17" t="s">
        <v>58</v>
      </c>
      <c r="B134" s="17" t="s">
        <v>62</v>
      </c>
      <c r="C134" s="17" t="s">
        <v>113</v>
      </c>
      <c r="D134" s="17" t="s">
        <v>114</v>
      </c>
      <c r="E134" s="17" t="s">
        <v>101</v>
      </c>
      <c r="F134" s="17" t="s">
        <v>162</v>
      </c>
      <c r="G134" s="17">
        <v>114.12983510303999</v>
      </c>
      <c r="H134" s="17">
        <v>109.529592229405</v>
      </c>
      <c r="I134" s="17" t="s">
        <v>115</v>
      </c>
    </row>
    <row r="135" spans="1:9" ht="15.6" x14ac:dyDescent="0.3">
      <c r="A135" s="17" t="s">
        <v>58</v>
      </c>
      <c r="B135" s="17" t="s">
        <v>62</v>
      </c>
      <c r="C135" s="17" t="s">
        <v>113</v>
      </c>
      <c r="D135" s="17" t="s">
        <v>114</v>
      </c>
      <c r="E135" s="17" t="s">
        <v>101</v>
      </c>
      <c r="F135" s="17" t="s">
        <v>163</v>
      </c>
      <c r="G135" s="17">
        <v>238.06437168727999</v>
      </c>
      <c r="H135" s="17">
        <v>228.46868684</v>
      </c>
      <c r="I135" s="17" t="s">
        <v>115</v>
      </c>
    </row>
    <row r="136" spans="1:9" ht="15.6" x14ac:dyDescent="0.3">
      <c r="A136" s="17" t="s">
        <v>58</v>
      </c>
      <c r="B136" s="17" t="s">
        <v>62</v>
      </c>
      <c r="C136" s="17" t="s">
        <v>113</v>
      </c>
      <c r="D136" s="17" t="s">
        <v>114</v>
      </c>
      <c r="E136" s="17" t="s">
        <v>101</v>
      </c>
      <c r="F136" s="17" t="s">
        <v>164</v>
      </c>
      <c r="G136" s="17">
        <v>21.276112644944401</v>
      </c>
      <c r="H136" s="17">
        <v>20.418534208200001</v>
      </c>
      <c r="I136" s="17" t="s">
        <v>115</v>
      </c>
    </row>
    <row r="137" spans="1:9" ht="15.6" x14ac:dyDescent="0.3">
      <c r="A137" s="17" t="s">
        <v>58</v>
      </c>
      <c r="B137" s="17" t="s">
        <v>62</v>
      </c>
      <c r="C137" s="17" t="s">
        <v>113</v>
      </c>
      <c r="D137" s="17" t="s">
        <v>114</v>
      </c>
      <c r="E137" s="17" t="s">
        <v>102</v>
      </c>
      <c r="F137" s="17" t="s">
        <v>165</v>
      </c>
      <c r="G137" s="17">
        <v>18.1168893</v>
      </c>
      <c r="H137" s="17">
        <v>17.386649999999999</v>
      </c>
      <c r="I137" s="17" t="s">
        <v>115</v>
      </c>
    </row>
    <row r="138" spans="1:9" ht="15.6" x14ac:dyDescent="0.3">
      <c r="A138" s="17" t="s">
        <v>58</v>
      </c>
      <c r="B138" s="17" t="s">
        <v>62</v>
      </c>
      <c r="C138" s="17" t="s">
        <v>113</v>
      </c>
      <c r="D138" s="17" t="s">
        <v>114</v>
      </c>
      <c r="E138" s="17" t="s">
        <v>102</v>
      </c>
      <c r="F138" s="17" t="s">
        <v>166</v>
      </c>
      <c r="G138" s="17">
        <v>364.44312340403798</v>
      </c>
      <c r="H138" s="17">
        <v>349.75347735512298</v>
      </c>
      <c r="I138" s="17" t="s">
        <v>115</v>
      </c>
    </row>
    <row r="139" spans="1:9" ht="15.6" x14ac:dyDescent="0.3">
      <c r="A139" s="17" t="s">
        <v>58</v>
      </c>
      <c r="B139" s="17" t="s">
        <v>62</v>
      </c>
      <c r="C139" s="17" t="s">
        <v>167</v>
      </c>
      <c r="D139" s="17" t="s">
        <v>168</v>
      </c>
      <c r="E139" s="17" t="s">
        <v>100</v>
      </c>
      <c r="F139" s="17" t="s">
        <v>100</v>
      </c>
      <c r="G139" s="17">
        <v>0</v>
      </c>
      <c r="H139" s="17">
        <v>0</v>
      </c>
      <c r="I139" s="17" t="s">
        <v>115</v>
      </c>
    </row>
    <row r="140" spans="1:9" ht="15.6" x14ac:dyDescent="0.3">
      <c r="A140" s="17" t="s">
        <v>58</v>
      </c>
      <c r="B140" s="17" t="s">
        <v>62</v>
      </c>
      <c r="C140" s="17" t="s">
        <v>167</v>
      </c>
      <c r="D140" s="17" t="s">
        <v>114</v>
      </c>
      <c r="E140" s="17" t="s">
        <v>100</v>
      </c>
      <c r="F140" s="17" t="s">
        <v>100</v>
      </c>
      <c r="G140" s="17">
        <v>221.27078399999999</v>
      </c>
      <c r="H140" s="17">
        <v>212.352</v>
      </c>
      <c r="I140" s="17" t="s">
        <v>115</v>
      </c>
    </row>
    <row r="141" spans="1:9" ht="15.6" x14ac:dyDescent="0.3">
      <c r="A141" s="17" t="s">
        <v>58</v>
      </c>
      <c r="B141" s="17" t="s">
        <v>63</v>
      </c>
      <c r="C141" s="17" t="s">
        <v>113</v>
      </c>
      <c r="D141" s="17" t="s">
        <v>114</v>
      </c>
      <c r="E141" s="17" t="s">
        <v>71</v>
      </c>
      <c r="F141" s="17" t="s">
        <v>71</v>
      </c>
      <c r="G141" s="17">
        <v>46.119332399999998</v>
      </c>
      <c r="H141" s="17">
        <v>43.896000000000001</v>
      </c>
      <c r="I141" s="17" t="s">
        <v>115</v>
      </c>
    </row>
    <row r="142" spans="1:9" ht="15.6" x14ac:dyDescent="0.3">
      <c r="A142" s="17" t="s">
        <v>58</v>
      </c>
      <c r="B142" s="17" t="s">
        <v>63</v>
      </c>
      <c r="C142" s="17" t="s">
        <v>113</v>
      </c>
      <c r="D142" s="17" t="s">
        <v>114</v>
      </c>
      <c r="E142" s="17" t="s">
        <v>72</v>
      </c>
      <c r="F142" s="17" t="s">
        <v>116</v>
      </c>
      <c r="G142" s="17">
        <v>174.417061668</v>
      </c>
      <c r="H142" s="17">
        <v>166.00872000000001</v>
      </c>
      <c r="I142" s="17" t="s">
        <v>115</v>
      </c>
    </row>
    <row r="143" spans="1:9" ht="15.6" x14ac:dyDescent="0.3">
      <c r="A143" s="17" t="s">
        <v>58</v>
      </c>
      <c r="B143" s="17" t="s">
        <v>63</v>
      </c>
      <c r="C143" s="17" t="s">
        <v>113</v>
      </c>
      <c r="D143" s="17" t="s">
        <v>114</v>
      </c>
      <c r="E143" s="17" t="s">
        <v>73</v>
      </c>
      <c r="F143" s="17" t="s">
        <v>117</v>
      </c>
      <c r="G143" s="17">
        <v>0</v>
      </c>
      <c r="H143" s="17">
        <v>0</v>
      </c>
      <c r="I143" s="17" t="s">
        <v>115</v>
      </c>
    </row>
    <row r="144" spans="1:9" ht="15.6" x14ac:dyDescent="0.3">
      <c r="A144" s="17" t="s">
        <v>58</v>
      </c>
      <c r="B144" s="17" t="s">
        <v>63</v>
      </c>
      <c r="C144" s="17" t="s">
        <v>113</v>
      </c>
      <c r="D144" s="17" t="s">
        <v>114</v>
      </c>
      <c r="E144" s="17" t="s">
        <v>73</v>
      </c>
      <c r="F144" s="17" t="s">
        <v>118</v>
      </c>
      <c r="G144" s="17">
        <v>288.59758512000002</v>
      </c>
      <c r="H144" s="17">
        <v>274.6848</v>
      </c>
      <c r="I144" s="17" t="s">
        <v>115</v>
      </c>
    </row>
    <row r="145" spans="1:9" ht="15.6" x14ac:dyDescent="0.3">
      <c r="A145" s="17" t="s">
        <v>58</v>
      </c>
      <c r="B145" s="17" t="s">
        <v>63</v>
      </c>
      <c r="C145" s="17" t="s">
        <v>113</v>
      </c>
      <c r="D145" s="17" t="s">
        <v>114</v>
      </c>
      <c r="E145" s="17" t="s">
        <v>73</v>
      </c>
      <c r="F145" s="17" t="s">
        <v>119</v>
      </c>
      <c r="G145" s="17">
        <v>1750.971264</v>
      </c>
      <c r="H145" s="17">
        <v>1666.56</v>
      </c>
      <c r="I145" s="17" t="s">
        <v>115</v>
      </c>
    </row>
    <row r="146" spans="1:9" ht="15.6" x14ac:dyDescent="0.3">
      <c r="A146" s="17" t="s">
        <v>58</v>
      </c>
      <c r="B146" s="17" t="s">
        <v>63</v>
      </c>
      <c r="C146" s="17" t="s">
        <v>113</v>
      </c>
      <c r="D146" s="17" t="s">
        <v>114</v>
      </c>
      <c r="E146" s="17" t="s">
        <v>73</v>
      </c>
      <c r="F146" s="17" t="s">
        <v>120</v>
      </c>
      <c r="G146" s="17">
        <v>17.0481980761644</v>
      </c>
      <c r="H146" s="17">
        <v>16.226334246575298</v>
      </c>
      <c r="I146" s="17" t="s">
        <v>115</v>
      </c>
    </row>
    <row r="147" spans="1:9" ht="15.6" x14ac:dyDescent="0.3">
      <c r="A147" s="17" t="s">
        <v>58</v>
      </c>
      <c r="B147" s="17" t="s">
        <v>63</v>
      </c>
      <c r="C147" s="17" t="s">
        <v>113</v>
      </c>
      <c r="D147" s="17" t="s">
        <v>114</v>
      </c>
      <c r="E147" s="17" t="s">
        <v>74</v>
      </c>
      <c r="F147" s="17" t="s">
        <v>121</v>
      </c>
      <c r="G147" s="17">
        <v>16.086348650034999</v>
      </c>
      <c r="H147" s="17">
        <v>15.3108539</v>
      </c>
      <c r="I147" s="17" t="s">
        <v>115</v>
      </c>
    </row>
    <row r="148" spans="1:9" ht="15.6" x14ac:dyDescent="0.3">
      <c r="A148" s="17" t="s">
        <v>58</v>
      </c>
      <c r="B148" s="17" t="s">
        <v>63</v>
      </c>
      <c r="C148" s="17" t="s">
        <v>113</v>
      </c>
      <c r="D148" s="17" t="s">
        <v>114</v>
      </c>
      <c r="E148" s="17" t="s">
        <v>76</v>
      </c>
      <c r="F148" s="17" t="s">
        <v>122</v>
      </c>
      <c r="G148" s="17">
        <v>139.92136439999999</v>
      </c>
      <c r="H148" s="17">
        <v>133.17599999999999</v>
      </c>
      <c r="I148" s="17" t="s">
        <v>115</v>
      </c>
    </row>
    <row r="149" spans="1:9" ht="15.6" x14ac:dyDescent="0.3">
      <c r="A149" s="17" t="s">
        <v>58</v>
      </c>
      <c r="B149" s="17" t="s">
        <v>63</v>
      </c>
      <c r="C149" s="17" t="s">
        <v>113</v>
      </c>
      <c r="D149" s="17" t="s">
        <v>114</v>
      </c>
      <c r="E149" s="17" t="s">
        <v>80</v>
      </c>
      <c r="F149" s="17" t="s">
        <v>80</v>
      </c>
      <c r="G149" s="17">
        <v>0.64120674853979998</v>
      </c>
      <c r="H149" s="17">
        <v>0.61029529199999999</v>
      </c>
      <c r="I149" s="17" t="s">
        <v>115</v>
      </c>
    </row>
    <row r="150" spans="1:9" ht="15.6" x14ac:dyDescent="0.3">
      <c r="A150" s="17" t="s">
        <v>58</v>
      </c>
      <c r="B150" s="17" t="s">
        <v>63</v>
      </c>
      <c r="C150" s="17" t="s">
        <v>113</v>
      </c>
      <c r="D150" s="17" t="s">
        <v>114</v>
      </c>
      <c r="E150" s="17" t="s">
        <v>77</v>
      </c>
      <c r="F150" s="17" t="s">
        <v>77</v>
      </c>
      <c r="G150" s="17">
        <v>4.2370545958400001</v>
      </c>
      <c r="H150" s="17">
        <v>4.0327935999999998</v>
      </c>
      <c r="I150" s="17" t="s">
        <v>115</v>
      </c>
    </row>
    <row r="151" spans="1:9" ht="15.6" x14ac:dyDescent="0.3">
      <c r="A151" s="17" t="s">
        <v>58</v>
      </c>
      <c r="B151" s="17" t="s">
        <v>63</v>
      </c>
      <c r="C151" s="17" t="s">
        <v>113</v>
      </c>
      <c r="D151" s="17" t="s">
        <v>114</v>
      </c>
      <c r="E151" s="17" t="s">
        <v>78</v>
      </c>
      <c r="F151" s="17" t="s">
        <v>123</v>
      </c>
      <c r="G151" s="17">
        <v>13.582803200000001</v>
      </c>
      <c r="H151" s="17">
        <v>12.928000000000001</v>
      </c>
      <c r="I151" s="17" t="s">
        <v>115</v>
      </c>
    </row>
    <row r="152" spans="1:9" ht="15.6" x14ac:dyDescent="0.3">
      <c r="A152" s="17" t="s">
        <v>58</v>
      </c>
      <c r="B152" s="17" t="s">
        <v>63</v>
      </c>
      <c r="C152" s="17" t="s">
        <v>113</v>
      </c>
      <c r="D152" s="17" t="s">
        <v>114</v>
      </c>
      <c r="E152" s="17" t="s">
        <v>78</v>
      </c>
      <c r="F152" s="17" t="s">
        <v>124</v>
      </c>
      <c r="G152" s="17">
        <v>195.42089999999999</v>
      </c>
      <c r="H152" s="17">
        <v>186</v>
      </c>
      <c r="I152" s="17" t="s">
        <v>115</v>
      </c>
    </row>
    <row r="153" spans="1:9" ht="15.6" x14ac:dyDescent="0.3">
      <c r="A153" s="17" t="s">
        <v>58</v>
      </c>
      <c r="B153" s="17" t="s">
        <v>63</v>
      </c>
      <c r="C153" s="17" t="s">
        <v>113</v>
      </c>
      <c r="D153" s="17" t="s">
        <v>114</v>
      </c>
      <c r="E153" s="17" t="s">
        <v>78</v>
      </c>
      <c r="F153" s="17" t="s">
        <v>125</v>
      </c>
      <c r="G153" s="17">
        <v>187.29139056</v>
      </c>
      <c r="H153" s="17">
        <v>178.26240000000001</v>
      </c>
      <c r="I153" s="17" t="s">
        <v>115</v>
      </c>
    </row>
    <row r="154" spans="1:9" ht="15.6" x14ac:dyDescent="0.3">
      <c r="A154" s="17" t="s">
        <v>58</v>
      </c>
      <c r="B154" s="17" t="s">
        <v>63</v>
      </c>
      <c r="C154" s="17" t="s">
        <v>113</v>
      </c>
      <c r="D154" s="17" t="s">
        <v>114</v>
      </c>
      <c r="E154" s="17" t="s">
        <v>79</v>
      </c>
      <c r="F154" s="17" t="s">
        <v>126</v>
      </c>
      <c r="G154" s="17">
        <v>8087.3307322151704</v>
      </c>
      <c r="H154" s="17">
        <v>7697.4546539905396</v>
      </c>
      <c r="I154" s="17" t="s">
        <v>115</v>
      </c>
    </row>
    <row r="155" spans="1:9" ht="15.6" x14ac:dyDescent="0.3">
      <c r="A155" s="17" t="s">
        <v>58</v>
      </c>
      <c r="B155" s="17" t="s">
        <v>63</v>
      </c>
      <c r="C155" s="17" t="s">
        <v>113</v>
      </c>
      <c r="D155" s="17" t="s">
        <v>114</v>
      </c>
      <c r="E155" s="17" t="s">
        <v>79</v>
      </c>
      <c r="F155" s="17" t="s">
        <v>79</v>
      </c>
      <c r="G155" s="17">
        <v>1566.54386641774</v>
      </c>
      <c r="H155" s="17">
        <v>1491.0235248824399</v>
      </c>
      <c r="I155" s="17" t="s">
        <v>115</v>
      </c>
    </row>
    <row r="156" spans="1:9" ht="15.6" x14ac:dyDescent="0.3">
      <c r="A156" s="17" t="s">
        <v>58</v>
      </c>
      <c r="B156" s="17" t="s">
        <v>63</v>
      </c>
      <c r="C156" s="17" t="s">
        <v>113</v>
      </c>
      <c r="D156" s="17" t="s">
        <v>114</v>
      </c>
      <c r="E156" s="17" t="s">
        <v>81</v>
      </c>
      <c r="F156" s="17" t="s">
        <v>81</v>
      </c>
      <c r="G156" s="17">
        <v>202.47353453431501</v>
      </c>
      <c r="H156" s="17">
        <v>192.71263935117699</v>
      </c>
      <c r="I156" s="17" t="s">
        <v>115</v>
      </c>
    </row>
    <row r="157" spans="1:9" ht="15.6" x14ac:dyDescent="0.3">
      <c r="A157" s="17" t="s">
        <v>58</v>
      </c>
      <c r="B157" s="17" t="s">
        <v>63</v>
      </c>
      <c r="C157" s="17" t="s">
        <v>113</v>
      </c>
      <c r="D157" s="17" t="s">
        <v>114</v>
      </c>
      <c r="E157" s="17" t="s">
        <v>82</v>
      </c>
      <c r="F157" s="17" t="s">
        <v>82</v>
      </c>
      <c r="G157" s="17">
        <v>72.252276702327904</v>
      </c>
      <c r="H157" s="17">
        <v>68.7691207369989</v>
      </c>
      <c r="I157" s="17" t="s">
        <v>115</v>
      </c>
    </row>
    <row r="158" spans="1:9" ht="15.6" x14ac:dyDescent="0.3">
      <c r="A158" s="17" t="s">
        <v>58</v>
      </c>
      <c r="B158" s="17" t="s">
        <v>63</v>
      </c>
      <c r="C158" s="17" t="s">
        <v>113</v>
      </c>
      <c r="D158" s="17" t="s">
        <v>114</v>
      </c>
      <c r="E158" s="17" t="s">
        <v>83</v>
      </c>
      <c r="F158" s="17" t="s">
        <v>127</v>
      </c>
      <c r="G158" s="17">
        <v>1.2517289825482101</v>
      </c>
      <c r="H158" s="17">
        <v>1.19138531627869</v>
      </c>
      <c r="I158" s="17" t="s">
        <v>115</v>
      </c>
    </row>
    <row r="159" spans="1:9" ht="15.6" x14ac:dyDescent="0.3">
      <c r="A159" s="17" t="s">
        <v>58</v>
      </c>
      <c r="B159" s="17" t="s">
        <v>63</v>
      </c>
      <c r="C159" s="17" t="s">
        <v>113</v>
      </c>
      <c r="D159" s="17" t="s">
        <v>114</v>
      </c>
      <c r="E159" s="17" t="s">
        <v>83</v>
      </c>
      <c r="F159" s="17" t="s">
        <v>128</v>
      </c>
      <c r="G159" s="17">
        <v>33.7038207231504</v>
      </c>
      <c r="H159" s="17">
        <v>32.079018439204702</v>
      </c>
      <c r="I159" s="17" t="s">
        <v>115</v>
      </c>
    </row>
    <row r="160" spans="1:9" ht="15.6" x14ac:dyDescent="0.3">
      <c r="A160" s="17" t="s">
        <v>58</v>
      </c>
      <c r="B160" s="17" t="s">
        <v>63</v>
      </c>
      <c r="C160" s="17" t="s">
        <v>113</v>
      </c>
      <c r="D160" s="17" t="s">
        <v>114</v>
      </c>
      <c r="E160" s="17" t="s">
        <v>84</v>
      </c>
      <c r="F160" s="17" t="s">
        <v>129</v>
      </c>
      <c r="G160" s="17">
        <v>10637.9792284615</v>
      </c>
      <c r="H160" s="17">
        <v>10125.140844678501</v>
      </c>
      <c r="I160" s="17" t="s">
        <v>115</v>
      </c>
    </row>
    <row r="161" spans="1:9" ht="15.6" x14ac:dyDescent="0.3">
      <c r="A161" s="17" t="s">
        <v>58</v>
      </c>
      <c r="B161" s="17" t="s">
        <v>63</v>
      </c>
      <c r="C161" s="17" t="s">
        <v>113</v>
      </c>
      <c r="D161" s="17" t="s">
        <v>114</v>
      </c>
      <c r="E161" s="17" t="s">
        <v>85</v>
      </c>
      <c r="F161" s="17" t="s">
        <v>85</v>
      </c>
      <c r="G161" s="17">
        <v>92.824215891810596</v>
      </c>
      <c r="H161" s="17">
        <v>88.349322697197493</v>
      </c>
      <c r="I161" s="17" t="s">
        <v>115</v>
      </c>
    </row>
    <row r="162" spans="1:9" ht="15.6" x14ac:dyDescent="0.3">
      <c r="A162" s="17" t="s">
        <v>58</v>
      </c>
      <c r="B162" s="17" t="s">
        <v>63</v>
      </c>
      <c r="C162" s="17" t="s">
        <v>113</v>
      </c>
      <c r="D162" s="17" t="s">
        <v>114</v>
      </c>
      <c r="E162" s="17" t="s">
        <v>87</v>
      </c>
      <c r="F162" s="17" t="s">
        <v>87</v>
      </c>
      <c r="G162" s="17">
        <v>0.5836923036867</v>
      </c>
      <c r="H162" s="17">
        <v>0.55555351799999997</v>
      </c>
      <c r="I162" s="17" t="s">
        <v>115</v>
      </c>
    </row>
    <row r="163" spans="1:9" ht="15.6" x14ac:dyDescent="0.3">
      <c r="A163" s="17" t="s">
        <v>58</v>
      </c>
      <c r="B163" s="17" t="s">
        <v>63</v>
      </c>
      <c r="C163" s="17" t="s">
        <v>113</v>
      </c>
      <c r="D163" s="17" t="s">
        <v>114</v>
      </c>
      <c r="E163" s="17" t="s">
        <v>88</v>
      </c>
      <c r="F163" s="17" t="s">
        <v>88</v>
      </c>
      <c r="G163" s="17">
        <v>12.4610271930298</v>
      </c>
      <c r="H163" s="17">
        <v>11.8603028535</v>
      </c>
      <c r="I163" s="17" t="s">
        <v>115</v>
      </c>
    </row>
    <row r="164" spans="1:9" ht="15.6" x14ac:dyDescent="0.3">
      <c r="A164" s="17" t="s">
        <v>58</v>
      </c>
      <c r="B164" s="17" t="s">
        <v>63</v>
      </c>
      <c r="C164" s="17" t="s">
        <v>113</v>
      </c>
      <c r="D164" s="17" t="s">
        <v>114</v>
      </c>
      <c r="E164" s="17" t="s">
        <v>89</v>
      </c>
      <c r="F164" s="17" t="s">
        <v>89</v>
      </c>
      <c r="G164" s="17">
        <v>0.61069806629699996</v>
      </c>
      <c r="H164" s="17">
        <v>0.58125738000000005</v>
      </c>
      <c r="I164" s="17" t="s">
        <v>115</v>
      </c>
    </row>
    <row r="165" spans="1:9" ht="15.6" x14ac:dyDescent="0.3">
      <c r="A165" s="17" t="s">
        <v>58</v>
      </c>
      <c r="B165" s="17" t="s">
        <v>63</v>
      </c>
      <c r="C165" s="17" t="s">
        <v>113</v>
      </c>
      <c r="D165" s="17" t="s">
        <v>114</v>
      </c>
      <c r="E165" s="17" t="s">
        <v>90</v>
      </c>
      <c r="F165" s="17" t="s">
        <v>90</v>
      </c>
      <c r="G165" s="17">
        <v>171.15025150865901</v>
      </c>
      <c r="H165" s="17">
        <v>162.89939704816899</v>
      </c>
      <c r="I165" s="17" t="s">
        <v>115</v>
      </c>
    </row>
    <row r="166" spans="1:9" ht="15.6" x14ac:dyDescent="0.3">
      <c r="A166" s="17" t="s">
        <v>58</v>
      </c>
      <c r="B166" s="17" t="s">
        <v>63</v>
      </c>
      <c r="C166" s="17" t="s">
        <v>113</v>
      </c>
      <c r="D166" s="17" t="s">
        <v>114</v>
      </c>
      <c r="E166" s="17" t="s">
        <v>91</v>
      </c>
      <c r="F166" s="17" t="s">
        <v>91</v>
      </c>
      <c r="G166" s="17">
        <v>30.849497806236801</v>
      </c>
      <c r="H166" s="17">
        <v>29.362297440857301</v>
      </c>
      <c r="I166" s="17" t="s">
        <v>115</v>
      </c>
    </row>
    <row r="167" spans="1:9" ht="15.6" x14ac:dyDescent="0.3">
      <c r="A167" s="17" t="s">
        <v>58</v>
      </c>
      <c r="B167" s="17" t="s">
        <v>63</v>
      </c>
      <c r="C167" s="17" t="s">
        <v>113</v>
      </c>
      <c r="D167" s="17" t="s">
        <v>114</v>
      </c>
      <c r="E167" s="17" t="s">
        <v>93</v>
      </c>
      <c r="F167" s="17" t="s">
        <v>130</v>
      </c>
      <c r="G167" s="17">
        <v>220.64489469349999</v>
      </c>
      <c r="H167" s="17">
        <v>210.00799000000001</v>
      </c>
      <c r="I167" s="17" t="s">
        <v>115</v>
      </c>
    </row>
    <row r="168" spans="1:9" ht="15.6" x14ac:dyDescent="0.3">
      <c r="A168" s="17" t="s">
        <v>58</v>
      </c>
      <c r="B168" s="17" t="s">
        <v>63</v>
      </c>
      <c r="C168" s="17" t="s">
        <v>113</v>
      </c>
      <c r="D168" s="17" t="s">
        <v>114</v>
      </c>
      <c r="E168" s="17" t="s">
        <v>93</v>
      </c>
      <c r="F168" s="17" t="s">
        <v>131</v>
      </c>
      <c r="G168" s="17">
        <v>182.28861552000001</v>
      </c>
      <c r="H168" s="17">
        <v>173.5008</v>
      </c>
      <c r="I168" s="17" t="s">
        <v>115</v>
      </c>
    </row>
    <row r="169" spans="1:9" ht="15.6" x14ac:dyDescent="0.3">
      <c r="A169" s="17" t="s">
        <v>58</v>
      </c>
      <c r="B169" s="17" t="s">
        <v>63</v>
      </c>
      <c r="C169" s="17" t="s">
        <v>113</v>
      </c>
      <c r="D169" s="17" t="s">
        <v>114</v>
      </c>
      <c r="E169" s="17" t="s">
        <v>93</v>
      </c>
      <c r="F169" s="17" t="s">
        <v>132</v>
      </c>
      <c r="G169" s="17">
        <v>1.7240031798</v>
      </c>
      <c r="H169" s="17">
        <v>1.640892</v>
      </c>
      <c r="I169" s="17" t="s">
        <v>115</v>
      </c>
    </row>
    <row r="170" spans="1:9" ht="15.6" x14ac:dyDescent="0.3">
      <c r="A170" s="17" t="s">
        <v>58</v>
      </c>
      <c r="B170" s="17" t="s">
        <v>63</v>
      </c>
      <c r="C170" s="17" t="s">
        <v>113</v>
      </c>
      <c r="D170" s="17" t="s">
        <v>114</v>
      </c>
      <c r="E170" s="17" t="s">
        <v>93</v>
      </c>
      <c r="F170" s="17" t="s">
        <v>133</v>
      </c>
      <c r="G170" s="17">
        <v>18.596505000000001</v>
      </c>
      <c r="H170" s="17">
        <v>17.7</v>
      </c>
      <c r="I170" s="17" t="s">
        <v>115</v>
      </c>
    </row>
    <row r="171" spans="1:9" ht="15.6" x14ac:dyDescent="0.3">
      <c r="A171" s="17" t="s">
        <v>58</v>
      </c>
      <c r="B171" s="17" t="s">
        <v>63</v>
      </c>
      <c r="C171" s="17" t="s">
        <v>113</v>
      </c>
      <c r="D171" s="17" t="s">
        <v>114</v>
      </c>
      <c r="E171" s="17" t="s">
        <v>93</v>
      </c>
      <c r="F171" s="17" t="s">
        <v>134</v>
      </c>
      <c r="G171" s="17">
        <v>3.1806705684000001</v>
      </c>
      <c r="H171" s="17">
        <v>3.027336</v>
      </c>
      <c r="I171" s="17" t="s">
        <v>115</v>
      </c>
    </row>
    <row r="172" spans="1:9" ht="15.6" x14ac:dyDescent="0.3">
      <c r="A172" s="17" t="s">
        <v>58</v>
      </c>
      <c r="B172" s="17" t="s">
        <v>63</v>
      </c>
      <c r="C172" s="17" t="s">
        <v>113</v>
      </c>
      <c r="D172" s="17" t="s">
        <v>114</v>
      </c>
      <c r="E172" s="17" t="s">
        <v>93</v>
      </c>
      <c r="F172" s="17" t="s">
        <v>135</v>
      </c>
      <c r="G172" s="17">
        <v>16.747361000000001</v>
      </c>
      <c r="H172" s="17">
        <v>15.94</v>
      </c>
      <c r="I172" s="17" t="s">
        <v>115</v>
      </c>
    </row>
    <row r="173" spans="1:9" ht="15.6" x14ac:dyDescent="0.3">
      <c r="A173" s="17" t="s">
        <v>58</v>
      </c>
      <c r="B173" s="17" t="s">
        <v>63</v>
      </c>
      <c r="C173" s="17" t="s">
        <v>113</v>
      </c>
      <c r="D173" s="17" t="s">
        <v>114</v>
      </c>
      <c r="E173" s="17" t="s">
        <v>93</v>
      </c>
      <c r="F173" s="17" t="s">
        <v>136</v>
      </c>
      <c r="G173" s="17">
        <v>146.91231004143901</v>
      </c>
      <c r="H173" s="17">
        <v>139.82992437199701</v>
      </c>
      <c r="I173" s="17" t="s">
        <v>115</v>
      </c>
    </row>
    <row r="174" spans="1:9" ht="15.6" x14ac:dyDescent="0.3">
      <c r="A174" s="17" t="s">
        <v>58</v>
      </c>
      <c r="B174" s="17" t="s">
        <v>63</v>
      </c>
      <c r="C174" s="17" t="s">
        <v>113</v>
      </c>
      <c r="D174" s="17" t="s">
        <v>114</v>
      </c>
      <c r="E174" s="17" t="s">
        <v>93</v>
      </c>
      <c r="F174" s="17" t="s">
        <v>137</v>
      </c>
      <c r="G174" s="17">
        <v>116.2510919395</v>
      </c>
      <c r="H174" s="17">
        <v>110.64682999999999</v>
      </c>
      <c r="I174" s="17" t="s">
        <v>115</v>
      </c>
    </row>
    <row r="175" spans="1:9" ht="15.6" x14ac:dyDescent="0.3">
      <c r="A175" s="17" t="s">
        <v>58</v>
      </c>
      <c r="B175" s="17" t="s">
        <v>63</v>
      </c>
      <c r="C175" s="17" t="s">
        <v>113</v>
      </c>
      <c r="D175" s="17" t="s">
        <v>114</v>
      </c>
      <c r="E175" s="17" t="s">
        <v>94</v>
      </c>
      <c r="F175" s="17" t="s">
        <v>94</v>
      </c>
      <c r="G175" s="17">
        <v>31.141996797080601</v>
      </c>
      <c r="H175" s="17">
        <v>29.640695566630701</v>
      </c>
      <c r="I175" s="17" t="s">
        <v>115</v>
      </c>
    </row>
    <row r="176" spans="1:9" ht="15.6" x14ac:dyDescent="0.3">
      <c r="A176" s="17" t="s">
        <v>58</v>
      </c>
      <c r="B176" s="17" t="s">
        <v>63</v>
      </c>
      <c r="C176" s="17" t="s">
        <v>113</v>
      </c>
      <c r="D176" s="17" t="s">
        <v>114</v>
      </c>
      <c r="E176" s="17" t="s">
        <v>95</v>
      </c>
      <c r="F176" s="17" t="s">
        <v>138</v>
      </c>
      <c r="G176" s="17">
        <v>443.52727463999997</v>
      </c>
      <c r="H176" s="17">
        <v>422.1456</v>
      </c>
      <c r="I176" s="17" t="s">
        <v>115</v>
      </c>
    </row>
    <row r="177" spans="1:9" ht="15.6" x14ac:dyDescent="0.3">
      <c r="A177" s="17" t="s">
        <v>58</v>
      </c>
      <c r="B177" s="17" t="s">
        <v>63</v>
      </c>
      <c r="C177" s="17" t="s">
        <v>113</v>
      </c>
      <c r="D177" s="17" t="s">
        <v>114</v>
      </c>
      <c r="E177" s="17" t="s">
        <v>98</v>
      </c>
      <c r="F177" s="17" t="s">
        <v>139</v>
      </c>
      <c r="G177" s="17">
        <v>123.76657</v>
      </c>
      <c r="H177" s="17">
        <v>117.8</v>
      </c>
      <c r="I177" s="17" t="s">
        <v>115</v>
      </c>
    </row>
    <row r="178" spans="1:9" ht="15.6" x14ac:dyDescent="0.3">
      <c r="A178" s="17" t="s">
        <v>58</v>
      </c>
      <c r="B178" s="17" t="s">
        <v>63</v>
      </c>
      <c r="C178" s="17" t="s">
        <v>113</v>
      </c>
      <c r="D178" s="17" t="s">
        <v>114</v>
      </c>
      <c r="E178" s="17" t="s">
        <v>98</v>
      </c>
      <c r="F178" s="17" t="s">
        <v>140</v>
      </c>
      <c r="G178" s="17">
        <v>3907.115194</v>
      </c>
      <c r="H178" s="17">
        <v>3718.76</v>
      </c>
      <c r="I178" s="17" t="s">
        <v>115</v>
      </c>
    </row>
    <row r="179" spans="1:9" ht="15.6" x14ac:dyDescent="0.3">
      <c r="A179" s="17" t="s">
        <v>58</v>
      </c>
      <c r="B179" s="17" t="s">
        <v>63</v>
      </c>
      <c r="C179" s="17" t="s">
        <v>113</v>
      </c>
      <c r="D179" s="17" t="s">
        <v>114</v>
      </c>
      <c r="E179" s="17" t="s">
        <v>98</v>
      </c>
      <c r="F179" s="17" t="s">
        <v>141</v>
      </c>
      <c r="G179" s="17">
        <v>61.988349999999997</v>
      </c>
      <c r="H179" s="17">
        <v>59</v>
      </c>
      <c r="I179" s="17" t="s">
        <v>115</v>
      </c>
    </row>
    <row r="180" spans="1:9" ht="15.6" x14ac:dyDescent="0.3">
      <c r="A180" s="17" t="s">
        <v>58</v>
      </c>
      <c r="B180" s="17" t="s">
        <v>63</v>
      </c>
      <c r="C180" s="17" t="s">
        <v>113</v>
      </c>
      <c r="D180" s="17" t="s">
        <v>114</v>
      </c>
      <c r="E180" s="17" t="s">
        <v>96</v>
      </c>
      <c r="F180" s="17" t="s">
        <v>96</v>
      </c>
      <c r="G180" s="17">
        <v>28.412135117585599</v>
      </c>
      <c r="H180" s="17">
        <v>27.042435746999999</v>
      </c>
      <c r="I180" s="17" t="s">
        <v>115</v>
      </c>
    </row>
    <row r="181" spans="1:9" ht="15.6" x14ac:dyDescent="0.3">
      <c r="A181" s="17" t="s">
        <v>58</v>
      </c>
      <c r="B181" s="17" t="s">
        <v>63</v>
      </c>
      <c r="C181" s="17" t="s">
        <v>113</v>
      </c>
      <c r="D181" s="17" t="s">
        <v>114</v>
      </c>
      <c r="E181" s="17" t="s">
        <v>97</v>
      </c>
      <c r="F181" s="17" t="s">
        <v>97</v>
      </c>
      <c r="G181" s="17">
        <v>123.76657</v>
      </c>
      <c r="H181" s="17">
        <v>117.8</v>
      </c>
      <c r="I181" s="17" t="s">
        <v>115</v>
      </c>
    </row>
    <row r="182" spans="1:9" ht="15.6" x14ac:dyDescent="0.3">
      <c r="A182" s="17" t="s">
        <v>58</v>
      </c>
      <c r="B182" s="17" t="s">
        <v>63</v>
      </c>
      <c r="C182" s="17" t="s">
        <v>113</v>
      </c>
      <c r="D182" s="17" t="s">
        <v>114</v>
      </c>
      <c r="E182" s="17" t="s">
        <v>99</v>
      </c>
      <c r="F182" s="17" t="s">
        <v>142</v>
      </c>
      <c r="G182" s="17">
        <v>76.311503162380106</v>
      </c>
      <c r="H182" s="17">
        <v>72.632658984800003</v>
      </c>
      <c r="I182" s="17" t="s">
        <v>115</v>
      </c>
    </row>
    <row r="183" spans="1:9" ht="15.6" x14ac:dyDescent="0.3">
      <c r="A183" s="17" t="s">
        <v>58</v>
      </c>
      <c r="B183" s="17" t="s">
        <v>63</v>
      </c>
      <c r="C183" s="17" t="s">
        <v>113</v>
      </c>
      <c r="D183" s="17" t="s">
        <v>114</v>
      </c>
      <c r="E183" s="17" t="s">
        <v>99</v>
      </c>
      <c r="F183" s="17" t="s">
        <v>143</v>
      </c>
      <c r="G183" s="17">
        <v>4.9926215769754902</v>
      </c>
      <c r="H183" s="17">
        <v>4.7519360176800003</v>
      </c>
      <c r="I183" s="17" t="s">
        <v>115</v>
      </c>
    </row>
    <row r="184" spans="1:9" ht="15.6" x14ac:dyDescent="0.3">
      <c r="A184" s="17" t="s">
        <v>58</v>
      </c>
      <c r="B184" s="17" t="s">
        <v>63</v>
      </c>
      <c r="C184" s="17" t="s">
        <v>113</v>
      </c>
      <c r="D184" s="17" t="s">
        <v>114</v>
      </c>
      <c r="E184" s="17" t="s">
        <v>99</v>
      </c>
      <c r="F184" s="17" t="s">
        <v>144</v>
      </c>
      <c r="G184" s="17">
        <v>22.2532187031177</v>
      </c>
      <c r="H184" s="17">
        <v>21.180429927300001</v>
      </c>
      <c r="I184" s="17" t="s">
        <v>115</v>
      </c>
    </row>
    <row r="185" spans="1:9" ht="15.6" x14ac:dyDescent="0.3">
      <c r="A185" s="17" t="s">
        <v>58</v>
      </c>
      <c r="B185" s="17" t="s">
        <v>63</v>
      </c>
      <c r="C185" s="17" t="s">
        <v>113</v>
      </c>
      <c r="D185" s="17" t="s">
        <v>114</v>
      </c>
      <c r="E185" s="17" t="s">
        <v>99</v>
      </c>
      <c r="F185" s="17" t="s">
        <v>145</v>
      </c>
      <c r="G185" s="17">
        <v>7.7386676399999996E-5</v>
      </c>
      <c r="H185" s="17">
        <v>7.3656000000000001E-5</v>
      </c>
      <c r="I185" s="17" t="s">
        <v>115</v>
      </c>
    </row>
    <row r="186" spans="1:9" ht="15.6" x14ac:dyDescent="0.3">
      <c r="A186" s="17" t="s">
        <v>58</v>
      </c>
      <c r="B186" s="17" t="s">
        <v>63</v>
      </c>
      <c r="C186" s="17" t="s">
        <v>113</v>
      </c>
      <c r="D186" s="17" t="s">
        <v>114</v>
      </c>
      <c r="E186" s="17" t="s">
        <v>99</v>
      </c>
      <c r="F186" s="17" t="s">
        <v>146</v>
      </c>
      <c r="G186" s="17">
        <v>6.9484103157400001E-2</v>
      </c>
      <c r="H186" s="17">
        <v>6.6134395999999998E-2</v>
      </c>
      <c r="I186" s="17" t="s">
        <v>115</v>
      </c>
    </row>
    <row r="187" spans="1:9" ht="15.6" x14ac:dyDescent="0.3">
      <c r="A187" s="17" t="s">
        <v>58</v>
      </c>
      <c r="B187" s="17" t="s">
        <v>63</v>
      </c>
      <c r="C187" s="17" t="s">
        <v>113</v>
      </c>
      <c r="D187" s="17" t="s">
        <v>114</v>
      </c>
      <c r="E187" s="17" t="s">
        <v>99</v>
      </c>
      <c r="F187" s="17" t="s">
        <v>147</v>
      </c>
      <c r="G187" s="17">
        <v>6.4637748281073604</v>
      </c>
      <c r="H187" s="17">
        <v>6.1521675420999999</v>
      </c>
      <c r="I187" s="17" t="s">
        <v>115</v>
      </c>
    </row>
    <row r="188" spans="1:9" ht="15.6" x14ac:dyDescent="0.3">
      <c r="A188" s="17" t="s">
        <v>58</v>
      </c>
      <c r="B188" s="17" t="s">
        <v>63</v>
      </c>
      <c r="C188" s="17" t="s">
        <v>113</v>
      </c>
      <c r="D188" s="17" t="s">
        <v>114</v>
      </c>
      <c r="E188" s="17" t="s">
        <v>99</v>
      </c>
      <c r="F188" s="17" t="s">
        <v>148</v>
      </c>
      <c r="G188" s="17">
        <v>636.17959493164199</v>
      </c>
      <c r="H188" s="17">
        <v>605.51048867999998</v>
      </c>
      <c r="I188" s="17" t="s">
        <v>115</v>
      </c>
    </row>
    <row r="189" spans="1:9" ht="15.6" x14ac:dyDescent="0.3">
      <c r="A189" s="17" t="s">
        <v>58</v>
      </c>
      <c r="B189" s="17" t="s">
        <v>63</v>
      </c>
      <c r="C189" s="17" t="s">
        <v>113</v>
      </c>
      <c r="D189" s="17" t="s">
        <v>114</v>
      </c>
      <c r="E189" s="17" t="s">
        <v>99</v>
      </c>
      <c r="F189" s="17" t="s">
        <v>149</v>
      </c>
      <c r="G189" s="17">
        <v>1.6219766596E-4</v>
      </c>
      <c r="H189" s="17">
        <v>1.5437839999999999E-4</v>
      </c>
      <c r="I189" s="17" t="s">
        <v>115</v>
      </c>
    </row>
    <row r="190" spans="1:9" ht="15.6" x14ac:dyDescent="0.3">
      <c r="A190" s="17" t="s">
        <v>58</v>
      </c>
      <c r="B190" s="17" t="s">
        <v>63</v>
      </c>
      <c r="C190" s="17" t="s">
        <v>113</v>
      </c>
      <c r="D190" s="17" t="s">
        <v>114</v>
      </c>
      <c r="E190" s="17" t="s">
        <v>99</v>
      </c>
      <c r="F190" s="17" t="s">
        <v>150</v>
      </c>
      <c r="G190" s="17">
        <v>1.9137117798019999E-2</v>
      </c>
      <c r="H190" s="17">
        <v>1.82145508E-2</v>
      </c>
      <c r="I190" s="17" t="s">
        <v>115</v>
      </c>
    </row>
    <row r="191" spans="1:9" ht="15.6" x14ac:dyDescent="0.3">
      <c r="A191" s="17" t="s">
        <v>58</v>
      </c>
      <c r="B191" s="17" t="s">
        <v>63</v>
      </c>
      <c r="C191" s="17" t="s">
        <v>113</v>
      </c>
      <c r="D191" s="17" t="s">
        <v>114</v>
      </c>
      <c r="E191" s="17" t="s">
        <v>99</v>
      </c>
      <c r="F191" s="17" t="s">
        <v>151</v>
      </c>
      <c r="G191" s="17">
        <v>3.5405252686872299</v>
      </c>
      <c r="H191" s="17">
        <v>3.3698427342000001</v>
      </c>
      <c r="I191" s="17" t="s">
        <v>115</v>
      </c>
    </row>
    <row r="192" spans="1:9" ht="15.6" x14ac:dyDescent="0.3">
      <c r="A192" s="17" t="s">
        <v>58</v>
      </c>
      <c r="B192" s="17" t="s">
        <v>63</v>
      </c>
      <c r="C192" s="17" t="s">
        <v>113</v>
      </c>
      <c r="D192" s="17" t="s">
        <v>114</v>
      </c>
      <c r="E192" s="17" t="s">
        <v>99</v>
      </c>
      <c r="F192" s="17" t="s">
        <v>152</v>
      </c>
      <c r="G192" s="17">
        <v>29.071972770456998</v>
      </c>
      <c r="H192" s="17">
        <v>27.670463779999999</v>
      </c>
      <c r="I192" s="17" t="s">
        <v>115</v>
      </c>
    </row>
    <row r="193" spans="1:9" ht="15.6" x14ac:dyDescent="0.3">
      <c r="A193" s="17" t="s">
        <v>58</v>
      </c>
      <c r="B193" s="17" t="s">
        <v>63</v>
      </c>
      <c r="C193" s="17" t="s">
        <v>113</v>
      </c>
      <c r="D193" s="17" t="s">
        <v>114</v>
      </c>
      <c r="E193" s="17" t="s">
        <v>99</v>
      </c>
      <c r="F193" s="17" t="s">
        <v>153</v>
      </c>
      <c r="G193" s="17">
        <v>1.18109299981102</v>
      </c>
      <c r="H193" s="17">
        <v>1.1241545708</v>
      </c>
      <c r="I193" s="17" t="s">
        <v>115</v>
      </c>
    </row>
    <row r="194" spans="1:9" ht="15.6" x14ac:dyDescent="0.3">
      <c r="A194" s="17" t="s">
        <v>58</v>
      </c>
      <c r="B194" s="17" t="s">
        <v>63</v>
      </c>
      <c r="C194" s="17" t="s">
        <v>113</v>
      </c>
      <c r="D194" s="17" t="s">
        <v>114</v>
      </c>
      <c r="E194" s="17" t="s">
        <v>99</v>
      </c>
      <c r="F194" s="17" t="s">
        <v>154</v>
      </c>
      <c r="G194" s="17">
        <v>1.1646980280818E-2</v>
      </c>
      <c r="H194" s="17">
        <v>1.1085499719999999E-2</v>
      </c>
      <c r="I194" s="17" t="s">
        <v>115</v>
      </c>
    </row>
    <row r="195" spans="1:9" ht="15.6" x14ac:dyDescent="0.3">
      <c r="A195" s="17" t="s">
        <v>58</v>
      </c>
      <c r="B195" s="17" t="s">
        <v>63</v>
      </c>
      <c r="C195" s="17" t="s">
        <v>113</v>
      </c>
      <c r="D195" s="17" t="s">
        <v>114</v>
      </c>
      <c r="E195" s="17" t="s">
        <v>101</v>
      </c>
      <c r="F195" s="17" t="s">
        <v>170</v>
      </c>
      <c r="G195" s="17">
        <v>5.4626750800000003</v>
      </c>
      <c r="H195" s="17">
        <v>5.19932906296102</v>
      </c>
      <c r="I195" s="17" t="s">
        <v>115</v>
      </c>
    </row>
    <row r="196" spans="1:9" ht="15.6" x14ac:dyDescent="0.3">
      <c r="A196" s="17" t="s">
        <v>58</v>
      </c>
      <c r="B196" s="17" t="s">
        <v>63</v>
      </c>
      <c r="C196" s="17" t="s">
        <v>113</v>
      </c>
      <c r="D196" s="17" t="s">
        <v>114</v>
      </c>
      <c r="E196" s="17" t="s">
        <v>101</v>
      </c>
      <c r="F196" s="17" t="s">
        <v>171</v>
      </c>
      <c r="G196" s="17">
        <v>8.0001599999999992E-3</v>
      </c>
      <c r="H196" s="17">
        <v>7.6144862704040396E-3</v>
      </c>
      <c r="I196" s="17" t="s">
        <v>115</v>
      </c>
    </row>
    <row r="197" spans="1:9" ht="15.6" x14ac:dyDescent="0.3">
      <c r="A197" s="17" t="s">
        <v>58</v>
      </c>
      <c r="B197" s="17" t="s">
        <v>63</v>
      </c>
      <c r="C197" s="17" t="s">
        <v>113</v>
      </c>
      <c r="D197" s="17" t="s">
        <v>114</v>
      </c>
      <c r="E197" s="17" t="s">
        <v>101</v>
      </c>
      <c r="F197" s="17" t="s">
        <v>157</v>
      </c>
      <c r="G197" s="17">
        <v>1498.25000120291</v>
      </c>
      <c r="H197" s="17">
        <v>1426.0219875343</v>
      </c>
      <c r="I197" s="17" t="s">
        <v>115</v>
      </c>
    </row>
    <row r="198" spans="1:9" ht="15.6" x14ac:dyDescent="0.3">
      <c r="A198" s="17" t="s">
        <v>58</v>
      </c>
      <c r="B198" s="17" t="s">
        <v>63</v>
      </c>
      <c r="C198" s="17" t="s">
        <v>113</v>
      </c>
      <c r="D198" s="17" t="s">
        <v>114</v>
      </c>
      <c r="E198" s="17" t="s">
        <v>101</v>
      </c>
      <c r="F198" s="17" t="s">
        <v>158</v>
      </c>
      <c r="G198" s="17">
        <v>424.04437441593598</v>
      </c>
      <c r="H198" s="17">
        <v>403.60193634030003</v>
      </c>
      <c r="I198" s="17" t="s">
        <v>115</v>
      </c>
    </row>
    <row r="199" spans="1:9" ht="15.6" x14ac:dyDescent="0.3">
      <c r="A199" s="17" t="s">
        <v>58</v>
      </c>
      <c r="B199" s="17" t="s">
        <v>63</v>
      </c>
      <c r="C199" s="17" t="s">
        <v>113</v>
      </c>
      <c r="D199" s="17" t="s">
        <v>114</v>
      </c>
      <c r="E199" s="17" t="s">
        <v>101</v>
      </c>
      <c r="F199" s="17" t="s">
        <v>159</v>
      </c>
      <c r="G199" s="17">
        <v>20.215354437698402</v>
      </c>
      <c r="H199" s="17">
        <v>19.240807535999998</v>
      </c>
      <c r="I199" s="17" t="s">
        <v>115</v>
      </c>
    </row>
    <row r="200" spans="1:9" ht="15.6" x14ac:dyDescent="0.3">
      <c r="A200" s="17" t="s">
        <v>58</v>
      </c>
      <c r="B200" s="17" t="s">
        <v>63</v>
      </c>
      <c r="C200" s="17" t="s">
        <v>113</v>
      </c>
      <c r="D200" s="17" t="s">
        <v>114</v>
      </c>
      <c r="E200" s="17" t="s">
        <v>101</v>
      </c>
      <c r="F200" s="17" t="s">
        <v>160</v>
      </c>
      <c r="G200" s="17">
        <v>547.66787186399301</v>
      </c>
      <c r="H200" s="17">
        <v>521.26576106599998</v>
      </c>
      <c r="I200" s="17" t="s">
        <v>115</v>
      </c>
    </row>
    <row r="201" spans="1:9" ht="15.6" x14ac:dyDescent="0.3">
      <c r="A201" s="17" t="s">
        <v>58</v>
      </c>
      <c r="B201" s="17" t="s">
        <v>63</v>
      </c>
      <c r="C201" s="17" t="s">
        <v>113</v>
      </c>
      <c r="D201" s="17" t="s">
        <v>114</v>
      </c>
      <c r="E201" s="17" t="s">
        <v>101</v>
      </c>
      <c r="F201" s="17" t="s">
        <v>161</v>
      </c>
      <c r="G201" s="17">
        <v>83.223519863472802</v>
      </c>
      <c r="H201" s="17">
        <v>79.211459442700004</v>
      </c>
      <c r="I201" s="17" t="s">
        <v>115</v>
      </c>
    </row>
    <row r="202" spans="1:9" ht="15.6" x14ac:dyDescent="0.3">
      <c r="A202" s="17" t="s">
        <v>58</v>
      </c>
      <c r="B202" s="17" t="s">
        <v>63</v>
      </c>
      <c r="C202" s="17" t="s">
        <v>113</v>
      </c>
      <c r="D202" s="17" t="s">
        <v>114</v>
      </c>
      <c r="E202" s="17" t="s">
        <v>101</v>
      </c>
      <c r="F202" s="17" t="s">
        <v>162</v>
      </c>
      <c r="G202" s="17">
        <v>130.468831973113</v>
      </c>
      <c r="H202" s="17">
        <v>124.17915763871299</v>
      </c>
      <c r="I202" s="17" t="s">
        <v>115</v>
      </c>
    </row>
    <row r="203" spans="1:9" ht="15.6" x14ac:dyDescent="0.3">
      <c r="A203" s="17" t="s">
        <v>58</v>
      </c>
      <c r="B203" s="17" t="s">
        <v>63</v>
      </c>
      <c r="C203" s="17" t="s">
        <v>113</v>
      </c>
      <c r="D203" s="17" t="s">
        <v>114</v>
      </c>
      <c r="E203" s="17" t="s">
        <v>101</v>
      </c>
      <c r="F203" s="17" t="s">
        <v>163</v>
      </c>
      <c r="G203" s="17">
        <v>224.596215455672</v>
      </c>
      <c r="H203" s="17">
        <v>213.76882449499999</v>
      </c>
      <c r="I203" s="17" t="s">
        <v>115</v>
      </c>
    </row>
    <row r="204" spans="1:9" ht="15.6" x14ac:dyDescent="0.3">
      <c r="A204" s="17" t="s">
        <v>58</v>
      </c>
      <c r="B204" s="17" t="s">
        <v>63</v>
      </c>
      <c r="C204" s="17" t="s">
        <v>113</v>
      </c>
      <c r="D204" s="17" t="s">
        <v>114</v>
      </c>
      <c r="E204" s="17" t="s">
        <v>101</v>
      </c>
      <c r="F204" s="17" t="s">
        <v>164</v>
      </c>
      <c r="G204" s="17">
        <v>6.1164813021795002E-2</v>
      </c>
      <c r="H204" s="17">
        <v>5.8216164299999998E-2</v>
      </c>
      <c r="I204" s="17" t="s">
        <v>115</v>
      </c>
    </row>
    <row r="205" spans="1:9" ht="15.6" x14ac:dyDescent="0.3">
      <c r="A205" s="17" t="s">
        <v>58</v>
      </c>
      <c r="B205" s="17" t="s">
        <v>63</v>
      </c>
      <c r="C205" s="17" t="s">
        <v>113</v>
      </c>
      <c r="D205" s="17" t="s">
        <v>114</v>
      </c>
      <c r="E205" s="17" t="s">
        <v>102</v>
      </c>
      <c r="F205" s="17" t="s">
        <v>165</v>
      </c>
      <c r="G205" s="17">
        <v>19.4735845701965</v>
      </c>
      <c r="H205" s="17">
        <v>18.534797097222199</v>
      </c>
      <c r="I205" s="17" t="s">
        <v>115</v>
      </c>
    </row>
    <row r="206" spans="1:9" ht="15.6" x14ac:dyDescent="0.3">
      <c r="A206" s="17" t="s">
        <v>58</v>
      </c>
      <c r="B206" s="17" t="s">
        <v>63</v>
      </c>
      <c r="C206" s="17" t="s">
        <v>113</v>
      </c>
      <c r="D206" s="17" t="s">
        <v>114</v>
      </c>
      <c r="E206" s="17" t="s">
        <v>102</v>
      </c>
      <c r="F206" s="17" t="s">
        <v>166</v>
      </c>
      <c r="G206" s="17">
        <v>419.55101729021197</v>
      </c>
      <c r="H206" s="17">
        <v>399.32519610737302</v>
      </c>
      <c r="I206" s="17" t="s">
        <v>115</v>
      </c>
    </row>
    <row r="207" spans="1:9" ht="15.6" x14ac:dyDescent="0.3">
      <c r="A207" s="17" t="s">
        <v>58</v>
      </c>
      <c r="B207" s="17" t="s">
        <v>63</v>
      </c>
      <c r="C207" s="17" t="s">
        <v>113</v>
      </c>
      <c r="D207" s="17" t="s">
        <v>114</v>
      </c>
      <c r="E207" s="17" t="s">
        <v>103</v>
      </c>
      <c r="F207" s="17" t="s">
        <v>103</v>
      </c>
      <c r="G207" s="17">
        <v>3.6263017155345798</v>
      </c>
      <c r="H207" s="17">
        <v>3.4514840484791098</v>
      </c>
      <c r="I207" s="17" t="s">
        <v>115</v>
      </c>
    </row>
    <row r="208" spans="1:9" ht="15.6" x14ac:dyDescent="0.3">
      <c r="A208" s="17" t="s">
        <v>58</v>
      </c>
      <c r="B208" s="17" t="s">
        <v>63</v>
      </c>
      <c r="C208" s="17" t="s">
        <v>167</v>
      </c>
      <c r="D208" s="17" t="s">
        <v>168</v>
      </c>
      <c r="E208" s="17" t="s">
        <v>100</v>
      </c>
      <c r="F208" s="17" t="s">
        <v>100</v>
      </c>
      <c r="G208" s="17">
        <v>0</v>
      </c>
      <c r="H208" s="17">
        <v>0</v>
      </c>
      <c r="I208" s="17" t="s">
        <v>115</v>
      </c>
    </row>
    <row r="209" spans="1:9" ht="15.6" x14ac:dyDescent="0.3">
      <c r="A209" s="17" t="s">
        <v>58</v>
      </c>
      <c r="B209" s="17" t="s">
        <v>63</v>
      </c>
      <c r="C209" s="17" t="s">
        <v>167</v>
      </c>
      <c r="D209" s="17" t="s">
        <v>114</v>
      </c>
      <c r="E209" s="17" t="s">
        <v>100</v>
      </c>
      <c r="F209" s="17" t="s">
        <v>100</v>
      </c>
      <c r="G209" s="17">
        <v>247.01201760000001</v>
      </c>
      <c r="H209" s="17">
        <v>235.10400000000001</v>
      </c>
      <c r="I209" s="17" t="s">
        <v>115</v>
      </c>
    </row>
    <row r="210" spans="1:9" ht="15.6" x14ac:dyDescent="0.3">
      <c r="A210" s="17" t="s">
        <v>58</v>
      </c>
      <c r="B210" s="17" t="s">
        <v>64</v>
      </c>
      <c r="C210" s="17" t="s">
        <v>113</v>
      </c>
      <c r="D210" s="17" t="s">
        <v>114</v>
      </c>
      <c r="E210" s="17" t="s">
        <v>71</v>
      </c>
      <c r="F210" s="17" t="s">
        <v>71</v>
      </c>
      <c r="G210" s="17">
        <v>45.869903999999998</v>
      </c>
      <c r="H210" s="17">
        <v>42.48</v>
      </c>
      <c r="I210" s="17" t="s">
        <v>115</v>
      </c>
    </row>
    <row r="211" spans="1:9" ht="15.6" x14ac:dyDescent="0.3">
      <c r="A211" s="17" t="s">
        <v>58</v>
      </c>
      <c r="B211" s="17" t="s">
        <v>64</v>
      </c>
      <c r="C211" s="17" t="s">
        <v>113</v>
      </c>
      <c r="D211" s="17" t="s">
        <v>114</v>
      </c>
      <c r="E211" s="17" t="s">
        <v>72</v>
      </c>
      <c r="F211" s="17" t="s">
        <v>116</v>
      </c>
      <c r="G211" s="17">
        <v>173.47375728</v>
      </c>
      <c r="H211" s="17">
        <v>160.65360000000001</v>
      </c>
      <c r="I211" s="17" t="s">
        <v>115</v>
      </c>
    </row>
    <row r="212" spans="1:9" ht="15.6" x14ac:dyDescent="0.3">
      <c r="A212" s="17" t="s">
        <v>58</v>
      </c>
      <c r="B212" s="17" t="s">
        <v>64</v>
      </c>
      <c r="C212" s="17" t="s">
        <v>113</v>
      </c>
      <c r="D212" s="17" t="s">
        <v>114</v>
      </c>
      <c r="E212" s="17" t="s">
        <v>73</v>
      </c>
      <c r="F212" s="17" t="s">
        <v>117</v>
      </c>
      <c r="G212" s="17">
        <v>0</v>
      </c>
      <c r="H212" s="17">
        <v>0</v>
      </c>
      <c r="I212" s="17" t="s">
        <v>115</v>
      </c>
    </row>
    <row r="213" spans="1:9" ht="15.6" x14ac:dyDescent="0.3">
      <c r="A213" s="17" t="s">
        <v>58</v>
      </c>
      <c r="B213" s="17" t="s">
        <v>64</v>
      </c>
      <c r="C213" s="17" t="s">
        <v>113</v>
      </c>
      <c r="D213" s="17" t="s">
        <v>114</v>
      </c>
      <c r="E213" s="17" t="s">
        <v>73</v>
      </c>
      <c r="F213" s="17" t="s">
        <v>118</v>
      </c>
      <c r="G213" s="17">
        <v>358.88402321473302</v>
      </c>
      <c r="H213" s="17">
        <v>332.36156993399999</v>
      </c>
      <c r="I213" s="17" t="s">
        <v>115</v>
      </c>
    </row>
    <row r="214" spans="1:9" ht="15.6" x14ac:dyDescent="0.3">
      <c r="A214" s="17" t="s">
        <v>58</v>
      </c>
      <c r="B214" s="17" t="s">
        <v>64</v>
      </c>
      <c r="C214" s="17" t="s">
        <v>113</v>
      </c>
      <c r="D214" s="17" t="s">
        <v>114</v>
      </c>
      <c r="E214" s="17" t="s">
        <v>73</v>
      </c>
      <c r="F214" s="17" t="s">
        <v>119</v>
      </c>
      <c r="G214" s="17">
        <v>1741.50144</v>
      </c>
      <c r="H214" s="17">
        <v>1612.8</v>
      </c>
      <c r="I214" s="17" t="s">
        <v>115</v>
      </c>
    </row>
    <row r="215" spans="1:9" ht="15.6" x14ac:dyDescent="0.3">
      <c r="A215" s="17" t="s">
        <v>58</v>
      </c>
      <c r="B215" s="17" t="s">
        <v>64</v>
      </c>
      <c r="C215" s="17" t="s">
        <v>113</v>
      </c>
      <c r="D215" s="17" t="s">
        <v>114</v>
      </c>
      <c r="E215" s="17" t="s">
        <v>73</v>
      </c>
      <c r="F215" s="17" t="s">
        <v>120</v>
      </c>
      <c r="G215" s="17">
        <v>20.444667978197199</v>
      </c>
      <c r="H215" s="17">
        <v>18.933754378771201</v>
      </c>
      <c r="I215" s="17" t="s">
        <v>115</v>
      </c>
    </row>
    <row r="216" spans="1:9" ht="15.6" x14ac:dyDescent="0.3">
      <c r="A216" s="17" t="s">
        <v>58</v>
      </c>
      <c r="B216" s="17" t="s">
        <v>64</v>
      </c>
      <c r="C216" s="17" t="s">
        <v>113</v>
      </c>
      <c r="D216" s="17" t="s">
        <v>114</v>
      </c>
      <c r="E216" s="17" t="s">
        <v>74</v>
      </c>
      <c r="F216" s="17" t="s">
        <v>121</v>
      </c>
      <c r="G216" s="17">
        <v>9.0214632612199992</v>
      </c>
      <c r="H216" s="17">
        <v>8.3547539000000004</v>
      </c>
      <c r="I216" s="17" t="s">
        <v>115</v>
      </c>
    </row>
    <row r="217" spans="1:9" ht="15.6" x14ac:dyDescent="0.3">
      <c r="A217" s="17" t="s">
        <v>58</v>
      </c>
      <c r="B217" s="17" t="s">
        <v>64</v>
      </c>
      <c r="C217" s="17" t="s">
        <v>113</v>
      </c>
      <c r="D217" s="17" t="s">
        <v>114</v>
      </c>
      <c r="E217" s="17" t="s">
        <v>76</v>
      </c>
      <c r="F217" s="17" t="s">
        <v>122</v>
      </c>
      <c r="G217" s="17">
        <v>139.164624</v>
      </c>
      <c r="H217" s="17">
        <v>128.88</v>
      </c>
      <c r="I217" s="17" t="s">
        <v>115</v>
      </c>
    </row>
    <row r="218" spans="1:9" ht="15.6" x14ac:dyDescent="0.3">
      <c r="A218" s="17" t="s">
        <v>58</v>
      </c>
      <c r="B218" s="17" t="s">
        <v>64</v>
      </c>
      <c r="C218" s="17" t="s">
        <v>113</v>
      </c>
      <c r="D218" s="17" t="s">
        <v>114</v>
      </c>
      <c r="E218" s="17" t="s">
        <v>80</v>
      </c>
      <c r="F218" s="17" t="s">
        <v>80</v>
      </c>
      <c r="G218" s="17">
        <v>0.642915591355536</v>
      </c>
      <c r="H218" s="17">
        <v>0.59540247393548396</v>
      </c>
      <c r="I218" s="17" t="s">
        <v>115</v>
      </c>
    </row>
    <row r="219" spans="1:9" ht="15.6" x14ac:dyDescent="0.3">
      <c r="A219" s="17" t="s">
        <v>58</v>
      </c>
      <c r="B219" s="17" t="s">
        <v>64</v>
      </c>
      <c r="C219" s="17" t="s">
        <v>113</v>
      </c>
      <c r="D219" s="17" t="s">
        <v>114</v>
      </c>
      <c r="E219" s="17" t="s">
        <v>77</v>
      </c>
      <c r="F219" s="17" t="s">
        <v>77</v>
      </c>
      <c r="G219" s="17">
        <v>4.3363959769699996</v>
      </c>
      <c r="H219" s="17">
        <v>4.0159251500000002</v>
      </c>
      <c r="I219" s="17" t="s">
        <v>115</v>
      </c>
    </row>
    <row r="220" spans="1:9" ht="15.6" x14ac:dyDescent="0.3">
      <c r="A220" s="17" t="s">
        <v>58</v>
      </c>
      <c r="B220" s="17" t="s">
        <v>64</v>
      </c>
      <c r="C220" s="17" t="s">
        <v>113</v>
      </c>
      <c r="D220" s="17" t="s">
        <v>114</v>
      </c>
      <c r="E220" s="17" t="s">
        <v>78</v>
      </c>
      <c r="F220" s="17" t="s">
        <v>123</v>
      </c>
      <c r="G220" s="17">
        <v>13.4905799913978</v>
      </c>
      <c r="H220" s="17">
        <v>12.493591397849499</v>
      </c>
      <c r="I220" s="17" t="s">
        <v>115</v>
      </c>
    </row>
    <row r="221" spans="1:9" ht="15.6" x14ac:dyDescent="0.3">
      <c r="A221" s="17" t="s">
        <v>58</v>
      </c>
      <c r="B221" s="17" t="s">
        <v>64</v>
      </c>
      <c r="C221" s="17" t="s">
        <v>113</v>
      </c>
      <c r="D221" s="17" t="s">
        <v>114</v>
      </c>
      <c r="E221" s="17" t="s">
        <v>78</v>
      </c>
      <c r="F221" s="17" t="s">
        <v>124</v>
      </c>
      <c r="G221" s="17">
        <v>194.09405000000001</v>
      </c>
      <c r="H221" s="17">
        <v>179.75</v>
      </c>
      <c r="I221" s="17" t="s">
        <v>115</v>
      </c>
    </row>
    <row r="222" spans="1:9" ht="15.6" x14ac:dyDescent="0.3">
      <c r="A222" s="17" t="s">
        <v>58</v>
      </c>
      <c r="B222" s="17" t="s">
        <v>64</v>
      </c>
      <c r="C222" s="17" t="s">
        <v>113</v>
      </c>
      <c r="D222" s="17" t="s">
        <v>114</v>
      </c>
      <c r="E222" s="17" t="s">
        <v>78</v>
      </c>
      <c r="F222" s="17" t="s">
        <v>125</v>
      </c>
      <c r="G222" s="17">
        <v>186.01973752000001</v>
      </c>
      <c r="H222" s="17">
        <v>172.2724</v>
      </c>
      <c r="I222" s="17" t="s">
        <v>115</v>
      </c>
    </row>
    <row r="223" spans="1:9" ht="15.6" x14ac:dyDescent="0.3">
      <c r="A223" s="17" t="s">
        <v>58</v>
      </c>
      <c r="B223" s="17" t="s">
        <v>64</v>
      </c>
      <c r="C223" s="17" t="s">
        <v>113</v>
      </c>
      <c r="D223" s="17" t="s">
        <v>114</v>
      </c>
      <c r="E223" s="17" t="s">
        <v>79</v>
      </c>
      <c r="F223" s="17" t="s">
        <v>126</v>
      </c>
      <c r="G223" s="17">
        <v>3136.9561480992302</v>
      </c>
      <c r="H223" s="17">
        <v>2905.1270125015999</v>
      </c>
      <c r="I223" s="17" t="s">
        <v>115</v>
      </c>
    </row>
    <row r="224" spans="1:9" ht="15.6" x14ac:dyDescent="0.3">
      <c r="A224" s="17" t="s">
        <v>58</v>
      </c>
      <c r="B224" s="17" t="s">
        <v>64</v>
      </c>
      <c r="C224" s="17" t="s">
        <v>113</v>
      </c>
      <c r="D224" s="17" t="s">
        <v>114</v>
      </c>
      <c r="E224" s="17" t="s">
        <v>79</v>
      </c>
      <c r="F224" s="17" t="s">
        <v>79</v>
      </c>
      <c r="G224" s="17">
        <v>1687.5113615002599</v>
      </c>
      <c r="H224" s="17">
        <v>1562.7999273016001</v>
      </c>
      <c r="I224" s="17" t="s">
        <v>115</v>
      </c>
    </row>
    <row r="225" spans="1:9" ht="15.6" x14ac:dyDescent="0.3">
      <c r="A225" s="17" t="s">
        <v>58</v>
      </c>
      <c r="B225" s="17" t="s">
        <v>64</v>
      </c>
      <c r="C225" s="17" t="s">
        <v>113</v>
      </c>
      <c r="D225" s="17" t="s">
        <v>114</v>
      </c>
      <c r="E225" s="17" t="s">
        <v>81</v>
      </c>
      <c r="F225" s="17" t="s">
        <v>81</v>
      </c>
      <c r="G225" s="17">
        <v>222.69751891568399</v>
      </c>
      <c r="H225" s="17">
        <v>206.23959892172999</v>
      </c>
      <c r="I225" s="17" t="s">
        <v>115</v>
      </c>
    </row>
    <row r="226" spans="1:9" ht="15.6" x14ac:dyDescent="0.3">
      <c r="A226" s="17" t="s">
        <v>58</v>
      </c>
      <c r="B226" s="17" t="s">
        <v>64</v>
      </c>
      <c r="C226" s="17" t="s">
        <v>113</v>
      </c>
      <c r="D226" s="17" t="s">
        <v>114</v>
      </c>
      <c r="E226" s="17" t="s">
        <v>82</v>
      </c>
      <c r="F226" s="17" t="s">
        <v>82</v>
      </c>
      <c r="G226" s="17">
        <v>80.992077751112106</v>
      </c>
      <c r="H226" s="17">
        <v>75.006554687082897</v>
      </c>
      <c r="I226" s="17" t="s">
        <v>115</v>
      </c>
    </row>
    <row r="227" spans="1:9" ht="15.6" x14ac:dyDescent="0.3">
      <c r="A227" s="17" t="s">
        <v>58</v>
      </c>
      <c r="B227" s="17" t="s">
        <v>64</v>
      </c>
      <c r="C227" s="17" t="s">
        <v>113</v>
      </c>
      <c r="D227" s="17" t="s">
        <v>114</v>
      </c>
      <c r="E227" s="17" t="s">
        <v>83</v>
      </c>
      <c r="F227" s="17" t="s">
        <v>127</v>
      </c>
      <c r="G227" s="17">
        <v>2.3463652435626101</v>
      </c>
      <c r="H227" s="17">
        <v>2.1729628112267201</v>
      </c>
      <c r="I227" s="17" t="s">
        <v>115</v>
      </c>
    </row>
    <row r="228" spans="1:9" ht="15.6" x14ac:dyDescent="0.3">
      <c r="A228" s="17" t="s">
        <v>58</v>
      </c>
      <c r="B228" s="17" t="s">
        <v>64</v>
      </c>
      <c r="C228" s="17" t="s">
        <v>113</v>
      </c>
      <c r="D228" s="17" t="s">
        <v>114</v>
      </c>
      <c r="E228" s="17" t="s">
        <v>83</v>
      </c>
      <c r="F228" s="17" t="s">
        <v>128</v>
      </c>
      <c r="G228" s="17">
        <v>47.880286686369097</v>
      </c>
      <c r="H228" s="17">
        <v>44.341810230013998</v>
      </c>
      <c r="I228" s="17" t="s">
        <v>115</v>
      </c>
    </row>
    <row r="229" spans="1:9" ht="15.6" x14ac:dyDescent="0.3">
      <c r="A229" s="17" t="s">
        <v>58</v>
      </c>
      <c r="B229" s="17" t="s">
        <v>64</v>
      </c>
      <c r="C229" s="17" t="s">
        <v>113</v>
      </c>
      <c r="D229" s="17" t="s">
        <v>114</v>
      </c>
      <c r="E229" s="17" t="s">
        <v>84</v>
      </c>
      <c r="F229" s="17" t="s">
        <v>172</v>
      </c>
      <c r="G229" s="17">
        <v>0.21658272022808001</v>
      </c>
      <c r="H229" s="17">
        <v>0.20057669959999999</v>
      </c>
      <c r="I229" s="17" t="s">
        <v>115</v>
      </c>
    </row>
    <row r="230" spans="1:9" ht="15.6" x14ac:dyDescent="0.3">
      <c r="A230" s="17" t="s">
        <v>58</v>
      </c>
      <c r="B230" s="17" t="s">
        <v>64</v>
      </c>
      <c r="C230" s="17" t="s">
        <v>113</v>
      </c>
      <c r="D230" s="17" t="s">
        <v>114</v>
      </c>
      <c r="E230" s="17" t="s">
        <v>84</v>
      </c>
      <c r="F230" s="17" t="s">
        <v>129</v>
      </c>
      <c r="G230" s="17">
        <v>3837.6825138488798</v>
      </c>
      <c r="H230" s="17">
        <v>3554.0678957667001</v>
      </c>
      <c r="I230" s="17" t="s">
        <v>115</v>
      </c>
    </row>
    <row r="231" spans="1:9" ht="15.6" x14ac:dyDescent="0.3">
      <c r="A231" s="17" t="s">
        <v>58</v>
      </c>
      <c r="B231" s="17" t="s">
        <v>64</v>
      </c>
      <c r="C231" s="17" t="s">
        <v>113</v>
      </c>
      <c r="D231" s="17" t="s">
        <v>114</v>
      </c>
      <c r="E231" s="17" t="s">
        <v>85</v>
      </c>
      <c r="F231" s="17" t="s">
        <v>85</v>
      </c>
      <c r="G231" s="17">
        <v>107.64588911760301</v>
      </c>
      <c r="H231" s="17">
        <v>99.690580771997602</v>
      </c>
      <c r="I231" s="17" t="s">
        <v>115</v>
      </c>
    </row>
    <row r="232" spans="1:9" ht="15.6" x14ac:dyDescent="0.3">
      <c r="A232" s="17" t="s">
        <v>58</v>
      </c>
      <c r="B232" s="17" t="s">
        <v>64</v>
      </c>
      <c r="C232" s="17" t="s">
        <v>113</v>
      </c>
      <c r="D232" s="17" t="s">
        <v>114</v>
      </c>
      <c r="E232" s="17" t="s">
        <v>86</v>
      </c>
      <c r="F232" s="17" t="s">
        <v>86</v>
      </c>
      <c r="G232" s="17">
        <v>3.77478418663635E-4</v>
      </c>
      <c r="H232" s="17">
        <v>3.4958179168701202E-4</v>
      </c>
      <c r="I232" s="17" t="s">
        <v>115</v>
      </c>
    </row>
    <row r="233" spans="1:9" ht="15.6" x14ac:dyDescent="0.3">
      <c r="A233" s="17" t="s">
        <v>58</v>
      </c>
      <c r="B233" s="17" t="s">
        <v>64</v>
      </c>
      <c r="C233" s="17" t="s">
        <v>113</v>
      </c>
      <c r="D233" s="17" t="s">
        <v>114</v>
      </c>
      <c r="E233" s="17" t="s">
        <v>87</v>
      </c>
      <c r="F233" s="17" t="s">
        <v>87</v>
      </c>
      <c r="G233" s="17">
        <v>2.882892805479</v>
      </c>
      <c r="H233" s="17">
        <v>2.6698396049999999</v>
      </c>
      <c r="I233" s="17" t="s">
        <v>115</v>
      </c>
    </row>
    <row r="234" spans="1:9" ht="15.6" x14ac:dyDescent="0.3">
      <c r="A234" s="17" t="s">
        <v>58</v>
      </c>
      <c r="B234" s="17" t="s">
        <v>64</v>
      </c>
      <c r="C234" s="17" t="s">
        <v>113</v>
      </c>
      <c r="D234" s="17" t="s">
        <v>114</v>
      </c>
      <c r="E234" s="17" t="s">
        <v>88</v>
      </c>
      <c r="F234" s="17" t="s">
        <v>88</v>
      </c>
      <c r="G234" s="17">
        <v>12.3812802037959</v>
      </c>
      <c r="H234" s="17">
        <v>11.4662717205</v>
      </c>
      <c r="I234" s="17" t="s">
        <v>115</v>
      </c>
    </row>
    <row r="235" spans="1:9" ht="15.6" x14ac:dyDescent="0.3">
      <c r="A235" s="17" t="s">
        <v>58</v>
      </c>
      <c r="B235" s="17" t="s">
        <v>64</v>
      </c>
      <c r="C235" s="17" t="s">
        <v>113</v>
      </c>
      <c r="D235" s="17" t="s">
        <v>114</v>
      </c>
      <c r="E235" s="17" t="s">
        <v>89</v>
      </c>
      <c r="F235" s="17" t="s">
        <v>89</v>
      </c>
      <c r="G235" s="17">
        <v>0.62507873803799996</v>
      </c>
      <c r="H235" s="17">
        <v>0.57888381</v>
      </c>
      <c r="I235" s="17" t="s">
        <v>115</v>
      </c>
    </row>
    <row r="236" spans="1:9" ht="15.6" x14ac:dyDescent="0.3">
      <c r="A236" s="17" t="s">
        <v>58</v>
      </c>
      <c r="B236" s="17" t="s">
        <v>64</v>
      </c>
      <c r="C236" s="17" t="s">
        <v>113</v>
      </c>
      <c r="D236" s="17" t="s">
        <v>114</v>
      </c>
      <c r="E236" s="17" t="s">
        <v>90</v>
      </c>
      <c r="F236" s="17" t="s">
        <v>90</v>
      </c>
      <c r="G236" s="17">
        <v>221.599256731016</v>
      </c>
      <c r="H236" s="17">
        <v>205.222501140041</v>
      </c>
      <c r="I236" s="17" t="s">
        <v>115</v>
      </c>
    </row>
    <row r="237" spans="1:9" ht="15.6" x14ac:dyDescent="0.3">
      <c r="A237" s="17" t="s">
        <v>58</v>
      </c>
      <c r="B237" s="17" t="s">
        <v>64</v>
      </c>
      <c r="C237" s="17" t="s">
        <v>113</v>
      </c>
      <c r="D237" s="17" t="s">
        <v>114</v>
      </c>
      <c r="E237" s="17" t="s">
        <v>91</v>
      </c>
      <c r="F237" s="17" t="s">
        <v>91</v>
      </c>
      <c r="G237" s="17">
        <v>15.0806752844409</v>
      </c>
      <c r="H237" s="17">
        <v>13.966174554955501</v>
      </c>
      <c r="I237" s="17" t="s">
        <v>115</v>
      </c>
    </row>
    <row r="238" spans="1:9" ht="15.6" x14ac:dyDescent="0.3">
      <c r="A238" s="17" t="s">
        <v>58</v>
      </c>
      <c r="B238" s="17" t="s">
        <v>64</v>
      </c>
      <c r="C238" s="17" t="s">
        <v>113</v>
      </c>
      <c r="D238" s="17" t="s">
        <v>114</v>
      </c>
      <c r="E238" s="17" t="s">
        <v>93</v>
      </c>
      <c r="F238" s="17" t="s">
        <v>130</v>
      </c>
      <c r="G238" s="17">
        <v>650.53128261079996</v>
      </c>
      <c r="H238" s="17">
        <v>602.45534599999996</v>
      </c>
      <c r="I238" s="17" t="s">
        <v>115</v>
      </c>
    </row>
    <row r="239" spans="1:9" ht="15.6" x14ac:dyDescent="0.3">
      <c r="A239" s="17" t="s">
        <v>58</v>
      </c>
      <c r="B239" s="17" t="s">
        <v>64</v>
      </c>
      <c r="C239" s="17" t="s">
        <v>113</v>
      </c>
      <c r="D239" s="17" t="s">
        <v>114</v>
      </c>
      <c r="E239" s="17" t="s">
        <v>93</v>
      </c>
      <c r="F239" s="17" t="s">
        <v>131</v>
      </c>
      <c r="G239" s="17">
        <v>183.9352916</v>
      </c>
      <c r="H239" s="17">
        <v>170.34200000000001</v>
      </c>
      <c r="I239" s="17" t="s">
        <v>115</v>
      </c>
    </row>
    <row r="240" spans="1:9" ht="15.6" x14ac:dyDescent="0.3">
      <c r="A240" s="17" t="s">
        <v>58</v>
      </c>
      <c r="B240" s="17" t="s">
        <v>64</v>
      </c>
      <c r="C240" s="17" t="s">
        <v>113</v>
      </c>
      <c r="D240" s="17" t="s">
        <v>114</v>
      </c>
      <c r="E240" s="17" t="s">
        <v>93</v>
      </c>
      <c r="F240" s="17" t="s">
        <v>132</v>
      </c>
      <c r="G240" s="17">
        <v>1.714679208</v>
      </c>
      <c r="H240" s="17">
        <v>1.58796</v>
      </c>
      <c r="I240" s="17" t="s">
        <v>115</v>
      </c>
    </row>
    <row r="241" spans="1:9" ht="15.6" x14ac:dyDescent="0.3">
      <c r="A241" s="17" t="s">
        <v>58</v>
      </c>
      <c r="B241" s="17" t="s">
        <v>64</v>
      </c>
      <c r="C241" s="17" t="s">
        <v>113</v>
      </c>
      <c r="D241" s="17" t="s">
        <v>114</v>
      </c>
      <c r="E241" s="17" t="s">
        <v>93</v>
      </c>
      <c r="F241" s="17" t="s">
        <v>133</v>
      </c>
      <c r="G241" s="17">
        <v>18.4702402419355</v>
      </c>
      <c r="H241" s="17">
        <v>17.1052419354839</v>
      </c>
      <c r="I241" s="17" t="s">
        <v>115</v>
      </c>
    </row>
    <row r="242" spans="1:9" ht="15.6" x14ac:dyDescent="0.3">
      <c r="A242" s="17" t="s">
        <v>58</v>
      </c>
      <c r="B242" s="17" t="s">
        <v>64</v>
      </c>
      <c r="C242" s="17" t="s">
        <v>113</v>
      </c>
      <c r="D242" s="17" t="s">
        <v>114</v>
      </c>
      <c r="E242" s="17" t="s">
        <v>93</v>
      </c>
      <c r="F242" s="17" t="s">
        <v>134</v>
      </c>
      <c r="G242" s="17">
        <v>3.1634684640000001</v>
      </c>
      <c r="H242" s="17">
        <v>2.9296799999999998</v>
      </c>
      <c r="I242" s="17" t="s">
        <v>115</v>
      </c>
    </row>
    <row r="243" spans="1:9" ht="15.6" x14ac:dyDescent="0.3">
      <c r="A243" s="17" t="s">
        <v>58</v>
      </c>
      <c r="B243" s="17" t="s">
        <v>64</v>
      </c>
      <c r="C243" s="17" t="s">
        <v>113</v>
      </c>
      <c r="D243" s="17" t="s">
        <v>114</v>
      </c>
      <c r="E243" s="17" t="s">
        <v>93</v>
      </c>
      <c r="F243" s="17" t="s">
        <v>135</v>
      </c>
      <c r="G243" s="17">
        <v>16.5179792580645</v>
      </c>
      <c r="H243" s="17">
        <v>15.2972580645161</v>
      </c>
      <c r="I243" s="17" t="s">
        <v>115</v>
      </c>
    </row>
    <row r="244" spans="1:9" ht="15.6" x14ac:dyDescent="0.3">
      <c r="A244" s="17" t="s">
        <v>58</v>
      </c>
      <c r="B244" s="17" t="s">
        <v>64</v>
      </c>
      <c r="C244" s="17" t="s">
        <v>113</v>
      </c>
      <c r="D244" s="17" t="s">
        <v>114</v>
      </c>
      <c r="E244" s="17" t="s">
        <v>93</v>
      </c>
      <c r="F244" s="17" t="s">
        <v>136</v>
      </c>
      <c r="G244" s="17">
        <v>248.983984132313</v>
      </c>
      <c r="H244" s="17">
        <v>230.58342668300901</v>
      </c>
      <c r="I244" s="17" t="s">
        <v>115</v>
      </c>
    </row>
    <row r="245" spans="1:9" ht="15.6" x14ac:dyDescent="0.3">
      <c r="A245" s="17" t="s">
        <v>58</v>
      </c>
      <c r="B245" s="17" t="s">
        <v>64</v>
      </c>
      <c r="C245" s="17" t="s">
        <v>113</v>
      </c>
      <c r="D245" s="17" t="s">
        <v>114</v>
      </c>
      <c r="E245" s="17" t="s">
        <v>93</v>
      </c>
      <c r="F245" s="17" t="s">
        <v>137</v>
      </c>
      <c r="G245" s="17">
        <v>126.40662503</v>
      </c>
      <c r="H245" s="17">
        <v>117.06485000000001</v>
      </c>
      <c r="I245" s="17" t="s">
        <v>115</v>
      </c>
    </row>
    <row r="246" spans="1:9" ht="15.6" x14ac:dyDescent="0.3">
      <c r="A246" s="17" t="s">
        <v>58</v>
      </c>
      <c r="B246" s="17" t="s">
        <v>64</v>
      </c>
      <c r="C246" s="17" t="s">
        <v>113</v>
      </c>
      <c r="D246" s="17" t="s">
        <v>114</v>
      </c>
      <c r="E246" s="17" t="s">
        <v>94</v>
      </c>
      <c r="F246" s="17" t="s">
        <v>94</v>
      </c>
      <c r="G246" s="17">
        <v>29.476224399496498</v>
      </c>
      <c r="H246" s="17">
        <v>27.297855528335401</v>
      </c>
      <c r="I246" s="17" t="s">
        <v>115</v>
      </c>
    </row>
    <row r="247" spans="1:9" ht="15.6" x14ac:dyDescent="0.3">
      <c r="A247" s="17" t="s">
        <v>58</v>
      </c>
      <c r="B247" s="17" t="s">
        <v>64</v>
      </c>
      <c r="C247" s="17" t="s">
        <v>113</v>
      </c>
      <c r="D247" s="17" t="s">
        <v>114</v>
      </c>
      <c r="E247" s="17" t="s">
        <v>95</v>
      </c>
      <c r="F247" s="17" t="s">
        <v>138</v>
      </c>
      <c r="G247" s="17">
        <v>441.12853439999998</v>
      </c>
      <c r="H247" s="17">
        <v>408.52800000000002</v>
      </c>
      <c r="I247" s="17" t="s">
        <v>115</v>
      </c>
    </row>
    <row r="248" spans="1:9" ht="15.6" x14ac:dyDescent="0.3">
      <c r="A248" s="17" t="s">
        <v>58</v>
      </c>
      <c r="B248" s="17" t="s">
        <v>64</v>
      </c>
      <c r="C248" s="17" t="s">
        <v>113</v>
      </c>
      <c r="D248" s="17" t="s">
        <v>114</v>
      </c>
      <c r="E248" s="17" t="s">
        <v>98</v>
      </c>
      <c r="F248" s="17" t="s">
        <v>139</v>
      </c>
      <c r="G248" s="17">
        <v>122.926231666666</v>
      </c>
      <c r="H248" s="17">
        <v>113.841666666666</v>
      </c>
      <c r="I248" s="17" t="s">
        <v>115</v>
      </c>
    </row>
    <row r="249" spans="1:9" ht="15.6" x14ac:dyDescent="0.3">
      <c r="A249" s="17" t="s">
        <v>58</v>
      </c>
      <c r="B249" s="17" t="s">
        <v>64</v>
      </c>
      <c r="C249" s="17" t="s">
        <v>113</v>
      </c>
      <c r="D249" s="17" t="s">
        <v>114</v>
      </c>
      <c r="E249" s="17" t="s">
        <v>98</v>
      </c>
      <c r="F249" s="17" t="s">
        <v>140</v>
      </c>
      <c r="G249" s="17">
        <v>3875.1898393333399</v>
      </c>
      <c r="H249" s="17">
        <v>3588.8033333333401</v>
      </c>
      <c r="I249" s="17" t="s">
        <v>115</v>
      </c>
    </row>
    <row r="250" spans="1:9" ht="15.6" x14ac:dyDescent="0.3">
      <c r="A250" s="17" t="s">
        <v>58</v>
      </c>
      <c r="B250" s="17" t="s">
        <v>64</v>
      </c>
      <c r="C250" s="17" t="s">
        <v>113</v>
      </c>
      <c r="D250" s="17" t="s">
        <v>114</v>
      </c>
      <c r="E250" s="17" t="s">
        <v>98</v>
      </c>
      <c r="F250" s="17" t="s">
        <v>141</v>
      </c>
      <c r="G250" s="17">
        <v>61.567467473118299</v>
      </c>
      <c r="H250" s="17">
        <v>57.017473118279597</v>
      </c>
      <c r="I250" s="17" t="s">
        <v>115</v>
      </c>
    </row>
    <row r="251" spans="1:9" ht="15.6" x14ac:dyDescent="0.3">
      <c r="A251" s="17" t="s">
        <v>58</v>
      </c>
      <c r="B251" s="17" t="s">
        <v>64</v>
      </c>
      <c r="C251" s="17" t="s">
        <v>113</v>
      </c>
      <c r="D251" s="17" t="s">
        <v>114</v>
      </c>
      <c r="E251" s="17" t="s">
        <v>96</v>
      </c>
      <c r="F251" s="17" t="s">
        <v>96</v>
      </c>
      <c r="G251" s="17">
        <v>28.324190441710801</v>
      </c>
      <c r="H251" s="17">
        <v>26.230959846000001</v>
      </c>
      <c r="I251" s="17" t="s">
        <v>115</v>
      </c>
    </row>
    <row r="252" spans="1:9" ht="15.6" x14ac:dyDescent="0.3">
      <c r="A252" s="17" t="s">
        <v>58</v>
      </c>
      <c r="B252" s="17" t="s">
        <v>64</v>
      </c>
      <c r="C252" s="17" t="s">
        <v>113</v>
      </c>
      <c r="D252" s="17" t="s">
        <v>114</v>
      </c>
      <c r="E252" s="17" t="s">
        <v>97</v>
      </c>
      <c r="F252" s="17" t="s">
        <v>97</v>
      </c>
      <c r="G252" s="17">
        <v>123.0972</v>
      </c>
      <c r="H252" s="17">
        <v>114</v>
      </c>
      <c r="I252" s="17" t="s">
        <v>115</v>
      </c>
    </row>
    <row r="253" spans="1:9" ht="15.6" x14ac:dyDescent="0.3">
      <c r="A253" s="17" t="s">
        <v>58</v>
      </c>
      <c r="B253" s="17" t="s">
        <v>64</v>
      </c>
      <c r="C253" s="17" t="s">
        <v>113</v>
      </c>
      <c r="D253" s="17" t="s">
        <v>114</v>
      </c>
      <c r="E253" s="17" t="s">
        <v>99</v>
      </c>
      <c r="F253" s="17" t="s">
        <v>142</v>
      </c>
      <c r="G253" s="17">
        <v>94.687473275795398</v>
      </c>
      <c r="H253" s="17">
        <v>87.689825223</v>
      </c>
      <c r="I253" s="17" t="s">
        <v>115</v>
      </c>
    </row>
    <row r="254" spans="1:9" ht="15.6" x14ac:dyDescent="0.3">
      <c r="A254" s="17" t="s">
        <v>58</v>
      </c>
      <c r="B254" s="17" t="s">
        <v>64</v>
      </c>
      <c r="C254" s="17" t="s">
        <v>113</v>
      </c>
      <c r="D254" s="17" t="s">
        <v>114</v>
      </c>
      <c r="E254" s="17" t="s">
        <v>99</v>
      </c>
      <c r="F254" s="17" t="s">
        <v>143</v>
      </c>
      <c r="G254" s="17">
        <v>2.1912488400621402</v>
      </c>
      <c r="H254" s="17">
        <v>2.0293099093000002</v>
      </c>
      <c r="I254" s="17" t="s">
        <v>115</v>
      </c>
    </row>
    <row r="255" spans="1:9" ht="15.6" x14ac:dyDescent="0.3">
      <c r="A255" s="17" t="s">
        <v>58</v>
      </c>
      <c r="B255" s="17" t="s">
        <v>64</v>
      </c>
      <c r="C255" s="17" t="s">
        <v>113</v>
      </c>
      <c r="D255" s="17" t="s">
        <v>114</v>
      </c>
      <c r="E255" s="17" t="s">
        <v>99</v>
      </c>
      <c r="F255" s="17" t="s">
        <v>144</v>
      </c>
      <c r="G255" s="17">
        <v>83.868923187676103</v>
      </c>
      <c r="H255" s="17">
        <v>77.670793839300003</v>
      </c>
      <c r="I255" s="17" t="s">
        <v>115</v>
      </c>
    </row>
    <row r="256" spans="1:9" ht="15.6" x14ac:dyDescent="0.3">
      <c r="A256" s="17" t="s">
        <v>58</v>
      </c>
      <c r="B256" s="17" t="s">
        <v>64</v>
      </c>
      <c r="C256" s="17" t="s">
        <v>113</v>
      </c>
      <c r="D256" s="17" t="s">
        <v>114</v>
      </c>
      <c r="E256" s="17" t="s">
        <v>99</v>
      </c>
      <c r="F256" s="17" t="s">
        <v>145</v>
      </c>
      <c r="G256" s="17">
        <v>9.4499776800000007E-5</v>
      </c>
      <c r="H256" s="17">
        <v>8.7515999999999994E-5</v>
      </c>
      <c r="I256" s="17" t="s">
        <v>115</v>
      </c>
    </row>
    <row r="257" spans="1:9" ht="15.6" x14ac:dyDescent="0.3">
      <c r="A257" s="17" t="s">
        <v>58</v>
      </c>
      <c r="B257" s="17" t="s">
        <v>64</v>
      </c>
      <c r="C257" s="17" t="s">
        <v>113</v>
      </c>
      <c r="D257" s="17" t="s">
        <v>114</v>
      </c>
      <c r="E257" s="17" t="s">
        <v>99</v>
      </c>
      <c r="F257" s="17" t="s">
        <v>146</v>
      </c>
      <c r="G257" s="17">
        <v>5.5211473215359998E-2</v>
      </c>
      <c r="H257" s="17">
        <v>5.1131203200000003E-2</v>
      </c>
      <c r="I257" s="17" t="s">
        <v>115</v>
      </c>
    </row>
    <row r="258" spans="1:9" ht="15.6" x14ac:dyDescent="0.3">
      <c r="A258" s="17" t="s">
        <v>58</v>
      </c>
      <c r="B258" s="17" t="s">
        <v>64</v>
      </c>
      <c r="C258" s="17" t="s">
        <v>113</v>
      </c>
      <c r="D258" s="17" t="s">
        <v>114</v>
      </c>
      <c r="E258" s="17" t="s">
        <v>99</v>
      </c>
      <c r="F258" s="17" t="s">
        <v>147</v>
      </c>
      <c r="G258" s="17">
        <v>6.5185371270005996</v>
      </c>
      <c r="H258" s="17">
        <v>6.0368004510100004</v>
      </c>
      <c r="I258" s="17" t="s">
        <v>115</v>
      </c>
    </row>
    <row r="259" spans="1:9" ht="15.6" x14ac:dyDescent="0.3">
      <c r="A259" s="17" t="s">
        <v>58</v>
      </c>
      <c r="B259" s="17" t="s">
        <v>64</v>
      </c>
      <c r="C259" s="17" t="s">
        <v>113</v>
      </c>
      <c r="D259" s="17" t="s">
        <v>114</v>
      </c>
      <c r="E259" s="17" t="s">
        <v>99</v>
      </c>
      <c r="F259" s="17" t="s">
        <v>148</v>
      </c>
      <c r="G259" s="17">
        <v>877.55301913817596</v>
      </c>
      <c r="H259" s="17">
        <v>812.69959171899995</v>
      </c>
      <c r="I259" s="17" t="s">
        <v>115</v>
      </c>
    </row>
    <row r="260" spans="1:9" ht="15.6" x14ac:dyDescent="0.3">
      <c r="A260" s="17" t="s">
        <v>58</v>
      </c>
      <c r="B260" s="17" t="s">
        <v>64</v>
      </c>
      <c r="C260" s="17" t="s">
        <v>113</v>
      </c>
      <c r="D260" s="17" t="s">
        <v>114</v>
      </c>
      <c r="E260" s="17" t="s">
        <v>99</v>
      </c>
      <c r="F260" s="17" t="s">
        <v>149</v>
      </c>
      <c r="G260" s="17">
        <v>7.8976571999999995E-6</v>
      </c>
      <c r="H260" s="17">
        <v>7.3139999999999998E-6</v>
      </c>
      <c r="I260" s="17" t="s">
        <v>115</v>
      </c>
    </row>
    <row r="261" spans="1:9" ht="15.6" x14ac:dyDescent="0.3">
      <c r="A261" s="17" t="s">
        <v>58</v>
      </c>
      <c r="B261" s="17" t="s">
        <v>64</v>
      </c>
      <c r="C261" s="17" t="s">
        <v>113</v>
      </c>
      <c r="D261" s="17" t="s">
        <v>114</v>
      </c>
      <c r="E261" s="17" t="s">
        <v>99</v>
      </c>
      <c r="F261" s="17" t="s">
        <v>150</v>
      </c>
      <c r="G261" s="17">
        <v>6.1263370830000005E-4</v>
      </c>
      <c r="H261" s="17">
        <v>5.6735849999999997E-4</v>
      </c>
      <c r="I261" s="17" t="s">
        <v>115</v>
      </c>
    </row>
    <row r="262" spans="1:9" ht="15.6" x14ac:dyDescent="0.3">
      <c r="A262" s="17" t="s">
        <v>58</v>
      </c>
      <c r="B262" s="17" t="s">
        <v>64</v>
      </c>
      <c r="C262" s="17" t="s">
        <v>113</v>
      </c>
      <c r="D262" s="17" t="s">
        <v>114</v>
      </c>
      <c r="E262" s="17" t="s">
        <v>99</v>
      </c>
      <c r="F262" s="17" t="s">
        <v>151</v>
      </c>
      <c r="G262" s="17">
        <v>4.3595981993383202</v>
      </c>
      <c r="H262" s="17">
        <v>4.0374126684</v>
      </c>
      <c r="I262" s="17" t="s">
        <v>115</v>
      </c>
    </row>
    <row r="263" spans="1:9" ht="15.6" x14ac:dyDescent="0.3">
      <c r="A263" s="17" t="s">
        <v>58</v>
      </c>
      <c r="B263" s="17" t="s">
        <v>64</v>
      </c>
      <c r="C263" s="17" t="s">
        <v>113</v>
      </c>
      <c r="D263" s="17" t="s">
        <v>114</v>
      </c>
      <c r="E263" s="17" t="s">
        <v>99</v>
      </c>
      <c r="F263" s="17" t="s">
        <v>152</v>
      </c>
      <c r="G263" s="17">
        <v>22.531072806816201</v>
      </c>
      <c r="H263" s="17">
        <v>20.865968518999999</v>
      </c>
      <c r="I263" s="17" t="s">
        <v>115</v>
      </c>
    </row>
    <row r="264" spans="1:9" ht="15.6" x14ac:dyDescent="0.3">
      <c r="A264" s="17" t="s">
        <v>58</v>
      </c>
      <c r="B264" s="17" t="s">
        <v>64</v>
      </c>
      <c r="C264" s="17" t="s">
        <v>113</v>
      </c>
      <c r="D264" s="17" t="s">
        <v>114</v>
      </c>
      <c r="E264" s="17" t="s">
        <v>99</v>
      </c>
      <c r="F264" s="17" t="s">
        <v>153</v>
      </c>
      <c r="G264" s="17">
        <v>1.0905000591165599</v>
      </c>
      <c r="H264" s="17">
        <v>1.0099092971999999</v>
      </c>
      <c r="I264" s="17" t="s">
        <v>115</v>
      </c>
    </row>
    <row r="265" spans="1:9" ht="15.6" x14ac:dyDescent="0.3">
      <c r="A265" s="17" t="s">
        <v>58</v>
      </c>
      <c r="B265" s="17" t="s">
        <v>64</v>
      </c>
      <c r="C265" s="17" t="s">
        <v>113</v>
      </c>
      <c r="D265" s="17" t="s">
        <v>114</v>
      </c>
      <c r="E265" s="17" t="s">
        <v>99</v>
      </c>
      <c r="F265" s="17" t="s">
        <v>154</v>
      </c>
      <c r="G265" s="17">
        <v>8.6856194380400004E-3</v>
      </c>
      <c r="H265" s="17">
        <v>8.0437297999999997E-3</v>
      </c>
      <c r="I265" s="17" t="s">
        <v>115</v>
      </c>
    </row>
    <row r="266" spans="1:9" ht="15.6" x14ac:dyDescent="0.3">
      <c r="A266" s="17" t="s">
        <v>58</v>
      </c>
      <c r="B266" s="17" t="s">
        <v>64</v>
      </c>
      <c r="C266" s="17" t="s">
        <v>113</v>
      </c>
      <c r="D266" s="17" t="s">
        <v>114</v>
      </c>
      <c r="E266" s="17" t="s">
        <v>101</v>
      </c>
      <c r="F266" s="17" t="s">
        <v>170</v>
      </c>
      <c r="G266" s="17">
        <v>30.42140324</v>
      </c>
      <c r="H266" s="17">
        <v>28.173183219114598</v>
      </c>
      <c r="I266" s="17" t="s">
        <v>115</v>
      </c>
    </row>
    <row r="267" spans="1:9" ht="15.6" x14ac:dyDescent="0.3">
      <c r="A267" s="17" t="s">
        <v>58</v>
      </c>
      <c r="B267" s="17" t="s">
        <v>64</v>
      </c>
      <c r="C267" s="17" t="s">
        <v>113</v>
      </c>
      <c r="D267" s="17" t="s">
        <v>114</v>
      </c>
      <c r="E267" s="17" t="s">
        <v>101</v>
      </c>
      <c r="F267" s="17" t="s">
        <v>173</v>
      </c>
      <c r="G267" s="17">
        <v>47.634654255306401</v>
      </c>
      <c r="H267" s="17">
        <v>44.114330668000001</v>
      </c>
      <c r="I267" s="17" t="s">
        <v>115</v>
      </c>
    </row>
    <row r="268" spans="1:9" ht="15.6" x14ac:dyDescent="0.3">
      <c r="A268" s="17" t="s">
        <v>58</v>
      </c>
      <c r="B268" s="17" t="s">
        <v>64</v>
      </c>
      <c r="C268" s="17" t="s">
        <v>113</v>
      </c>
      <c r="D268" s="17" t="s">
        <v>114</v>
      </c>
      <c r="E268" s="17" t="s">
        <v>101</v>
      </c>
      <c r="F268" s="17" t="s">
        <v>155</v>
      </c>
      <c r="G268" s="17">
        <v>0.41145483026536001</v>
      </c>
      <c r="H268" s="17">
        <v>0.38104725899737002</v>
      </c>
      <c r="I268" s="17" t="s">
        <v>115</v>
      </c>
    </row>
    <row r="269" spans="1:9" ht="15.6" x14ac:dyDescent="0.3">
      <c r="A269" s="17" t="s">
        <v>58</v>
      </c>
      <c r="B269" s="17" t="s">
        <v>64</v>
      </c>
      <c r="C269" s="17" t="s">
        <v>113</v>
      </c>
      <c r="D269" s="17" t="s">
        <v>114</v>
      </c>
      <c r="E269" s="17" t="s">
        <v>101</v>
      </c>
      <c r="F269" s="17" t="s">
        <v>157</v>
      </c>
      <c r="G269" s="17">
        <v>2826.3999474633001</v>
      </c>
      <c r="H269" s="17">
        <v>2617.5217146353998</v>
      </c>
      <c r="I269" s="17" t="s">
        <v>115</v>
      </c>
    </row>
    <row r="270" spans="1:9" ht="15.6" x14ac:dyDescent="0.3">
      <c r="A270" s="17" t="s">
        <v>58</v>
      </c>
      <c r="B270" s="17" t="s">
        <v>64</v>
      </c>
      <c r="C270" s="17" t="s">
        <v>113</v>
      </c>
      <c r="D270" s="17" t="s">
        <v>114</v>
      </c>
      <c r="E270" s="17" t="s">
        <v>101</v>
      </c>
      <c r="F270" s="17" t="s">
        <v>158</v>
      </c>
      <c r="G270" s="17">
        <v>421.738176266685</v>
      </c>
      <c r="H270" s="17">
        <v>390.57063925419999</v>
      </c>
      <c r="I270" s="17" t="s">
        <v>115</v>
      </c>
    </row>
    <row r="271" spans="1:9" ht="15.6" x14ac:dyDescent="0.3">
      <c r="A271" s="17" t="s">
        <v>58</v>
      </c>
      <c r="B271" s="17" t="s">
        <v>64</v>
      </c>
      <c r="C271" s="17" t="s">
        <v>113</v>
      </c>
      <c r="D271" s="17" t="s">
        <v>114</v>
      </c>
      <c r="E271" s="17" t="s">
        <v>101</v>
      </c>
      <c r="F271" s="17" t="s">
        <v>159</v>
      </c>
      <c r="G271" s="17">
        <v>112.06251934634901</v>
      </c>
      <c r="H271" s="17">
        <v>103.780810656</v>
      </c>
      <c r="I271" s="17" t="s">
        <v>115</v>
      </c>
    </row>
    <row r="272" spans="1:9" ht="15.6" x14ac:dyDescent="0.3">
      <c r="A272" s="17" t="s">
        <v>58</v>
      </c>
      <c r="B272" s="17" t="s">
        <v>64</v>
      </c>
      <c r="C272" s="17" t="s">
        <v>113</v>
      </c>
      <c r="D272" s="17" t="s">
        <v>114</v>
      </c>
      <c r="E272" s="17" t="s">
        <v>101</v>
      </c>
      <c r="F272" s="17" t="s">
        <v>160</v>
      </c>
      <c r="G272" s="17">
        <v>604.15141164186002</v>
      </c>
      <c r="H272" s="17">
        <v>559.50306690299999</v>
      </c>
      <c r="I272" s="17" t="s">
        <v>115</v>
      </c>
    </row>
    <row r="273" spans="1:9" ht="15.6" x14ac:dyDescent="0.3">
      <c r="A273" s="17" t="s">
        <v>58</v>
      </c>
      <c r="B273" s="17" t="s">
        <v>64</v>
      </c>
      <c r="C273" s="17" t="s">
        <v>113</v>
      </c>
      <c r="D273" s="17" t="s">
        <v>114</v>
      </c>
      <c r="E273" s="17" t="s">
        <v>101</v>
      </c>
      <c r="F273" s="17" t="s">
        <v>161</v>
      </c>
      <c r="G273" s="17">
        <v>108.5454079016</v>
      </c>
      <c r="H273" s="17">
        <v>100.52362280200001</v>
      </c>
      <c r="I273" s="17" t="s">
        <v>115</v>
      </c>
    </row>
    <row r="274" spans="1:9" ht="15.6" x14ac:dyDescent="0.3">
      <c r="A274" s="17" t="s">
        <v>58</v>
      </c>
      <c r="B274" s="17" t="s">
        <v>64</v>
      </c>
      <c r="C274" s="17" t="s">
        <v>113</v>
      </c>
      <c r="D274" s="17" t="s">
        <v>114</v>
      </c>
      <c r="E274" s="17" t="s">
        <v>101</v>
      </c>
      <c r="F274" s="17" t="s">
        <v>162</v>
      </c>
      <c r="G274" s="17">
        <v>122.432127104583</v>
      </c>
      <c r="H274" s="17">
        <v>113.384077703819</v>
      </c>
      <c r="I274" s="17" t="s">
        <v>115</v>
      </c>
    </row>
    <row r="275" spans="1:9" ht="15.6" x14ac:dyDescent="0.3">
      <c r="A275" s="17" t="s">
        <v>58</v>
      </c>
      <c r="B275" s="17" t="s">
        <v>64</v>
      </c>
      <c r="C275" s="17" t="s">
        <v>113</v>
      </c>
      <c r="D275" s="17" t="s">
        <v>114</v>
      </c>
      <c r="E275" s="17" t="s">
        <v>101</v>
      </c>
      <c r="F275" s="17" t="s">
        <v>163</v>
      </c>
      <c r="G275" s="17">
        <v>231.10753361634301</v>
      </c>
      <c r="H275" s="17">
        <v>214.02809188399999</v>
      </c>
      <c r="I275" s="17" t="s">
        <v>115</v>
      </c>
    </row>
    <row r="276" spans="1:9" ht="15.6" x14ac:dyDescent="0.3">
      <c r="A276" s="17" t="s">
        <v>58</v>
      </c>
      <c r="B276" s="17" t="s">
        <v>64</v>
      </c>
      <c r="C276" s="17" t="s">
        <v>113</v>
      </c>
      <c r="D276" s="17" t="s">
        <v>114</v>
      </c>
      <c r="E276" s="17" t="s">
        <v>101</v>
      </c>
      <c r="F276" s="17" t="s">
        <v>164</v>
      </c>
      <c r="G276" s="17">
        <v>0.27938542186802001</v>
      </c>
      <c r="H276" s="17">
        <v>0.25873811990000001</v>
      </c>
      <c r="I276" s="17" t="s">
        <v>115</v>
      </c>
    </row>
    <row r="277" spans="1:9" ht="15.6" x14ac:dyDescent="0.3">
      <c r="A277" s="17" t="s">
        <v>58</v>
      </c>
      <c r="B277" s="17" t="s">
        <v>64</v>
      </c>
      <c r="C277" s="17" t="s">
        <v>113</v>
      </c>
      <c r="D277" s="17" t="s">
        <v>114</v>
      </c>
      <c r="E277" s="17" t="s">
        <v>102</v>
      </c>
      <c r="F277" s="17" t="s">
        <v>165</v>
      </c>
      <c r="G277" s="17">
        <v>23.3951895450389</v>
      </c>
      <c r="H277" s="17">
        <v>21.666224805555601</v>
      </c>
      <c r="I277" s="17" t="s">
        <v>115</v>
      </c>
    </row>
    <row r="278" spans="1:9" ht="15.6" x14ac:dyDescent="0.3">
      <c r="A278" s="17" t="s">
        <v>58</v>
      </c>
      <c r="B278" s="17" t="s">
        <v>64</v>
      </c>
      <c r="C278" s="17" t="s">
        <v>113</v>
      </c>
      <c r="D278" s="17" t="s">
        <v>114</v>
      </c>
      <c r="E278" s="17" t="s">
        <v>102</v>
      </c>
      <c r="F278" s="17" t="s">
        <v>166</v>
      </c>
      <c r="G278" s="17">
        <v>437.31355918752701</v>
      </c>
      <c r="H278" s="17">
        <v>404.99496127757601</v>
      </c>
      <c r="I278" s="17" t="s">
        <v>115</v>
      </c>
    </row>
    <row r="279" spans="1:9" ht="15.6" x14ac:dyDescent="0.3">
      <c r="A279" s="17" t="s">
        <v>58</v>
      </c>
      <c r="B279" s="17" t="s">
        <v>64</v>
      </c>
      <c r="C279" s="17" t="s">
        <v>113</v>
      </c>
      <c r="D279" s="17" t="s">
        <v>114</v>
      </c>
      <c r="E279" s="17" t="s">
        <v>103</v>
      </c>
      <c r="F279" s="17" t="s">
        <v>103</v>
      </c>
      <c r="G279" s="17">
        <v>30.741906</v>
      </c>
      <c r="H279" s="17">
        <v>28.47</v>
      </c>
      <c r="I279" s="17" t="s">
        <v>115</v>
      </c>
    </row>
    <row r="280" spans="1:9" ht="15.6" x14ac:dyDescent="0.3">
      <c r="A280" s="17" t="s">
        <v>58</v>
      </c>
      <c r="B280" s="17" t="s">
        <v>64</v>
      </c>
      <c r="C280" s="17" t="s">
        <v>167</v>
      </c>
      <c r="D280" s="17" t="s">
        <v>168</v>
      </c>
      <c r="E280" s="17" t="s">
        <v>100</v>
      </c>
      <c r="F280" s="17" t="s">
        <v>100</v>
      </c>
      <c r="G280" s="17">
        <v>0</v>
      </c>
      <c r="H280" s="17">
        <v>0</v>
      </c>
      <c r="I280" s="17" t="s">
        <v>115</v>
      </c>
    </row>
    <row r="281" spans="1:9" ht="15.6" x14ac:dyDescent="0.3">
      <c r="A281" s="17" t="s">
        <v>58</v>
      </c>
      <c r="B281" s="17" t="s">
        <v>64</v>
      </c>
      <c r="C281" s="17" t="s">
        <v>167</v>
      </c>
      <c r="D281" s="17" t="s">
        <v>114</v>
      </c>
      <c r="E281" s="17" t="s">
        <v>100</v>
      </c>
      <c r="F281" s="17" t="s">
        <v>100</v>
      </c>
      <c r="G281" s="17">
        <v>246.053301432604</v>
      </c>
      <c r="H281" s="17">
        <v>227.86932898000001</v>
      </c>
      <c r="I281" s="17" t="s">
        <v>115</v>
      </c>
    </row>
    <row r="282" spans="1:9" ht="15.6" x14ac:dyDescent="0.3">
      <c r="A282" s="17" t="s">
        <v>58</v>
      </c>
      <c r="B282" s="17" t="s">
        <v>65</v>
      </c>
      <c r="C282" s="17" t="s">
        <v>113</v>
      </c>
      <c r="D282" s="17" t="s">
        <v>114</v>
      </c>
      <c r="E282" s="17" t="s">
        <v>71</v>
      </c>
      <c r="F282" s="17" t="s">
        <v>71</v>
      </c>
      <c r="G282" s="17">
        <v>49.949258399999998</v>
      </c>
      <c r="H282" s="17">
        <v>43.896000000000001</v>
      </c>
      <c r="I282" s="17" t="s">
        <v>115</v>
      </c>
    </row>
    <row r="283" spans="1:9" ht="15.6" x14ac:dyDescent="0.3">
      <c r="A283" s="17" t="s">
        <v>58</v>
      </c>
      <c r="B283" s="17" t="s">
        <v>65</v>
      </c>
      <c r="C283" s="17" t="s">
        <v>113</v>
      </c>
      <c r="D283" s="17" t="s">
        <v>114</v>
      </c>
      <c r="E283" s="17" t="s">
        <v>72</v>
      </c>
      <c r="F283" s="17" t="s">
        <v>116</v>
      </c>
      <c r="G283" s="17">
        <v>188.90132248800001</v>
      </c>
      <c r="H283" s="17">
        <v>166.00872000000001</v>
      </c>
      <c r="I283" s="17" t="s">
        <v>115</v>
      </c>
    </row>
    <row r="284" spans="1:9" ht="15.6" x14ac:dyDescent="0.3">
      <c r="A284" s="17" t="s">
        <v>58</v>
      </c>
      <c r="B284" s="17" t="s">
        <v>65</v>
      </c>
      <c r="C284" s="17" t="s">
        <v>113</v>
      </c>
      <c r="D284" s="17" t="s">
        <v>114</v>
      </c>
      <c r="E284" s="17" t="s">
        <v>73</v>
      </c>
      <c r="F284" s="17" t="s">
        <v>117</v>
      </c>
      <c r="G284" s="17">
        <v>0</v>
      </c>
      <c r="H284" s="17">
        <v>0</v>
      </c>
      <c r="I284" s="17" t="s">
        <v>115</v>
      </c>
    </row>
    <row r="285" spans="1:9" ht="15.6" x14ac:dyDescent="0.3">
      <c r="A285" s="17" t="s">
        <v>58</v>
      </c>
      <c r="B285" s="17" t="s">
        <v>65</v>
      </c>
      <c r="C285" s="17" t="s">
        <v>113</v>
      </c>
      <c r="D285" s="17" t="s">
        <v>114</v>
      </c>
      <c r="E285" s="17" t="s">
        <v>73</v>
      </c>
      <c r="F285" s="17" t="s">
        <v>118</v>
      </c>
      <c r="G285" s="17">
        <v>557.23054032000005</v>
      </c>
      <c r="H285" s="17">
        <v>489.70080000000002</v>
      </c>
      <c r="I285" s="17" t="s">
        <v>115</v>
      </c>
    </row>
    <row r="286" spans="1:9" ht="15.6" x14ac:dyDescent="0.3">
      <c r="A286" s="17" t="s">
        <v>58</v>
      </c>
      <c r="B286" s="17" t="s">
        <v>65</v>
      </c>
      <c r="C286" s="17" t="s">
        <v>113</v>
      </c>
      <c r="D286" s="17" t="s">
        <v>114</v>
      </c>
      <c r="E286" s="17" t="s">
        <v>73</v>
      </c>
      <c r="F286" s="17" t="s">
        <v>119</v>
      </c>
      <c r="G286" s="17">
        <v>1896.3786239999999</v>
      </c>
      <c r="H286" s="17">
        <v>1666.56</v>
      </c>
      <c r="I286" s="17" t="s">
        <v>115</v>
      </c>
    </row>
    <row r="287" spans="1:9" ht="15.6" x14ac:dyDescent="0.3">
      <c r="A287" s="17" t="s">
        <v>58</v>
      </c>
      <c r="B287" s="17" t="s">
        <v>65</v>
      </c>
      <c r="C287" s="17" t="s">
        <v>113</v>
      </c>
      <c r="D287" s="17" t="s">
        <v>114</v>
      </c>
      <c r="E287" s="17" t="s">
        <v>73</v>
      </c>
      <c r="F287" s="17" t="s">
        <v>120</v>
      </c>
      <c r="G287" s="17">
        <v>24.6187444421649</v>
      </c>
      <c r="H287" s="17">
        <v>21.6352442588671</v>
      </c>
      <c r="I287" s="17" t="s">
        <v>115</v>
      </c>
    </row>
    <row r="288" spans="1:9" ht="15.6" x14ac:dyDescent="0.3">
      <c r="A288" s="17" t="s">
        <v>58</v>
      </c>
      <c r="B288" s="17" t="s">
        <v>65</v>
      </c>
      <c r="C288" s="17" t="s">
        <v>113</v>
      </c>
      <c r="D288" s="17" t="s">
        <v>114</v>
      </c>
      <c r="E288" s="17" t="s">
        <v>74</v>
      </c>
      <c r="F288" s="17" t="s">
        <v>121</v>
      </c>
      <c r="G288" s="17">
        <v>0.87948291000000001</v>
      </c>
      <c r="H288" s="17">
        <v>0.77290000000000003</v>
      </c>
      <c r="I288" s="17" t="s">
        <v>115</v>
      </c>
    </row>
    <row r="289" spans="1:9" ht="15.6" x14ac:dyDescent="0.3">
      <c r="A289" s="17" t="s">
        <v>58</v>
      </c>
      <c r="B289" s="17" t="s">
        <v>65</v>
      </c>
      <c r="C289" s="17" t="s">
        <v>113</v>
      </c>
      <c r="D289" s="17" t="s">
        <v>114</v>
      </c>
      <c r="E289" s="17" t="s">
        <v>76</v>
      </c>
      <c r="F289" s="17" t="s">
        <v>122</v>
      </c>
      <c r="G289" s="17">
        <v>151.54097039999999</v>
      </c>
      <c r="H289" s="17">
        <v>133.17599999999999</v>
      </c>
      <c r="I289" s="17" t="s">
        <v>115</v>
      </c>
    </row>
    <row r="290" spans="1:9" ht="15.6" x14ac:dyDescent="0.3">
      <c r="A290" s="17" t="s">
        <v>58</v>
      </c>
      <c r="B290" s="17" t="s">
        <v>65</v>
      </c>
      <c r="C290" s="17" t="s">
        <v>113</v>
      </c>
      <c r="D290" s="17" t="s">
        <v>114</v>
      </c>
      <c r="E290" s="17" t="s">
        <v>80</v>
      </c>
      <c r="F290" s="17" t="s">
        <v>80</v>
      </c>
      <c r="G290" s="17">
        <v>0.71345076944520003</v>
      </c>
      <c r="H290" s="17">
        <v>0.62698898800000002</v>
      </c>
      <c r="I290" s="17" t="s">
        <v>115</v>
      </c>
    </row>
    <row r="291" spans="1:9" ht="15.6" x14ac:dyDescent="0.3">
      <c r="A291" s="17" t="s">
        <v>58</v>
      </c>
      <c r="B291" s="17" t="s">
        <v>65</v>
      </c>
      <c r="C291" s="17" t="s">
        <v>113</v>
      </c>
      <c r="D291" s="17" t="s">
        <v>114</v>
      </c>
      <c r="E291" s="17" t="s">
        <v>77</v>
      </c>
      <c r="F291" s="17" t="s">
        <v>77</v>
      </c>
      <c r="G291" s="17">
        <v>0.76192854715000002</v>
      </c>
      <c r="H291" s="17">
        <v>0.66959183333333305</v>
      </c>
      <c r="I291" s="17" t="s">
        <v>115</v>
      </c>
    </row>
    <row r="292" spans="1:9" ht="15.6" x14ac:dyDescent="0.3">
      <c r="A292" s="17" t="s">
        <v>58</v>
      </c>
      <c r="B292" s="17" t="s">
        <v>65</v>
      </c>
      <c r="C292" s="17" t="s">
        <v>113</v>
      </c>
      <c r="D292" s="17" t="s">
        <v>114</v>
      </c>
      <c r="E292" s="17" t="s">
        <v>78</v>
      </c>
      <c r="F292" s="17" t="s">
        <v>123</v>
      </c>
      <c r="G292" s="17">
        <v>14.7107712</v>
      </c>
      <c r="H292" s="17">
        <v>12.928000000000001</v>
      </c>
      <c r="I292" s="17" t="s">
        <v>115</v>
      </c>
    </row>
    <row r="293" spans="1:9" ht="15.6" x14ac:dyDescent="0.3">
      <c r="A293" s="17" t="s">
        <v>58</v>
      </c>
      <c r="B293" s="17" t="s">
        <v>65</v>
      </c>
      <c r="C293" s="17" t="s">
        <v>113</v>
      </c>
      <c r="D293" s="17" t="s">
        <v>114</v>
      </c>
      <c r="E293" s="17" t="s">
        <v>78</v>
      </c>
      <c r="F293" s="17" t="s">
        <v>124</v>
      </c>
      <c r="G293" s="17">
        <v>211.64940000000001</v>
      </c>
      <c r="H293" s="17">
        <v>186</v>
      </c>
      <c r="I293" s="17" t="s">
        <v>115</v>
      </c>
    </row>
    <row r="294" spans="1:9" ht="15.6" x14ac:dyDescent="0.3">
      <c r="A294" s="17" t="s">
        <v>58</v>
      </c>
      <c r="B294" s="17" t="s">
        <v>65</v>
      </c>
      <c r="C294" s="17" t="s">
        <v>113</v>
      </c>
      <c r="D294" s="17" t="s">
        <v>114</v>
      </c>
      <c r="E294" s="17" t="s">
        <v>78</v>
      </c>
      <c r="F294" s="17" t="s">
        <v>125</v>
      </c>
      <c r="G294" s="17">
        <v>202.84478496</v>
      </c>
      <c r="H294" s="17">
        <v>178.26240000000001</v>
      </c>
      <c r="I294" s="17" t="s">
        <v>115</v>
      </c>
    </row>
    <row r="295" spans="1:9" ht="15.6" x14ac:dyDescent="0.3">
      <c r="A295" s="17" t="s">
        <v>58</v>
      </c>
      <c r="B295" s="17" t="s">
        <v>65</v>
      </c>
      <c r="C295" s="17" t="s">
        <v>113</v>
      </c>
      <c r="D295" s="17" t="s">
        <v>114</v>
      </c>
      <c r="E295" s="17" t="s">
        <v>79</v>
      </c>
      <c r="F295" s="17" t="s">
        <v>126</v>
      </c>
      <c r="G295" s="17">
        <v>3555.9103353115202</v>
      </c>
      <c r="H295" s="17">
        <v>3124.9761273499598</v>
      </c>
      <c r="I295" s="17" t="s">
        <v>115</v>
      </c>
    </row>
    <row r="296" spans="1:9" ht="15.6" x14ac:dyDescent="0.3">
      <c r="A296" s="17" t="s">
        <v>58</v>
      </c>
      <c r="B296" s="17" t="s">
        <v>65</v>
      </c>
      <c r="C296" s="17" t="s">
        <v>113</v>
      </c>
      <c r="D296" s="17" t="s">
        <v>114</v>
      </c>
      <c r="E296" s="17" t="s">
        <v>79</v>
      </c>
      <c r="F296" s="17" t="s">
        <v>79</v>
      </c>
      <c r="G296" s="17">
        <v>1787.68241055565</v>
      </c>
      <c r="H296" s="17">
        <v>1571.0364799680599</v>
      </c>
      <c r="I296" s="17" t="s">
        <v>115</v>
      </c>
    </row>
    <row r="297" spans="1:9" ht="15.6" x14ac:dyDescent="0.3">
      <c r="A297" s="17" t="s">
        <v>58</v>
      </c>
      <c r="B297" s="17" t="s">
        <v>65</v>
      </c>
      <c r="C297" s="17" t="s">
        <v>113</v>
      </c>
      <c r="D297" s="17" t="s">
        <v>114</v>
      </c>
      <c r="E297" s="17" t="s">
        <v>81</v>
      </c>
      <c r="F297" s="17" t="s">
        <v>81</v>
      </c>
      <c r="G297" s="17">
        <v>259.31850031133001</v>
      </c>
      <c r="H297" s="17">
        <v>227.89217006004901</v>
      </c>
      <c r="I297" s="17" t="s">
        <v>115</v>
      </c>
    </row>
    <row r="298" spans="1:9" ht="15.6" x14ac:dyDescent="0.3">
      <c r="A298" s="17" t="s">
        <v>58</v>
      </c>
      <c r="B298" s="17" t="s">
        <v>65</v>
      </c>
      <c r="C298" s="17" t="s">
        <v>113</v>
      </c>
      <c r="D298" s="17" t="s">
        <v>114</v>
      </c>
      <c r="E298" s="17" t="s">
        <v>82</v>
      </c>
      <c r="F298" s="17" t="s">
        <v>82</v>
      </c>
      <c r="G298" s="17">
        <v>99.496792432738999</v>
      </c>
      <c r="H298" s="17">
        <v>87.438959867069997</v>
      </c>
      <c r="I298" s="17" t="s">
        <v>115</v>
      </c>
    </row>
    <row r="299" spans="1:9" ht="15.6" x14ac:dyDescent="0.3">
      <c r="A299" s="17" t="s">
        <v>58</v>
      </c>
      <c r="B299" s="17" t="s">
        <v>65</v>
      </c>
      <c r="C299" s="17" t="s">
        <v>113</v>
      </c>
      <c r="D299" s="17" t="s">
        <v>114</v>
      </c>
      <c r="E299" s="17" t="s">
        <v>83</v>
      </c>
      <c r="F299" s="17" t="s">
        <v>127</v>
      </c>
      <c r="G299" s="17">
        <v>1.80669099374019</v>
      </c>
      <c r="H299" s="17">
        <v>1.5877414480536001</v>
      </c>
      <c r="I299" s="17" t="s">
        <v>115</v>
      </c>
    </row>
    <row r="300" spans="1:9" ht="15.6" x14ac:dyDescent="0.3">
      <c r="A300" s="17" t="s">
        <v>58</v>
      </c>
      <c r="B300" s="17" t="s">
        <v>65</v>
      </c>
      <c r="C300" s="17" t="s">
        <v>113</v>
      </c>
      <c r="D300" s="17" t="s">
        <v>114</v>
      </c>
      <c r="E300" s="17" t="s">
        <v>83</v>
      </c>
      <c r="F300" s="17" t="s">
        <v>128</v>
      </c>
      <c r="G300" s="17">
        <v>63.0687823922866</v>
      </c>
      <c r="H300" s="17">
        <v>55.425593103336503</v>
      </c>
      <c r="I300" s="17" t="s">
        <v>115</v>
      </c>
    </row>
    <row r="301" spans="1:9" ht="15.6" x14ac:dyDescent="0.3">
      <c r="A301" s="17" t="s">
        <v>58</v>
      </c>
      <c r="B301" s="17" t="s">
        <v>65</v>
      </c>
      <c r="C301" s="17" t="s">
        <v>113</v>
      </c>
      <c r="D301" s="17" t="s">
        <v>114</v>
      </c>
      <c r="E301" s="17" t="s">
        <v>84</v>
      </c>
      <c r="F301" s="17" t="s">
        <v>172</v>
      </c>
      <c r="G301" s="17">
        <v>0.18856291626234001</v>
      </c>
      <c r="H301" s="17">
        <v>0.16571132459999999</v>
      </c>
      <c r="I301" s="17" t="s">
        <v>115</v>
      </c>
    </row>
    <row r="302" spans="1:9" ht="15.6" x14ac:dyDescent="0.3">
      <c r="A302" s="17" t="s">
        <v>58</v>
      </c>
      <c r="B302" s="17" t="s">
        <v>65</v>
      </c>
      <c r="C302" s="17" t="s">
        <v>113</v>
      </c>
      <c r="D302" s="17" t="s">
        <v>114</v>
      </c>
      <c r="E302" s="17" t="s">
        <v>84</v>
      </c>
      <c r="F302" s="17" t="s">
        <v>129</v>
      </c>
      <c r="G302" s="17">
        <v>6254.3262246178001</v>
      </c>
      <c r="H302" s="17">
        <v>5496.3759773422998</v>
      </c>
      <c r="I302" s="17" t="s">
        <v>115</v>
      </c>
    </row>
    <row r="303" spans="1:9" ht="15.6" x14ac:dyDescent="0.3">
      <c r="A303" s="17" t="s">
        <v>58</v>
      </c>
      <c r="B303" s="17" t="s">
        <v>65</v>
      </c>
      <c r="C303" s="17" t="s">
        <v>113</v>
      </c>
      <c r="D303" s="17" t="s">
        <v>114</v>
      </c>
      <c r="E303" s="17" t="s">
        <v>85</v>
      </c>
      <c r="F303" s="17" t="s">
        <v>85</v>
      </c>
      <c r="G303" s="17">
        <v>132.81670125943799</v>
      </c>
      <c r="H303" s="17">
        <v>116.720890464398</v>
      </c>
      <c r="I303" s="17" t="s">
        <v>115</v>
      </c>
    </row>
    <row r="304" spans="1:9" ht="15.6" x14ac:dyDescent="0.3">
      <c r="A304" s="17" t="s">
        <v>58</v>
      </c>
      <c r="B304" s="17" t="s">
        <v>65</v>
      </c>
      <c r="C304" s="17" t="s">
        <v>113</v>
      </c>
      <c r="D304" s="17" t="s">
        <v>114</v>
      </c>
      <c r="E304" s="17" t="s">
        <v>87</v>
      </c>
      <c r="F304" s="17" t="s">
        <v>87</v>
      </c>
      <c r="G304" s="17">
        <v>6.2819383451844004</v>
      </c>
      <c r="H304" s="17">
        <v>5.5206418360000002</v>
      </c>
      <c r="I304" s="17" t="s">
        <v>115</v>
      </c>
    </row>
    <row r="305" spans="1:9" ht="15.6" x14ac:dyDescent="0.3">
      <c r="A305" s="17" t="s">
        <v>58</v>
      </c>
      <c r="B305" s="17" t="s">
        <v>65</v>
      </c>
      <c r="C305" s="17" t="s">
        <v>113</v>
      </c>
      <c r="D305" s="17" t="s">
        <v>114</v>
      </c>
      <c r="E305" s="17" t="s">
        <v>88</v>
      </c>
      <c r="F305" s="17" t="s">
        <v>88</v>
      </c>
      <c r="G305" s="17">
        <v>13.4973179268242</v>
      </c>
      <c r="H305" s="17">
        <v>11.8616028885</v>
      </c>
      <c r="I305" s="17" t="s">
        <v>115</v>
      </c>
    </row>
    <row r="306" spans="1:9" ht="15.6" x14ac:dyDescent="0.3">
      <c r="A306" s="17" t="s">
        <v>58</v>
      </c>
      <c r="B306" s="17" t="s">
        <v>65</v>
      </c>
      <c r="C306" s="17" t="s">
        <v>113</v>
      </c>
      <c r="D306" s="17" t="s">
        <v>114</v>
      </c>
      <c r="E306" s="17" t="s">
        <v>89</v>
      </c>
      <c r="F306" s="17" t="s">
        <v>89</v>
      </c>
      <c r="G306" s="17">
        <v>81.721153880127005</v>
      </c>
      <c r="H306" s="17">
        <v>71.817518129999996</v>
      </c>
      <c r="I306" s="17" t="s">
        <v>115</v>
      </c>
    </row>
    <row r="307" spans="1:9" ht="15.6" x14ac:dyDescent="0.3">
      <c r="A307" s="17" t="s">
        <v>58</v>
      </c>
      <c r="B307" s="17" t="s">
        <v>65</v>
      </c>
      <c r="C307" s="17" t="s">
        <v>113</v>
      </c>
      <c r="D307" s="17" t="s">
        <v>114</v>
      </c>
      <c r="E307" s="17" t="s">
        <v>90</v>
      </c>
      <c r="F307" s="17" t="s">
        <v>90</v>
      </c>
      <c r="G307" s="17">
        <v>301.96956076652702</v>
      </c>
      <c r="H307" s="17">
        <v>265.37442724890298</v>
      </c>
      <c r="I307" s="17" t="s">
        <v>115</v>
      </c>
    </row>
    <row r="308" spans="1:9" ht="15.6" x14ac:dyDescent="0.3">
      <c r="A308" s="17" t="s">
        <v>58</v>
      </c>
      <c r="B308" s="17" t="s">
        <v>65</v>
      </c>
      <c r="C308" s="17" t="s">
        <v>113</v>
      </c>
      <c r="D308" s="17" t="s">
        <v>114</v>
      </c>
      <c r="E308" s="17" t="s">
        <v>91</v>
      </c>
      <c r="F308" s="17" t="s">
        <v>91</v>
      </c>
      <c r="G308" s="17">
        <v>26.541531478824002</v>
      </c>
      <c r="H308" s="17">
        <v>23.325012284756099</v>
      </c>
      <c r="I308" s="17" t="s">
        <v>115</v>
      </c>
    </row>
    <row r="309" spans="1:9" ht="15.6" x14ac:dyDescent="0.3">
      <c r="A309" s="17" t="s">
        <v>58</v>
      </c>
      <c r="B309" s="17" t="s">
        <v>65</v>
      </c>
      <c r="C309" s="17" t="s">
        <v>113</v>
      </c>
      <c r="D309" s="17" t="s">
        <v>114</v>
      </c>
      <c r="E309" s="17" t="s">
        <v>93</v>
      </c>
      <c r="F309" s="17" t="s">
        <v>130</v>
      </c>
      <c r="G309" s="17">
        <v>559.65519357059998</v>
      </c>
      <c r="H309" s="17">
        <v>491.831614</v>
      </c>
      <c r="I309" s="17" t="s">
        <v>115</v>
      </c>
    </row>
    <row r="310" spans="1:9" ht="15.6" x14ac:dyDescent="0.3">
      <c r="A310" s="17" t="s">
        <v>58</v>
      </c>
      <c r="B310" s="17" t="s">
        <v>65</v>
      </c>
      <c r="C310" s="17" t="s">
        <v>113</v>
      </c>
      <c r="D310" s="17" t="s">
        <v>114</v>
      </c>
      <c r="E310" s="17" t="s">
        <v>93</v>
      </c>
      <c r="F310" s="17" t="s">
        <v>131</v>
      </c>
      <c r="G310" s="17">
        <v>206.40049488</v>
      </c>
      <c r="H310" s="17">
        <v>181.38720000000001</v>
      </c>
      <c r="I310" s="17" t="s">
        <v>115</v>
      </c>
    </row>
    <row r="311" spans="1:9" ht="15.6" x14ac:dyDescent="0.3">
      <c r="A311" s="17" t="s">
        <v>58</v>
      </c>
      <c r="B311" s="17" t="s">
        <v>65</v>
      </c>
      <c r="C311" s="17" t="s">
        <v>113</v>
      </c>
      <c r="D311" s="17" t="s">
        <v>114</v>
      </c>
      <c r="E311" s="17" t="s">
        <v>93</v>
      </c>
      <c r="F311" s="17" t="s">
        <v>132</v>
      </c>
      <c r="G311" s="17">
        <v>1.8671710068</v>
      </c>
      <c r="H311" s="17">
        <v>1.640892</v>
      </c>
      <c r="I311" s="17" t="s">
        <v>115</v>
      </c>
    </row>
    <row r="312" spans="1:9" ht="15.6" x14ac:dyDescent="0.3">
      <c r="A312" s="17" t="s">
        <v>58</v>
      </c>
      <c r="B312" s="17" t="s">
        <v>65</v>
      </c>
      <c r="C312" s="17" t="s">
        <v>113</v>
      </c>
      <c r="D312" s="17" t="s">
        <v>114</v>
      </c>
      <c r="E312" s="17" t="s">
        <v>93</v>
      </c>
      <c r="F312" s="17" t="s">
        <v>133</v>
      </c>
      <c r="G312" s="17">
        <v>20.086687983870998</v>
      </c>
      <c r="H312" s="17">
        <v>17.652419354838699</v>
      </c>
      <c r="I312" s="17" t="s">
        <v>115</v>
      </c>
    </row>
    <row r="313" spans="1:9" ht="15.6" x14ac:dyDescent="0.3">
      <c r="A313" s="17" t="s">
        <v>58</v>
      </c>
      <c r="B313" s="17" t="s">
        <v>65</v>
      </c>
      <c r="C313" s="17" t="s">
        <v>113</v>
      </c>
      <c r="D313" s="17" t="s">
        <v>114</v>
      </c>
      <c r="E313" s="17" t="s">
        <v>93</v>
      </c>
      <c r="F313" s="17" t="s">
        <v>134</v>
      </c>
      <c r="G313" s="17">
        <v>3.4448056344000002</v>
      </c>
      <c r="H313" s="17">
        <v>3.027336</v>
      </c>
      <c r="I313" s="17" t="s">
        <v>115</v>
      </c>
    </row>
    <row r="314" spans="1:9" ht="15.6" x14ac:dyDescent="0.3">
      <c r="A314" s="17" t="s">
        <v>58</v>
      </c>
      <c r="B314" s="17" t="s">
        <v>65</v>
      </c>
      <c r="C314" s="17" t="s">
        <v>113</v>
      </c>
      <c r="D314" s="17" t="s">
        <v>114</v>
      </c>
      <c r="E314" s="17" t="s">
        <v>93</v>
      </c>
      <c r="F314" s="17" t="s">
        <v>135</v>
      </c>
      <c r="G314" s="17">
        <v>17.943092387096801</v>
      </c>
      <c r="H314" s="17">
        <v>15.7686021505376</v>
      </c>
      <c r="I314" s="17" t="s">
        <v>115</v>
      </c>
    </row>
    <row r="315" spans="1:9" ht="15.6" x14ac:dyDescent="0.3">
      <c r="A315" s="17" t="s">
        <v>58</v>
      </c>
      <c r="B315" s="17" t="s">
        <v>65</v>
      </c>
      <c r="C315" s="17" t="s">
        <v>113</v>
      </c>
      <c r="D315" s="17" t="s">
        <v>114</v>
      </c>
      <c r="E315" s="17" t="s">
        <v>93</v>
      </c>
      <c r="F315" s="17" t="s">
        <v>136</v>
      </c>
      <c r="G315" s="17">
        <v>252.159475162972</v>
      </c>
      <c r="H315" s="17">
        <v>221.600733951113</v>
      </c>
      <c r="I315" s="17" t="s">
        <v>115</v>
      </c>
    </row>
    <row r="316" spans="1:9" ht="15.6" x14ac:dyDescent="0.3">
      <c r="A316" s="17" t="s">
        <v>58</v>
      </c>
      <c r="B316" s="17" t="s">
        <v>65</v>
      </c>
      <c r="C316" s="17" t="s">
        <v>113</v>
      </c>
      <c r="D316" s="17" t="s">
        <v>114</v>
      </c>
      <c r="E316" s="17" t="s">
        <v>93</v>
      </c>
      <c r="F316" s="17" t="s">
        <v>137</v>
      </c>
      <c r="G316" s="17">
        <v>144.11569498200001</v>
      </c>
      <c r="H316" s="17">
        <v>126.65058000000001</v>
      </c>
      <c r="I316" s="17" t="s">
        <v>115</v>
      </c>
    </row>
    <row r="317" spans="1:9" ht="15.6" x14ac:dyDescent="0.3">
      <c r="A317" s="17" t="s">
        <v>58</v>
      </c>
      <c r="B317" s="17" t="s">
        <v>65</v>
      </c>
      <c r="C317" s="17" t="s">
        <v>113</v>
      </c>
      <c r="D317" s="17" t="s">
        <v>114</v>
      </c>
      <c r="E317" s="17" t="s">
        <v>94</v>
      </c>
      <c r="F317" s="17" t="s">
        <v>94</v>
      </c>
      <c r="G317" s="17">
        <v>28.718007213105199</v>
      </c>
      <c r="H317" s="17">
        <v>25.237724943409098</v>
      </c>
      <c r="I317" s="17" t="s">
        <v>115</v>
      </c>
    </row>
    <row r="318" spans="1:9" ht="15.6" x14ac:dyDescent="0.3">
      <c r="A318" s="17" t="s">
        <v>58</v>
      </c>
      <c r="B318" s="17" t="s">
        <v>65</v>
      </c>
      <c r="C318" s="17" t="s">
        <v>113</v>
      </c>
      <c r="D318" s="17" t="s">
        <v>114</v>
      </c>
      <c r="E318" s="17" t="s">
        <v>95</v>
      </c>
      <c r="F318" s="17" t="s">
        <v>138</v>
      </c>
      <c r="G318" s="17">
        <v>480.35947823999999</v>
      </c>
      <c r="H318" s="17">
        <v>422.1456</v>
      </c>
      <c r="I318" s="17" t="s">
        <v>115</v>
      </c>
    </row>
    <row r="319" spans="1:9" ht="15.6" x14ac:dyDescent="0.3">
      <c r="A319" s="17" t="s">
        <v>58</v>
      </c>
      <c r="B319" s="17" t="s">
        <v>65</v>
      </c>
      <c r="C319" s="17" t="s">
        <v>113</v>
      </c>
      <c r="D319" s="17" t="s">
        <v>114</v>
      </c>
      <c r="E319" s="17" t="s">
        <v>98</v>
      </c>
      <c r="F319" s="17" t="s">
        <v>139</v>
      </c>
      <c r="G319" s="17">
        <v>133.14378249999999</v>
      </c>
      <c r="H319" s="17">
        <v>117.008333333333</v>
      </c>
      <c r="I319" s="17" t="s">
        <v>115</v>
      </c>
    </row>
    <row r="320" spans="1:9" ht="15.6" x14ac:dyDescent="0.3">
      <c r="A320" s="17" t="s">
        <v>58</v>
      </c>
      <c r="B320" s="17" t="s">
        <v>65</v>
      </c>
      <c r="C320" s="17" t="s">
        <v>113</v>
      </c>
      <c r="D320" s="17" t="s">
        <v>114</v>
      </c>
      <c r="E320" s="17" t="s">
        <v>98</v>
      </c>
      <c r="F320" s="17" t="s">
        <v>140</v>
      </c>
      <c r="G320" s="17">
        <v>4203.1389865000001</v>
      </c>
      <c r="H320" s="17">
        <v>3693.7683333333398</v>
      </c>
      <c r="I320" s="17" t="s">
        <v>115</v>
      </c>
    </row>
    <row r="321" spans="1:9" ht="15.6" x14ac:dyDescent="0.3">
      <c r="A321" s="17" t="s">
        <v>58</v>
      </c>
      <c r="B321" s="17" t="s">
        <v>65</v>
      </c>
      <c r="C321" s="17" t="s">
        <v>113</v>
      </c>
      <c r="D321" s="17" t="s">
        <v>114</v>
      </c>
      <c r="E321" s="17" t="s">
        <v>98</v>
      </c>
      <c r="F321" s="17" t="s">
        <v>141</v>
      </c>
      <c r="G321" s="17">
        <v>66.684916532258001</v>
      </c>
      <c r="H321" s="17">
        <v>58.603494623655898</v>
      </c>
      <c r="I321" s="17" t="s">
        <v>115</v>
      </c>
    </row>
    <row r="322" spans="1:9" ht="15.6" x14ac:dyDescent="0.3">
      <c r="A322" s="17" t="s">
        <v>58</v>
      </c>
      <c r="B322" s="17" t="s">
        <v>65</v>
      </c>
      <c r="C322" s="17" t="s">
        <v>113</v>
      </c>
      <c r="D322" s="17" t="s">
        <v>114</v>
      </c>
      <c r="E322" s="17" t="s">
        <v>96</v>
      </c>
      <c r="F322" s="17" t="s">
        <v>96</v>
      </c>
      <c r="G322" s="17">
        <v>29.597149854126901</v>
      </c>
      <c r="H322" s="17">
        <v>26.010325910999999</v>
      </c>
      <c r="I322" s="17" t="s">
        <v>115</v>
      </c>
    </row>
    <row r="323" spans="1:9" ht="15.6" x14ac:dyDescent="0.3">
      <c r="A323" s="17" t="s">
        <v>58</v>
      </c>
      <c r="B323" s="17" t="s">
        <v>65</v>
      </c>
      <c r="C323" s="17" t="s">
        <v>113</v>
      </c>
      <c r="D323" s="17" t="s">
        <v>114</v>
      </c>
      <c r="E323" s="17" t="s">
        <v>97</v>
      </c>
      <c r="F323" s="17" t="s">
        <v>97</v>
      </c>
      <c r="G323" s="17">
        <v>134.04462000000001</v>
      </c>
      <c r="H323" s="17">
        <v>117.8</v>
      </c>
      <c r="I323" s="17" t="s">
        <v>115</v>
      </c>
    </row>
    <row r="324" spans="1:9" ht="15.6" x14ac:dyDescent="0.3">
      <c r="A324" s="17" t="s">
        <v>58</v>
      </c>
      <c r="B324" s="17" t="s">
        <v>65</v>
      </c>
      <c r="C324" s="17" t="s">
        <v>113</v>
      </c>
      <c r="D324" s="17" t="s">
        <v>114</v>
      </c>
      <c r="E324" s="17" t="s">
        <v>99</v>
      </c>
      <c r="F324" s="17" t="s">
        <v>142</v>
      </c>
      <c r="G324" s="17">
        <v>142.428931830593</v>
      </c>
      <c r="H324" s="17">
        <v>125.1682325605</v>
      </c>
      <c r="I324" s="17" t="s">
        <v>115</v>
      </c>
    </row>
    <row r="325" spans="1:9" ht="15.6" x14ac:dyDescent="0.3">
      <c r="A325" s="17" t="s">
        <v>58</v>
      </c>
      <c r="B325" s="17" t="s">
        <v>65</v>
      </c>
      <c r="C325" s="17" t="s">
        <v>113</v>
      </c>
      <c r="D325" s="17" t="s">
        <v>114</v>
      </c>
      <c r="E325" s="17" t="s">
        <v>99</v>
      </c>
      <c r="F325" s="17" t="s">
        <v>143</v>
      </c>
      <c r="G325" s="17">
        <v>11.1625139387312</v>
      </c>
      <c r="H325" s="17">
        <v>9.8097494847799993</v>
      </c>
      <c r="I325" s="17" t="s">
        <v>115</v>
      </c>
    </row>
    <row r="326" spans="1:9" ht="15.6" x14ac:dyDescent="0.3">
      <c r="A326" s="17" t="s">
        <v>58</v>
      </c>
      <c r="B326" s="17" t="s">
        <v>65</v>
      </c>
      <c r="C326" s="17" t="s">
        <v>113</v>
      </c>
      <c r="D326" s="17" t="s">
        <v>114</v>
      </c>
      <c r="E326" s="17" t="s">
        <v>99</v>
      </c>
      <c r="F326" s="17" t="s">
        <v>144</v>
      </c>
      <c r="G326" s="17">
        <v>88.851083272959002</v>
      </c>
      <c r="H326" s="17">
        <v>78.083384544300003</v>
      </c>
      <c r="I326" s="17" t="s">
        <v>115</v>
      </c>
    </row>
    <row r="327" spans="1:9" ht="15.6" x14ac:dyDescent="0.3">
      <c r="A327" s="17" t="s">
        <v>58</v>
      </c>
      <c r="B327" s="17" t="s">
        <v>65</v>
      </c>
      <c r="C327" s="17" t="s">
        <v>113</v>
      </c>
      <c r="D327" s="17" t="s">
        <v>114</v>
      </c>
      <c r="E327" s="17" t="s">
        <v>99</v>
      </c>
      <c r="F327" s="17" t="s">
        <v>145</v>
      </c>
      <c r="G327" s="17">
        <v>1.2528791055E-4</v>
      </c>
      <c r="H327" s="17">
        <v>1.101045E-4</v>
      </c>
      <c r="I327" s="17" t="s">
        <v>115</v>
      </c>
    </row>
    <row r="328" spans="1:9" ht="15.6" x14ac:dyDescent="0.3">
      <c r="A328" s="17" t="s">
        <v>58</v>
      </c>
      <c r="B328" s="17" t="s">
        <v>65</v>
      </c>
      <c r="C328" s="17" t="s">
        <v>113</v>
      </c>
      <c r="D328" s="17" t="s">
        <v>114</v>
      </c>
      <c r="E328" s="17" t="s">
        <v>99</v>
      </c>
      <c r="F328" s="17" t="s">
        <v>146</v>
      </c>
      <c r="G328" s="17">
        <v>7.7699412770760007E-2</v>
      </c>
      <c r="H328" s="17">
        <v>6.8283164399999999E-2</v>
      </c>
      <c r="I328" s="17" t="s">
        <v>115</v>
      </c>
    </row>
    <row r="329" spans="1:9" ht="15.6" x14ac:dyDescent="0.3">
      <c r="A329" s="17" t="s">
        <v>58</v>
      </c>
      <c r="B329" s="17" t="s">
        <v>65</v>
      </c>
      <c r="C329" s="17" t="s">
        <v>113</v>
      </c>
      <c r="D329" s="17" t="s">
        <v>114</v>
      </c>
      <c r="E329" s="17" t="s">
        <v>99</v>
      </c>
      <c r="F329" s="17" t="s">
        <v>147</v>
      </c>
      <c r="G329" s="17">
        <v>9.5867802160027509</v>
      </c>
      <c r="H329" s="17">
        <v>8.4249760224999992</v>
      </c>
      <c r="I329" s="17" t="s">
        <v>115</v>
      </c>
    </row>
    <row r="330" spans="1:9" ht="15.6" x14ac:dyDescent="0.3">
      <c r="A330" s="17" t="s">
        <v>58</v>
      </c>
      <c r="B330" s="17" t="s">
        <v>65</v>
      </c>
      <c r="C330" s="17" t="s">
        <v>113</v>
      </c>
      <c r="D330" s="17" t="s">
        <v>114</v>
      </c>
      <c r="E330" s="17" t="s">
        <v>99</v>
      </c>
      <c r="F330" s="17" t="s">
        <v>148</v>
      </c>
      <c r="G330" s="17">
        <v>1015.41954436217</v>
      </c>
      <c r="H330" s="17">
        <v>892.36272463499995</v>
      </c>
      <c r="I330" s="17" t="s">
        <v>115</v>
      </c>
    </row>
    <row r="331" spans="1:9" ht="15.6" x14ac:dyDescent="0.3">
      <c r="A331" s="17" t="s">
        <v>58</v>
      </c>
      <c r="B331" s="17" t="s">
        <v>65</v>
      </c>
      <c r="C331" s="17" t="s">
        <v>113</v>
      </c>
      <c r="D331" s="17" t="s">
        <v>114</v>
      </c>
      <c r="E331" s="17" t="s">
        <v>99</v>
      </c>
      <c r="F331" s="17" t="s">
        <v>149</v>
      </c>
      <c r="G331" s="17">
        <v>8.8291936799999992E-6</v>
      </c>
      <c r="H331" s="17">
        <v>7.7592000000000002E-6</v>
      </c>
      <c r="I331" s="17" t="s">
        <v>115</v>
      </c>
    </row>
    <row r="332" spans="1:9" ht="15.6" x14ac:dyDescent="0.3">
      <c r="A332" s="17" t="s">
        <v>58</v>
      </c>
      <c r="B332" s="17" t="s">
        <v>65</v>
      </c>
      <c r="C332" s="17" t="s">
        <v>113</v>
      </c>
      <c r="D332" s="17" t="s">
        <v>114</v>
      </c>
      <c r="E332" s="17" t="s">
        <v>99</v>
      </c>
      <c r="F332" s="17" t="s">
        <v>150</v>
      </c>
      <c r="G332" s="17">
        <v>6.8237905812000002E-4</v>
      </c>
      <c r="H332" s="17">
        <v>5.9968279999999998E-4</v>
      </c>
      <c r="I332" s="17" t="s">
        <v>115</v>
      </c>
    </row>
    <row r="333" spans="1:9" ht="15.6" x14ac:dyDescent="0.3">
      <c r="A333" s="17" t="s">
        <v>58</v>
      </c>
      <c r="B333" s="17" t="s">
        <v>65</v>
      </c>
      <c r="C333" s="17" t="s">
        <v>113</v>
      </c>
      <c r="D333" s="17" t="s">
        <v>114</v>
      </c>
      <c r="E333" s="17" t="s">
        <v>99</v>
      </c>
      <c r="F333" s="17" t="s">
        <v>151</v>
      </c>
      <c r="G333" s="17">
        <v>5.2198663315437299</v>
      </c>
      <c r="H333" s="17">
        <v>4.5872803687000001</v>
      </c>
      <c r="I333" s="17" t="s">
        <v>115</v>
      </c>
    </row>
    <row r="334" spans="1:9" ht="15.6" x14ac:dyDescent="0.3">
      <c r="A334" s="17" t="s">
        <v>58</v>
      </c>
      <c r="B334" s="17" t="s">
        <v>65</v>
      </c>
      <c r="C334" s="17" t="s">
        <v>113</v>
      </c>
      <c r="D334" s="17" t="s">
        <v>114</v>
      </c>
      <c r="E334" s="17" t="s">
        <v>99</v>
      </c>
      <c r="F334" s="17" t="s">
        <v>152</v>
      </c>
      <c r="G334" s="17">
        <v>34.982417158470597</v>
      </c>
      <c r="H334" s="17">
        <v>30.742962614</v>
      </c>
      <c r="I334" s="17" t="s">
        <v>115</v>
      </c>
    </row>
    <row r="335" spans="1:9" ht="15.6" x14ac:dyDescent="0.3">
      <c r="A335" s="17" t="s">
        <v>58</v>
      </c>
      <c r="B335" s="17" t="s">
        <v>65</v>
      </c>
      <c r="C335" s="17" t="s">
        <v>113</v>
      </c>
      <c r="D335" s="17" t="s">
        <v>114</v>
      </c>
      <c r="E335" s="17" t="s">
        <v>99</v>
      </c>
      <c r="F335" s="17" t="s">
        <v>153</v>
      </c>
      <c r="G335" s="17">
        <v>0.90200052202518</v>
      </c>
      <c r="H335" s="17">
        <v>0.79268874420000002</v>
      </c>
      <c r="I335" s="17" t="s">
        <v>115</v>
      </c>
    </row>
    <row r="336" spans="1:9" ht="15.6" x14ac:dyDescent="0.3">
      <c r="A336" s="17" t="s">
        <v>58</v>
      </c>
      <c r="B336" s="17" t="s">
        <v>65</v>
      </c>
      <c r="C336" s="17" t="s">
        <v>113</v>
      </c>
      <c r="D336" s="17" t="s">
        <v>114</v>
      </c>
      <c r="E336" s="17" t="s">
        <v>99</v>
      </c>
      <c r="F336" s="17" t="s">
        <v>154</v>
      </c>
      <c r="G336" s="17">
        <v>7.2682163153399999E-3</v>
      </c>
      <c r="H336" s="17">
        <v>6.3873945999999996E-3</v>
      </c>
      <c r="I336" s="17" t="s">
        <v>115</v>
      </c>
    </row>
    <row r="337" spans="1:9" ht="15.6" x14ac:dyDescent="0.3">
      <c r="A337" s="17" t="s">
        <v>58</v>
      </c>
      <c r="B337" s="17" t="s">
        <v>65</v>
      </c>
      <c r="C337" s="17" t="s">
        <v>113</v>
      </c>
      <c r="D337" s="17" t="s">
        <v>114</v>
      </c>
      <c r="E337" s="17" t="s">
        <v>101</v>
      </c>
      <c r="F337" s="17" t="s">
        <v>170</v>
      </c>
      <c r="G337" s="17">
        <v>31.496789239999998</v>
      </c>
      <c r="H337" s="17">
        <v>27.679751507162301</v>
      </c>
      <c r="I337" s="17" t="s">
        <v>115</v>
      </c>
    </row>
    <row r="338" spans="1:9" ht="15.6" x14ac:dyDescent="0.3">
      <c r="A338" s="17" t="s">
        <v>58</v>
      </c>
      <c r="B338" s="17" t="s">
        <v>65</v>
      </c>
      <c r="C338" s="17" t="s">
        <v>113</v>
      </c>
      <c r="D338" s="17" t="s">
        <v>114</v>
      </c>
      <c r="E338" s="17" t="s">
        <v>101</v>
      </c>
      <c r="F338" s="17" t="s">
        <v>173</v>
      </c>
      <c r="G338" s="17">
        <v>137.12752111034399</v>
      </c>
      <c r="H338" s="17">
        <v>120.509290017</v>
      </c>
      <c r="I338" s="17" t="s">
        <v>115</v>
      </c>
    </row>
    <row r="339" spans="1:9" ht="15.6" x14ac:dyDescent="0.3">
      <c r="A339" s="17" t="s">
        <v>58</v>
      </c>
      <c r="B339" s="17" t="s">
        <v>65</v>
      </c>
      <c r="C339" s="17" t="s">
        <v>113</v>
      </c>
      <c r="D339" s="17" t="s">
        <v>114</v>
      </c>
      <c r="E339" s="17" t="s">
        <v>101</v>
      </c>
      <c r="F339" s="17" t="s">
        <v>156</v>
      </c>
      <c r="G339" s="17">
        <v>25.6257645318173</v>
      </c>
      <c r="H339" s="17">
        <v>22.520225443200001</v>
      </c>
      <c r="I339" s="17" t="s">
        <v>115</v>
      </c>
    </row>
    <row r="340" spans="1:9" ht="15.6" x14ac:dyDescent="0.3">
      <c r="A340" s="17" t="s">
        <v>58</v>
      </c>
      <c r="B340" s="17" t="s">
        <v>65</v>
      </c>
      <c r="C340" s="17" t="s">
        <v>113</v>
      </c>
      <c r="D340" s="17" t="s">
        <v>114</v>
      </c>
      <c r="E340" s="17" t="s">
        <v>101</v>
      </c>
      <c r="F340" s="17" t="s">
        <v>157</v>
      </c>
      <c r="G340" s="17">
        <v>3770.38258875978</v>
      </c>
      <c r="H340" s="17">
        <v>3313.4568844009</v>
      </c>
      <c r="I340" s="17" t="s">
        <v>115</v>
      </c>
    </row>
    <row r="341" spans="1:9" ht="15.6" x14ac:dyDescent="0.3">
      <c r="A341" s="17" t="s">
        <v>58</v>
      </c>
      <c r="B341" s="17" t="s">
        <v>65</v>
      </c>
      <c r="C341" s="17" t="s">
        <v>113</v>
      </c>
      <c r="D341" s="17" t="s">
        <v>114</v>
      </c>
      <c r="E341" s="17" t="s">
        <v>101</v>
      </c>
      <c r="F341" s="17" t="s">
        <v>158</v>
      </c>
      <c r="G341" s="17">
        <v>459.26892162794502</v>
      </c>
      <c r="H341" s="17">
        <v>403.61096900249998</v>
      </c>
      <c r="I341" s="17" t="s">
        <v>115</v>
      </c>
    </row>
    <row r="342" spans="1:9" ht="15.6" x14ac:dyDescent="0.3">
      <c r="A342" s="17" t="s">
        <v>58</v>
      </c>
      <c r="B342" s="17" t="s">
        <v>65</v>
      </c>
      <c r="C342" s="17" t="s">
        <v>113</v>
      </c>
      <c r="D342" s="17" t="s">
        <v>114</v>
      </c>
      <c r="E342" s="17" t="s">
        <v>101</v>
      </c>
      <c r="F342" s="17" t="s">
        <v>159</v>
      </c>
      <c r="G342" s="17">
        <v>122.035704012547</v>
      </c>
      <c r="H342" s="17">
        <v>107.246422368</v>
      </c>
      <c r="I342" s="17" t="s">
        <v>115</v>
      </c>
    </row>
    <row r="343" spans="1:9" ht="15.6" x14ac:dyDescent="0.3">
      <c r="A343" s="17" t="s">
        <v>58</v>
      </c>
      <c r="B343" s="17" t="s">
        <v>65</v>
      </c>
      <c r="C343" s="17" t="s">
        <v>113</v>
      </c>
      <c r="D343" s="17" t="s">
        <v>114</v>
      </c>
      <c r="E343" s="17" t="s">
        <v>101</v>
      </c>
      <c r="F343" s="17" t="s">
        <v>160</v>
      </c>
      <c r="G343" s="17">
        <v>668.66697034650497</v>
      </c>
      <c r="H343" s="17">
        <v>587.63245482599996</v>
      </c>
      <c r="I343" s="17" t="s">
        <v>115</v>
      </c>
    </row>
    <row r="344" spans="1:9" ht="15.6" x14ac:dyDescent="0.3">
      <c r="A344" s="17" t="s">
        <v>58</v>
      </c>
      <c r="B344" s="17" t="s">
        <v>65</v>
      </c>
      <c r="C344" s="17" t="s">
        <v>113</v>
      </c>
      <c r="D344" s="17" t="s">
        <v>114</v>
      </c>
      <c r="E344" s="17" t="s">
        <v>101</v>
      </c>
      <c r="F344" s="17" t="s">
        <v>161</v>
      </c>
      <c r="G344" s="17">
        <v>61.896958116505402</v>
      </c>
      <c r="H344" s="17">
        <v>54.395780047899997</v>
      </c>
      <c r="I344" s="17" t="s">
        <v>115</v>
      </c>
    </row>
    <row r="345" spans="1:9" ht="15.6" x14ac:dyDescent="0.3">
      <c r="A345" s="17" t="s">
        <v>58</v>
      </c>
      <c r="B345" s="17" t="s">
        <v>65</v>
      </c>
      <c r="C345" s="17" t="s">
        <v>113</v>
      </c>
      <c r="D345" s="17" t="s">
        <v>114</v>
      </c>
      <c r="E345" s="17" t="s">
        <v>101</v>
      </c>
      <c r="F345" s="17" t="s">
        <v>162</v>
      </c>
      <c r="G345" s="17">
        <v>142.03769219773801</v>
      </c>
      <c r="H345" s="17">
        <v>124.824406536372</v>
      </c>
      <c r="I345" s="17" t="s">
        <v>115</v>
      </c>
    </row>
    <row r="346" spans="1:9" ht="15.6" x14ac:dyDescent="0.3">
      <c r="A346" s="17" t="s">
        <v>58</v>
      </c>
      <c r="B346" s="17" t="s">
        <v>65</v>
      </c>
      <c r="C346" s="17" t="s">
        <v>113</v>
      </c>
      <c r="D346" s="17" t="s">
        <v>114</v>
      </c>
      <c r="E346" s="17" t="s">
        <v>101</v>
      </c>
      <c r="F346" s="17" t="s">
        <v>163</v>
      </c>
      <c r="G346" s="17">
        <v>195.29479579303199</v>
      </c>
      <c r="H346" s="17">
        <v>171.62738007999999</v>
      </c>
      <c r="I346" s="17" t="s">
        <v>115</v>
      </c>
    </row>
    <row r="347" spans="1:9" ht="15.6" x14ac:dyDescent="0.3">
      <c r="A347" s="17" t="s">
        <v>58</v>
      </c>
      <c r="B347" s="17" t="s">
        <v>65</v>
      </c>
      <c r="C347" s="17" t="s">
        <v>113</v>
      </c>
      <c r="D347" s="17" t="s">
        <v>114</v>
      </c>
      <c r="E347" s="17" t="s">
        <v>101</v>
      </c>
      <c r="F347" s="17" t="s">
        <v>164</v>
      </c>
      <c r="G347" s="17">
        <v>0.47843014091144997</v>
      </c>
      <c r="H347" s="17">
        <v>0.42045007550000002</v>
      </c>
      <c r="I347" s="17" t="s">
        <v>115</v>
      </c>
    </row>
    <row r="348" spans="1:9" ht="15.6" x14ac:dyDescent="0.3">
      <c r="A348" s="17" t="s">
        <v>58</v>
      </c>
      <c r="B348" s="17" t="s">
        <v>65</v>
      </c>
      <c r="C348" s="17" t="s">
        <v>113</v>
      </c>
      <c r="D348" s="17" t="s">
        <v>114</v>
      </c>
      <c r="E348" s="17" t="s">
        <v>102</v>
      </c>
      <c r="F348" s="17" t="s">
        <v>165</v>
      </c>
      <c r="G348" s="17">
        <v>34.801399185562502</v>
      </c>
      <c r="H348" s="17">
        <v>30.583881874999999</v>
      </c>
      <c r="I348" s="17" t="s">
        <v>115</v>
      </c>
    </row>
    <row r="349" spans="1:9" ht="15.6" x14ac:dyDescent="0.3">
      <c r="A349" s="17" t="s">
        <v>58</v>
      </c>
      <c r="B349" s="17" t="s">
        <v>65</v>
      </c>
      <c r="C349" s="17" t="s">
        <v>113</v>
      </c>
      <c r="D349" s="17" t="s">
        <v>114</v>
      </c>
      <c r="E349" s="17" t="s">
        <v>102</v>
      </c>
      <c r="F349" s="17" t="s">
        <v>166</v>
      </c>
      <c r="G349" s="17">
        <v>474.49206955555201</v>
      </c>
      <c r="H349" s="17">
        <v>416.98925174053198</v>
      </c>
      <c r="I349" s="17" t="s">
        <v>115</v>
      </c>
    </row>
    <row r="350" spans="1:9" ht="15.6" x14ac:dyDescent="0.3">
      <c r="A350" s="17" t="s">
        <v>58</v>
      </c>
      <c r="B350" s="17" t="s">
        <v>65</v>
      </c>
      <c r="C350" s="17" t="s">
        <v>113</v>
      </c>
      <c r="D350" s="17" t="s">
        <v>114</v>
      </c>
      <c r="E350" s="17" t="s">
        <v>103</v>
      </c>
      <c r="F350" s="17" t="s">
        <v>103</v>
      </c>
      <c r="G350" s="17">
        <v>33.475880099999998</v>
      </c>
      <c r="H350" s="17">
        <v>29.419</v>
      </c>
      <c r="I350" s="17" t="s">
        <v>115</v>
      </c>
    </row>
    <row r="351" spans="1:9" ht="15.6" x14ac:dyDescent="0.3">
      <c r="A351" s="17" t="s">
        <v>58</v>
      </c>
      <c r="B351" s="17" t="s">
        <v>65</v>
      </c>
      <c r="C351" s="17" t="s">
        <v>167</v>
      </c>
      <c r="D351" s="17" t="s">
        <v>168</v>
      </c>
      <c r="E351" s="17" t="s">
        <v>100</v>
      </c>
      <c r="F351" s="17" t="s">
        <v>100</v>
      </c>
      <c r="G351" s="17">
        <v>0</v>
      </c>
      <c r="H351" s="17">
        <v>0</v>
      </c>
      <c r="I351" s="17" t="s">
        <v>115</v>
      </c>
    </row>
    <row r="352" spans="1:9" ht="15.6" x14ac:dyDescent="0.3">
      <c r="A352" s="17" t="s">
        <v>58</v>
      </c>
      <c r="B352" s="17" t="s">
        <v>65</v>
      </c>
      <c r="C352" s="17" t="s">
        <v>167</v>
      </c>
      <c r="D352" s="17" t="s">
        <v>114</v>
      </c>
      <c r="E352" s="17" t="s">
        <v>100</v>
      </c>
      <c r="F352" s="17" t="s">
        <v>100</v>
      </c>
      <c r="G352" s="17">
        <v>267.740366926359</v>
      </c>
      <c r="H352" s="17">
        <v>235.29340621</v>
      </c>
      <c r="I352" s="17" t="s">
        <v>115</v>
      </c>
    </row>
    <row r="353" spans="1:9" ht="15.6" x14ac:dyDescent="0.3">
      <c r="A353" s="17" t="s">
        <v>58</v>
      </c>
      <c r="B353" s="17" t="s">
        <v>66</v>
      </c>
      <c r="C353" s="17" t="s">
        <v>113</v>
      </c>
      <c r="D353" s="17" t="s">
        <v>114</v>
      </c>
      <c r="E353" s="17" t="s">
        <v>71</v>
      </c>
      <c r="F353" s="17" t="s">
        <v>71</v>
      </c>
      <c r="G353" s="17">
        <v>56.812893600000002</v>
      </c>
      <c r="H353" s="17">
        <v>50.268000000000001</v>
      </c>
      <c r="I353" s="17" t="s">
        <v>115</v>
      </c>
    </row>
    <row r="354" spans="1:9" ht="15.6" x14ac:dyDescent="0.3">
      <c r="A354" s="17" t="s">
        <v>58</v>
      </c>
      <c r="B354" s="17" t="s">
        <v>66</v>
      </c>
      <c r="C354" s="17" t="s">
        <v>113</v>
      </c>
      <c r="D354" s="17" t="s">
        <v>114</v>
      </c>
      <c r="E354" s="17" t="s">
        <v>72</v>
      </c>
      <c r="F354" s="17" t="s">
        <v>116</v>
      </c>
      <c r="G354" s="17">
        <v>181.57069872</v>
      </c>
      <c r="H354" s="17">
        <v>160.65360000000001</v>
      </c>
      <c r="I354" s="17" t="s">
        <v>115</v>
      </c>
    </row>
    <row r="355" spans="1:9" ht="15.6" x14ac:dyDescent="0.3">
      <c r="A355" s="17" t="s">
        <v>58</v>
      </c>
      <c r="B355" s="17" t="s">
        <v>66</v>
      </c>
      <c r="C355" s="17" t="s">
        <v>113</v>
      </c>
      <c r="D355" s="17" t="s">
        <v>114</v>
      </c>
      <c r="E355" s="17" t="s">
        <v>73</v>
      </c>
      <c r="F355" s="17" t="s">
        <v>169</v>
      </c>
      <c r="G355" s="17">
        <v>0</v>
      </c>
      <c r="H355" s="17">
        <v>0</v>
      </c>
      <c r="I355" s="17" t="s">
        <v>115</v>
      </c>
    </row>
    <row r="356" spans="1:9" ht="15.6" x14ac:dyDescent="0.3">
      <c r="A356" s="17" t="s">
        <v>58</v>
      </c>
      <c r="B356" s="17" t="s">
        <v>66</v>
      </c>
      <c r="C356" s="17" t="s">
        <v>113</v>
      </c>
      <c r="D356" s="17" t="s">
        <v>114</v>
      </c>
      <c r="E356" s="17" t="s">
        <v>73</v>
      </c>
      <c r="F356" s="17" t="s">
        <v>117</v>
      </c>
      <c r="G356" s="17">
        <v>0</v>
      </c>
      <c r="H356" s="17">
        <v>0</v>
      </c>
      <c r="I356" s="17" t="s">
        <v>115</v>
      </c>
    </row>
    <row r="357" spans="1:9" ht="15.6" x14ac:dyDescent="0.3">
      <c r="A357" s="17" t="s">
        <v>58</v>
      </c>
      <c r="B357" s="17" t="s">
        <v>66</v>
      </c>
      <c r="C357" s="17" t="s">
        <v>113</v>
      </c>
      <c r="D357" s="17" t="s">
        <v>114</v>
      </c>
      <c r="E357" s="17" t="s">
        <v>73</v>
      </c>
      <c r="F357" s="17" t="s">
        <v>118</v>
      </c>
      <c r="G357" s="17">
        <v>536.02357064</v>
      </c>
      <c r="H357" s="17">
        <v>474.27319999999997</v>
      </c>
      <c r="I357" s="17" t="s">
        <v>115</v>
      </c>
    </row>
    <row r="358" spans="1:9" ht="15.6" x14ac:dyDescent="0.3">
      <c r="A358" s="17" t="s">
        <v>58</v>
      </c>
      <c r="B358" s="17" t="s">
        <v>66</v>
      </c>
      <c r="C358" s="17" t="s">
        <v>113</v>
      </c>
      <c r="D358" s="17" t="s">
        <v>114</v>
      </c>
      <c r="E358" s="17" t="s">
        <v>73</v>
      </c>
      <c r="F358" s="17" t="s">
        <v>119</v>
      </c>
      <c r="G358" s="17">
        <v>954.15049585701399</v>
      </c>
      <c r="H358" s="17">
        <v>844.23154827200005</v>
      </c>
      <c r="I358" s="17" t="s">
        <v>115</v>
      </c>
    </row>
    <row r="359" spans="1:9" ht="15.6" x14ac:dyDescent="0.3">
      <c r="A359" s="17" t="s">
        <v>58</v>
      </c>
      <c r="B359" s="17" t="s">
        <v>66</v>
      </c>
      <c r="C359" s="17" t="s">
        <v>113</v>
      </c>
      <c r="D359" s="17" t="s">
        <v>114</v>
      </c>
      <c r="E359" s="17" t="s">
        <v>73</v>
      </c>
      <c r="F359" s="17" t="s">
        <v>120</v>
      </c>
      <c r="G359" s="17">
        <v>28.691665929862999</v>
      </c>
      <c r="H359" s="17">
        <v>25.386361643835599</v>
      </c>
      <c r="I359" s="17" t="s">
        <v>115</v>
      </c>
    </row>
    <row r="360" spans="1:9" ht="15.6" x14ac:dyDescent="0.3">
      <c r="A360" s="17" t="s">
        <v>58</v>
      </c>
      <c r="B360" s="17" t="s">
        <v>66</v>
      </c>
      <c r="C360" s="17" t="s">
        <v>113</v>
      </c>
      <c r="D360" s="17" t="s">
        <v>114</v>
      </c>
      <c r="E360" s="17" t="s">
        <v>74</v>
      </c>
      <c r="F360" s="17" t="s">
        <v>121</v>
      </c>
      <c r="G360" s="17">
        <v>0.18670903999999999</v>
      </c>
      <c r="H360" s="17">
        <v>0.16520000000000001</v>
      </c>
      <c r="I360" s="17" t="s">
        <v>115</v>
      </c>
    </row>
    <row r="361" spans="1:9" ht="15.6" x14ac:dyDescent="0.3">
      <c r="A361" s="17" t="s">
        <v>58</v>
      </c>
      <c r="B361" s="17" t="s">
        <v>66</v>
      </c>
      <c r="C361" s="17" t="s">
        <v>113</v>
      </c>
      <c r="D361" s="17" t="s">
        <v>114</v>
      </c>
      <c r="E361" s="17" t="s">
        <v>76</v>
      </c>
      <c r="F361" s="17" t="s">
        <v>122</v>
      </c>
      <c r="G361" s="17">
        <v>145.66017600000001</v>
      </c>
      <c r="H361" s="17">
        <v>128.88</v>
      </c>
      <c r="I361" s="17" t="s">
        <v>115</v>
      </c>
    </row>
    <row r="362" spans="1:9" ht="15.6" x14ac:dyDescent="0.3">
      <c r="A362" s="17" t="s">
        <v>58</v>
      </c>
      <c r="B362" s="17" t="s">
        <v>66</v>
      </c>
      <c r="C362" s="17" t="s">
        <v>113</v>
      </c>
      <c r="D362" s="17" t="s">
        <v>114</v>
      </c>
      <c r="E362" s="17" t="s">
        <v>80</v>
      </c>
      <c r="F362" s="17" t="s">
        <v>80</v>
      </c>
      <c r="G362" s="17">
        <v>0.69208529136268404</v>
      </c>
      <c r="H362" s="17">
        <v>0.61235647793548398</v>
      </c>
      <c r="I362" s="17" t="s">
        <v>115</v>
      </c>
    </row>
    <row r="363" spans="1:9" ht="15.6" x14ac:dyDescent="0.3">
      <c r="A363" s="17" t="s">
        <v>58</v>
      </c>
      <c r="B363" s="17" t="s">
        <v>66</v>
      </c>
      <c r="C363" s="17" t="s">
        <v>113</v>
      </c>
      <c r="D363" s="17" t="s">
        <v>114</v>
      </c>
      <c r="E363" s="17" t="s">
        <v>77</v>
      </c>
      <c r="F363" s="17" t="s">
        <v>77</v>
      </c>
      <c r="G363" s="17">
        <v>7.9351341999999998E-4</v>
      </c>
      <c r="H363" s="17">
        <v>7.0209999999999999E-4</v>
      </c>
      <c r="I363" s="17" t="s">
        <v>115</v>
      </c>
    </row>
    <row r="364" spans="1:9" ht="15.6" x14ac:dyDescent="0.3">
      <c r="A364" s="17" t="s">
        <v>58</v>
      </c>
      <c r="B364" s="17" t="s">
        <v>66</v>
      </c>
      <c r="C364" s="17" t="s">
        <v>113</v>
      </c>
      <c r="D364" s="17" t="s">
        <v>114</v>
      </c>
      <c r="E364" s="17" t="s">
        <v>78</v>
      </c>
      <c r="F364" s="17" t="s">
        <v>123</v>
      </c>
      <c r="G364" s="17">
        <v>14.760480055053799</v>
      </c>
      <c r="H364" s="17">
        <v>13.060060215053801</v>
      </c>
      <c r="I364" s="17" t="s">
        <v>115</v>
      </c>
    </row>
    <row r="365" spans="1:9" ht="15.6" x14ac:dyDescent="0.3">
      <c r="A365" s="17" t="s">
        <v>58</v>
      </c>
      <c r="B365" s="17" t="s">
        <v>66</v>
      </c>
      <c r="C365" s="17" t="s">
        <v>113</v>
      </c>
      <c r="D365" s="17" t="s">
        <v>114</v>
      </c>
      <c r="E365" s="17" t="s">
        <v>78</v>
      </c>
      <c r="F365" s="17" t="s">
        <v>124</v>
      </c>
      <c r="G365" s="17">
        <v>225.75745000000001</v>
      </c>
      <c r="H365" s="17">
        <v>199.75</v>
      </c>
      <c r="I365" s="17" t="s">
        <v>115</v>
      </c>
    </row>
    <row r="366" spans="1:9" ht="15.6" x14ac:dyDescent="0.3">
      <c r="A366" s="17" t="s">
        <v>58</v>
      </c>
      <c r="B366" s="17" t="s">
        <v>66</v>
      </c>
      <c r="C366" s="17" t="s">
        <v>113</v>
      </c>
      <c r="D366" s="17" t="s">
        <v>114</v>
      </c>
      <c r="E366" s="17" t="s">
        <v>78</v>
      </c>
      <c r="F366" s="17" t="s">
        <v>125</v>
      </c>
      <c r="G366" s="17">
        <v>194.9730624</v>
      </c>
      <c r="H366" s="17">
        <v>172.512</v>
      </c>
      <c r="I366" s="17" t="s">
        <v>115</v>
      </c>
    </row>
    <row r="367" spans="1:9" ht="15.6" x14ac:dyDescent="0.3">
      <c r="A367" s="17" t="s">
        <v>58</v>
      </c>
      <c r="B367" s="17" t="s">
        <v>66</v>
      </c>
      <c r="C367" s="17" t="s">
        <v>113</v>
      </c>
      <c r="D367" s="17" t="s">
        <v>114</v>
      </c>
      <c r="E367" s="17" t="s">
        <v>79</v>
      </c>
      <c r="F367" s="17" t="s">
        <v>126</v>
      </c>
      <c r="G367" s="17">
        <v>2728.2075255474601</v>
      </c>
      <c r="H367" s="17">
        <v>2413.9157012453202</v>
      </c>
      <c r="I367" s="17" t="s">
        <v>115</v>
      </c>
    </row>
    <row r="368" spans="1:9" ht="15.6" x14ac:dyDescent="0.3">
      <c r="A368" s="17" t="s">
        <v>58</v>
      </c>
      <c r="B368" s="17" t="s">
        <v>66</v>
      </c>
      <c r="C368" s="17" t="s">
        <v>113</v>
      </c>
      <c r="D368" s="17" t="s">
        <v>114</v>
      </c>
      <c r="E368" s="17" t="s">
        <v>79</v>
      </c>
      <c r="F368" s="17" t="s">
        <v>79</v>
      </c>
      <c r="G368" s="17">
        <v>1896.1144491871501</v>
      </c>
      <c r="H368" s="17">
        <v>1677.68045406756</v>
      </c>
      <c r="I368" s="17" t="s">
        <v>115</v>
      </c>
    </row>
    <row r="369" spans="1:9" ht="15.6" x14ac:dyDescent="0.3">
      <c r="A369" s="17" t="s">
        <v>58</v>
      </c>
      <c r="B369" s="17" t="s">
        <v>66</v>
      </c>
      <c r="C369" s="17" t="s">
        <v>113</v>
      </c>
      <c r="D369" s="17" t="s">
        <v>114</v>
      </c>
      <c r="E369" s="17" t="s">
        <v>81</v>
      </c>
      <c r="F369" s="17" t="s">
        <v>81</v>
      </c>
      <c r="G369" s="17">
        <v>258.99959268326302</v>
      </c>
      <c r="H369" s="17">
        <v>229.16261961003701</v>
      </c>
      <c r="I369" s="17" t="s">
        <v>115</v>
      </c>
    </row>
    <row r="370" spans="1:9" ht="15.6" x14ac:dyDescent="0.3">
      <c r="A370" s="17" t="s">
        <v>58</v>
      </c>
      <c r="B370" s="17" t="s">
        <v>66</v>
      </c>
      <c r="C370" s="17" t="s">
        <v>113</v>
      </c>
      <c r="D370" s="17" t="s">
        <v>114</v>
      </c>
      <c r="E370" s="17" t="s">
        <v>82</v>
      </c>
      <c r="F370" s="17" t="s">
        <v>82</v>
      </c>
      <c r="G370" s="17">
        <v>104.64781121107499</v>
      </c>
      <c r="H370" s="17">
        <v>92.592294470956304</v>
      </c>
      <c r="I370" s="17" t="s">
        <v>115</v>
      </c>
    </row>
    <row r="371" spans="1:9" ht="15.6" x14ac:dyDescent="0.3">
      <c r="A371" s="17" t="s">
        <v>58</v>
      </c>
      <c r="B371" s="17" t="s">
        <v>66</v>
      </c>
      <c r="C371" s="17" t="s">
        <v>113</v>
      </c>
      <c r="D371" s="17" t="s">
        <v>114</v>
      </c>
      <c r="E371" s="17" t="s">
        <v>83</v>
      </c>
      <c r="F371" s="17" t="s">
        <v>127</v>
      </c>
      <c r="G371" s="17">
        <v>0.84279847908611405</v>
      </c>
      <c r="H371" s="17">
        <v>0.74570737841631096</v>
      </c>
      <c r="I371" s="17" t="s">
        <v>115</v>
      </c>
    </row>
    <row r="372" spans="1:9" ht="15.6" x14ac:dyDescent="0.3">
      <c r="A372" s="17" t="s">
        <v>58</v>
      </c>
      <c r="B372" s="17" t="s">
        <v>66</v>
      </c>
      <c r="C372" s="17" t="s">
        <v>113</v>
      </c>
      <c r="D372" s="17" t="s">
        <v>114</v>
      </c>
      <c r="E372" s="17" t="s">
        <v>83</v>
      </c>
      <c r="F372" s="17" t="s">
        <v>128</v>
      </c>
      <c r="G372" s="17">
        <v>63.0457105257981</v>
      </c>
      <c r="H372" s="17">
        <v>55.782791121746698</v>
      </c>
      <c r="I372" s="17" t="s">
        <v>115</v>
      </c>
    </row>
    <row r="373" spans="1:9" ht="15.6" x14ac:dyDescent="0.3">
      <c r="A373" s="17" t="s">
        <v>58</v>
      </c>
      <c r="B373" s="17" t="s">
        <v>66</v>
      </c>
      <c r="C373" s="17" t="s">
        <v>113</v>
      </c>
      <c r="D373" s="17" t="s">
        <v>114</v>
      </c>
      <c r="E373" s="17" t="s">
        <v>84</v>
      </c>
      <c r="F373" s="17" t="s">
        <v>129</v>
      </c>
      <c r="G373" s="17">
        <v>14479.0113744911</v>
      </c>
      <c r="H373" s="17">
        <v>12811.016965573501</v>
      </c>
      <c r="I373" s="17" t="s">
        <v>115</v>
      </c>
    </row>
    <row r="374" spans="1:9" ht="15.6" x14ac:dyDescent="0.3">
      <c r="A374" s="17" t="s">
        <v>58</v>
      </c>
      <c r="B374" s="17" t="s">
        <v>66</v>
      </c>
      <c r="C374" s="17" t="s">
        <v>113</v>
      </c>
      <c r="D374" s="17" t="s">
        <v>114</v>
      </c>
      <c r="E374" s="17" t="s">
        <v>85</v>
      </c>
      <c r="F374" s="17" t="s">
        <v>85</v>
      </c>
      <c r="G374" s="17">
        <v>138.388442435505</v>
      </c>
      <c r="H374" s="17">
        <v>122.445976318798</v>
      </c>
      <c r="I374" s="17" t="s">
        <v>115</v>
      </c>
    </row>
    <row r="375" spans="1:9" ht="15.6" x14ac:dyDescent="0.3">
      <c r="A375" s="17" t="s">
        <v>58</v>
      </c>
      <c r="B375" s="17" t="s">
        <v>66</v>
      </c>
      <c r="C375" s="17" t="s">
        <v>113</v>
      </c>
      <c r="D375" s="17" t="s">
        <v>114</v>
      </c>
      <c r="E375" s="17" t="s">
        <v>87</v>
      </c>
      <c r="F375" s="17" t="s">
        <v>87</v>
      </c>
      <c r="G375" s="17">
        <v>7.1274742067448003</v>
      </c>
      <c r="H375" s="17">
        <v>6.3063831239999999</v>
      </c>
      <c r="I375" s="17" t="s">
        <v>115</v>
      </c>
    </row>
    <row r="376" spans="1:9" ht="15.6" x14ac:dyDescent="0.3">
      <c r="A376" s="17" t="s">
        <v>58</v>
      </c>
      <c r="B376" s="17" t="s">
        <v>66</v>
      </c>
      <c r="C376" s="17" t="s">
        <v>113</v>
      </c>
      <c r="D376" s="17" t="s">
        <v>114</v>
      </c>
      <c r="E376" s="17" t="s">
        <v>88</v>
      </c>
      <c r="F376" s="17" t="s">
        <v>88</v>
      </c>
      <c r="G376" s="17">
        <v>12.9797623712742</v>
      </c>
      <c r="H376" s="17">
        <v>11.484482720999999</v>
      </c>
      <c r="I376" s="17" t="s">
        <v>115</v>
      </c>
    </row>
    <row r="377" spans="1:9" ht="15.6" x14ac:dyDescent="0.3">
      <c r="A377" s="17" t="s">
        <v>58</v>
      </c>
      <c r="B377" s="17" t="s">
        <v>66</v>
      </c>
      <c r="C377" s="17" t="s">
        <v>113</v>
      </c>
      <c r="D377" s="17" t="s">
        <v>114</v>
      </c>
      <c r="E377" s="17" t="s">
        <v>89</v>
      </c>
      <c r="F377" s="17" t="s">
        <v>89</v>
      </c>
      <c r="G377" s="17">
        <v>154.62063491848801</v>
      </c>
      <c r="H377" s="17">
        <v>136.80820643999999</v>
      </c>
      <c r="I377" s="17" t="s">
        <v>115</v>
      </c>
    </row>
    <row r="378" spans="1:9" ht="15.6" x14ac:dyDescent="0.3">
      <c r="A378" s="17" t="s">
        <v>58</v>
      </c>
      <c r="B378" s="17" t="s">
        <v>66</v>
      </c>
      <c r="C378" s="17" t="s">
        <v>113</v>
      </c>
      <c r="D378" s="17" t="s">
        <v>114</v>
      </c>
      <c r="E378" s="17" t="s">
        <v>90</v>
      </c>
      <c r="F378" s="17" t="s">
        <v>90</v>
      </c>
      <c r="G378" s="17">
        <v>297.23649003983098</v>
      </c>
      <c r="H378" s="17">
        <v>262.99459391243198</v>
      </c>
      <c r="I378" s="17" t="s">
        <v>115</v>
      </c>
    </row>
    <row r="379" spans="1:9" ht="15.6" x14ac:dyDescent="0.3">
      <c r="A379" s="17" t="s">
        <v>58</v>
      </c>
      <c r="B379" s="17" t="s">
        <v>66</v>
      </c>
      <c r="C379" s="17" t="s">
        <v>113</v>
      </c>
      <c r="D379" s="17" t="s">
        <v>114</v>
      </c>
      <c r="E379" s="17" t="s">
        <v>91</v>
      </c>
      <c r="F379" s="17" t="s">
        <v>91</v>
      </c>
      <c r="G379" s="17">
        <v>24.270760747376301</v>
      </c>
      <c r="H379" s="17">
        <v>21.47474849352</v>
      </c>
      <c r="I379" s="17" t="s">
        <v>115</v>
      </c>
    </row>
    <row r="380" spans="1:9" ht="15.6" x14ac:dyDescent="0.3">
      <c r="A380" s="17" t="s">
        <v>58</v>
      </c>
      <c r="B380" s="17" t="s">
        <v>66</v>
      </c>
      <c r="C380" s="17" t="s">
        <v>113</v>
      </c>
      <c r="D380" s="17" t="s">
        <v>114</v>
      </c>
      <c r="E380" s="17" t="s">
        <v>93</v>
      </c>
      <c r="F380" s="17" t="s">
        <v>130</v>
      </c>
      <c r="G380" s="17">
        <v>588.19664513839996</v>
      </c>
      <c r="H380" s="17">
        <v>520.43589199999997</v>
      </c>
      <c r="I380" s="17" t="s">
        <v>115</v>
      </c>
    </row>
    <row r="381" spans="1:9" ht="15.6" x14ac:dyDescent="0.3">
      <c r="A381" s="17" t="s">
        <v>58</v>
      </c>
      <c r="B381" s="17" t="s">
        <v>66</v>
      </c>
      <c r="C381" s="17" t="s">
        <v>113</v>
      </c>
      <c r="D381" s="17" t="s">
        <v>114</v>
      </c>
      <c r="E381" s="17" t="s">
        <v>93</v>
      </c>
      <c r="F381" s="17" t="s">
        <v>131</v>
      </c>
      <c r="G381" s="17">
        <v>116.20716400000001</v>
      </c>
      <c r="H381" s="17">
        <v>102.82</v>
      </c>
      <c r="I381" s="17" t="s">
        <v>115</v>
      </c>
    </row>
    <row r="382" spans="1:9" ht="15.6" x14ac:dyDescent="0.3">
      <c r="A382" s="17" t="s">
        <v>58</v>
      </c>
      <c r="B382" s="17" t="s">
        <v>66</v>
      </c>
      <c r="C382" s="17" t="s">
        <v>113</v>
      </c>
      <c r="D382" s="17" t="s">
        <v>114</v>
      </c>
      <c r="E382" s="17" t="s">
        <v>93</v>
      </c>
      <c r="F382" s="17" t="s">
        <v>132</v>
      </c>
      <c r="G382" s="17">
        <v>1.8524966924999999</v>
      </c>
      <c r="H382" s="17">
        <v>1.6390875</v>
      </c>
      <c r="I382" s="17" t="s">
        <v>115</v>
      </c>
    </row>
    <row r="383" spans="1:9" ht="15.6" x14ac:dyDescent="0.3">
      <c r="A383" s="17" t="s">
        <v>58</v>
      </c>
      <c r="B383" s="17" t="s">
        <v>66</v>
      </c>
      <c r="C383" s="17" t="s">
        <v>113</v>
      </c>
      <c r="D383" s="17" t="s">
        <v>114</v>
      </c>
      <c r="E383" s="17" t="s">
        <v>93</v>
      </c>
      <c r="F383" s="17" t="s">
        <v>133</v>
      </c>
      <c r="G383" s="17">
        <v>19.359232258064502</v>
      </c>
      <c r="H383" s="17">
        <v>17.129032258064498</v>
      </c>
      <c r="I383" s="17" t="s">
        <v>115</v>
      </c>
    </row>
    <row r="384" spans="1:9" ht="15.6" x14ac:dyDescent="0.3">
      <c r="A384" s="17" t="s">
        <v>58</v>
      </c>
      <c r="B384" s="17" t="s">
        <v>66</v>
      </c>
      <c r="C384" s="17" t="s">
        <v>113</v>
      </c>
      <c r="D384" s="17" t="s">
        <v>114</v>
      </c>
      <c r="E384" s="17" t="s">
        <v>93</v>
      </c>
      <c r="F384" s="17" t="s">
        <v>134</v>
      </c>
      <c r="G384" s="17">
        <v>3.3065255522000001</v>
      </c>
      <c r="H384" s="17">
        <v>2.925611</v>
      </c>
      <c r="I384" s="17" t="s">
        <v>115</v>
      </c>
    </row>
    <row r="385" spans="1:9" ht="15.6" x14ac:dyDescent="0.3">
      <c r="A385" s="17" t="s">
        <v>58</v>
      </c>
      <c r="B385" s="17" t="s">
        <v>66</v>
      </c>
      <c r="C385" s="17" t="s">
        <v>113</v>
      </c>
      <c r="D385" s="17" t="s">
        <v>114</v>
      </c>
      <c r="E385" s="17" t="s">
        <v>93</v>
      </c>
      <c r="F385" s="17" t="s">
        <v>135</v>
      </c>
      <c r="G385" s="17">
        <v>17.4342464516129</v>
      </c>
      <c r="H385" s="17">
        <v>15.4258064516129</v>
      </c>
      <c r="I385" s="17" t="s">
        <v>115</v>
      </c>
    </row>
    <row r="386" spans="1:9" ht="15.6" x14ac:dyDescent="0.3">
      <c r="A386" s="17" t="s">
        <v>58</v>
      </c>
      <c r="B386" s="17" t="s">
        <v>66</v>
      </c>
      <c r="C386" s="17" t="s">
        <v>113</v>
      </c>
      <c r="D386" s="17" t="s">
        <v>114</v>
      </c>
      <c r="E386" s="17" t="s">
        <v>93</v>
      </c>
      <c r="F386" s="17" t="s">
        <v>136</v>
      </c>
      <c r="G386" s="17">
        <v>242.93429683026</v>
      </c>
      <c r="H386" s="17">
        <v>214.94805948527701</v>
      </c>
      <c r="I386" s="17" t="s">
        <v>115</v>
      </c>
    </row>
    <row r="387" spans="1:9" ht="15.6" x14ac:dyDescent="0.3">
      <c r="A387" s="17" t="s">
        <v>58</v>
      </c>
      <c r="B387" s="17" t="s">
        <v>66</v>
      </c>
      <c r="C387" s="17" t="s">
        <v>113</v>
      </c>
      <c r="D387" s="17" t="s">
        <v>114</v>
      </c>
      <c r="E387" s="17" t="s">
        <v>93</v>
      </c>
      <c r="F387" s="17" t="s">
        <v>137</v>
      </c>
      <c r="G387" s="17">
        <v>148.844446688</v>
      </c>
      <c r="H387" s="17">
        <v>131.69744</v>
      </c>
      <c r="I387" s="17" t="s">
        <v>115</v>
      </c>
    </row>
    <row r="388" spans="1:9" ht="15.6" x14ac:dyDescent="0.3">
      <c r="A388" s="17" t="s">
        <v>58</v>
      </c>
      <c r="B388" s="17" t="s">
        <v>66</v>
      </c>
      <c r="C388" s="17" t="s">
        <v>113</v>
      </c>
      <c r="D388" s="17" t="s">
        <v>114</v>
      </c>
      <c r="E388" s="17" t="s">
        <v>94</v>
      </c>
      <c r="F388" s="17" t="s">
        <v>94</v>
      </c>
      <c r="G388" s="17">
        <v>26.682052985204901</v>
      </c>
      <c r="H388" s="17">
        <v>23.608257817381801</v>
      </c>
      <c r="I388" s="17" t="s">
        <v>115</v>
      </c>
    </row>
    <row r="389" spans="1:9" ht="15.6" x14ac:dyDescent="0.3">
      <c r="A389" s="17" t="s">
        <v>58</v>
      </c>
      <c r="B389" s="17" t="s">
        <v>66</v>
      </c>
      <c r="C389" s="17" t="s">
        <v>113</v>
      </c>
      <c r="D389" s="17" t="s">
        <v>114</v>
      </c>
      <c r="E389" s="17" t="s">
        <v>95</v>
      </c>
      <c r="F389" s="17" t="s">
        <v>138</v>
      </c>
      <c r="G389" s="17">
        <v>461.71834560000002</v>
      </c>
      <c r="H389" s="17">
        <v>408.52800000000002</v>
      </c>
      <c r="I389" s="17" t="s">
        <v>115</v>
      </c>
    </row>
    <row r="390" spans="1:9" ht="15.6" x14ac:dyDescent="0.3">
      <c r="A390" s="17" t="s">
        <v>58</v>
      </c>
      <c r="B390" s="17" t="s">
        <v>66</v>
      </c>
      <c r="C390" s="17" t="s">
        <v>113</v>
      </c>
      <c r="D390" s="17" t="s">
        <v>114</v>
      </c>
      <c r="E390" s="17" t="s">
        <v>98</v>
      </c>
      <c r="F390" s="17" t="s">
        <v>139</v>
      </c>
      <c r="G390" s="17">
        <v>128.84280000000001</v>
      </c>
      <c r="H390" s="17">
        <v>114</v>
      </c>
      <c r="I390" s="17" t="s">
        <v>115</v>
      </c>
    </row>
    <row r="391" spans="1:9" ht="15.6" x14ac:dyDescent="0.3">
      <c r="A391" s="17" t="s">
        <v>58</v>
      </c>
      <c r="B391" s="17" t="s">
        <v>66</v>
      </c>
      <c r="C391" s="17" t="s">
        <v>113</v>
      </c>
      <c r="D391" s="17" t="s">
        <v>114</v>
      </c>
      <c r="E391" s="17" t="s">
        <v>98</v>
      </c>
      <c r="F391" s="17" t="s">
        <v>140</v>
      </c>
      <c r="G391" s="17">
        <v>4067.3637600000002</v>
      </c>
      <c r="H391" s="17">
        <v>3598.8</v>
      </c>
      <c r="I391" s="17" t="s">
        <v>115</v>
      </c>
    </row>
    <row r="392" spans="1:9" ht="15.6" x14ac:dyDescent="0.3">
      <c r="A392" s="17" t="s">
        <v>58</v>
      </c>
      <c r="B392" s="17" t="s">
        <v>66</v>
      </c>
      <c r="C392" s="17" t="s">
        <v>113</v>
      </c>
      <c r="D392" s="17" t="s">
        <v>114</v>
      </c>
      <c r="E392" s="17" t="s">
        <v>98</v>
      </c>
      <c r="F392" s="17" t="s">
        <v>141</v>
      </c>
      <c r="G392" s="17">
        <v>66.269520053763401</v>
      </c>
      <c r="H392" s="17">
        <v>58.635215053763403</v>
      </c>
      <c r="I392" s="17" t="s">
        <v>115</v>
      </c>
    </row>
    <row r="393" spans="1:9" ht="15.6" x14ac:dyDescent="0.3">
      <c r="A393" s="17" t="s">
        <v>58</v>
      </c>
      <c r="B393" s="17" t="s">
        <v>66</v>
      </c>
      <c r="C393" s="17" t="s">
        <v>113</v>
      </c>
      <c r="D393" s="17" t="s">
        <v>114</v>
      </c>
      <c r="E393" s="17" t="s">
        <v>96</v>
      </c>
      <c r="F393" s="17" t="s">
        <v>96</v>
      </c>
      <c r="G393" s="17">
        <v>9.7797564636023999</v>
      </c>
      <c r="H393" s="17">
        <v>8.6531202119999993</v>
      </c>
      <c r="I393" s="17" t="s">
        <v>115</v>
      </c>
    </row>
    <row r="394" spans="1:9" ht="15.6" x14ac:dyDescent="0.3">
      <c r="A394" s="17" t="s">
        <v>58</v>
      </c>
      <c r="B394" s="17" t="s">
        <v>66</v>
      </c>
      <c r="C394" s="17" t="s">
        <v>113</v>
      </c>
      <c r="D394" s="17" t="s">
        <v>114</v>
      </c>
      <c r="E394" s="17" t="s">
        <v>97</v>
      </c>
      <c r="F394" s="17" t="s">
        <v>97</v>
      </c>
      <c r="G394" s="17">
        <v>128.84280000000001</v>
      </c>
      <c r="H394" s="17">
        <v>114</v>
      </c>
      <c r="I394" s="17" t="s">
        <v>115</v>
      </c>
    </row>
    <row r="395" spans="1:9" ht="15.6" x14ac:dyDescent="0.3">
      <c r="A395" s="17" t="s">
        <v>58</v>
      </c>
      <c r="B395" s="17" t="s">
        <v>66</v>
      </c>
      <c r="C395" s="17" t="s">
        <v>113</v>
      </c>
      <c r="D395" s="17" t="s">
        <v>114</v>
      </c>
      <c r="E395" s="17" t="s">
        <v>99</v>
      </c>
      <c r="F395" s="17" t="s">
        <v>142</v>
      </c>
      <c r="G395" s="17">
        <v>166.94031329159299</v>
      </c>
      <c r="H395" s="17">
        <v>147.70864740010001</v>
      </c>
      <c r="I395" s="17" t="s">
        <v>115</v>
      </c>
    </row>
    <row r="396" spans="1:9" ht="15.6" x14ac:dyDescent="0.3">
      <c r="A396" s="17" t="s">
        <v>58</v>
      </c>
      <c r="B396" s="17" t="s">
        <v>66</v>
      </c>
      <c r="C396" s="17" t="s">
        <v>113</v>
      </c>
      <c r="D396" s="17" t="s">
        <v>114</v>
      </c>
      <c r="E396" s="17" t="s">
        <v>99</v>
      </c>
      <c r="F396" s="17" t="s">
        <v>143</v>
      </c>
      <c r="G396" s="17">
        <v>18.298793714655101</v>
      </c>
      <c r="H396" s="17">
        <v>16.190757135599998</v>
      </c>
      <c r="I396" s="17" t="s">
        <v>115</v>
      </c>
    </row>
    <row r="397" spans="1:9" ht="15.6" x14ac:dyDescent="0.3">
      <c r="A397" s="17" t="s">
        <v>58</v>
      </c>
      <c r="B397" s="17" t="s">
        <v>66</v>
      </c>
      <c r="C397" s="17" t="s">
        <v>113</v>
      </c>
      <c r="D397" s="17" t="s">
        <v>114</v>
      </c>
      <c r="E397" s="17" t="s">
        <v>99</v>
      </c>
      <c r="F397" s="17" t="s">
        <v>144</v>
      </c>
      <c r="G397" s="17">
        <v>85.013423811497503</v>
      </c>
      <c r="H397" s="17">
        <v>75.219805177400005</v>
      </c>
      <c r="I397" s="17" t="s">
        <v>115</v>
      </c>
    </row>
    <row r="398" spans="1:9" ht="15.6" x14ac:dyDescent="0.3">
      <c r="A398" s="17" t="s">
        <v>58</v>
      </c>
      <c r="B398" s="17" t="s">
        <v>66</v>
      </c>
      <c r="C398" s="17" t="s">
        <v>113</v>
      </c>
      <c r="D398" s="17" t="s">
        <v>114</v>
      </c>
      <c r="E398" s="17" t="s">
        <v>99</v>
      </c>
      <c r="F398" s="17" t="s">
        <v>145</v>
      </c>
      <c r="G398" s="17">
        <v>1.134935538E-4</v>
      </c>
      <c r="H398" s="17">
        <v>1.00419E-4</v>
      </c>
      <c r="I398" s="17" t="s">
        <v>115</v>
      </c>
    </row>
    <row r="399" spans="1:9" ht="15.6" x14ac:dyDescent="0.3">
      <c r="A399" s="17" t="s">
        <v>58</v>
      </c>
      <c r="B399" s="17" t="s">
        <v>66</v>
      </c>
      <c r="C399" s="17" t="s">
        <v>113</v>
      </c>
      <c r="D399" s="17" t="s">
        <v>114</v>
      </c>
      <c r="E399" s="17" t="s">
        <v>99</v>
      </c>
      <c r="F399" s="17" t="s">
        <v>146</v>
      </c>
      <c r="G399" s="17">
        <v>8.3678124182640007E-2</v>
      </c>
      <c r="H399" s="17">
        <v>7.4038333200000001E-2</v>
      </c>
      <c r="I399" s="17" t="s">
        <v>115</v>
      </c>
    </row>
    <row r="400" spans="1:9" ht="15.6" x14ac:dyDescent="0.3">
      <c r="A400" s="17" t="s">
        <v>58</v>
      </c>
      <c r="B400" s="17" t="s">
        <v>66</v>
      </c>
      <c r="C400" s="17" t="s">
        <v>113</v>
      </c>
      <c r="D400" s="17" t="s">
        <v>114</v>
      </c>
      <c r="E400" s="17" t="s">
        <v>99</v>
      </c>
      <c r="F400" s="17" t="s">
        <v>147</v>
      </c>
      <c r="G400" s="17">
        <v>9.3888409316104706</v>
      </c>
      <c r="H400" s="17">
        <v>8.3072384813400006</v>
      </c>
      <c r="I400" s="17" t="s">
        <v>115</v>
      </c>
    </row>
    <row r="401" spans="1:9" ht="15.6" x14ac:dyDescent="0.3">
      <c r="A401" s="17" t="s">
        <v>58</v>
      </c>
      <c r="B401" s="17" t="s">
        <v>66</v>
      </c>
      <c r="C401" s="17" t="s">
        <v>113</v>
      </c>
      <c r="D401" s="17" t="s">
        <v>114</v>
      </c>
      <c r="E401" s="17" t="s">
        <v>99</v>
      </c>
      <c r="F401" s="17" t="s">
        <v>148</v>
      </c>
      <c r="G401" s="17">
        <v>1055.03956294664</v>
      </c>
      <c r="H401" s="17">
        <v>933.49810913700003</v>
      </c>
      <c r="I401" s="17" t="s">
        <v>115</v>
      </c>
    </row>
    <row r="402" spans="1:9" ht="15.6" x14ac:dyDescent="0.3">
      <c r="A402" s="17" t="s">
        <v>58</v>
      </c>
      <c r="B402" s="17" t="s">
        <v>66</v>
      </c>
      <c r="C402" s="17" t="s">
        <v>113</v>
      </c>
      <c r="D402" s="17" t="s">
        <v>114</v>
      </c>
      <c r="E402" s="17" t="s">
        <v>99</v>
      </c>
      <c r="F402" s="17" t="s">
        <v>149</v>
      </c>
      <c r="G402" s="17">
        <v>5.9660997600000003E-6</v>
      </c>
      <c r="H402" s="17">
        <v>5.2788000000000002E-6</v>
      </c>
      <c r="I402" s="17" t="s">
        <v>115</v>
      </c>
    </row>
    <row r="403" spans="1:9" ht="15.6" x14ac:dyDescent="0.3">
      <c r="A403" s="17" t="s">
        <v>58</v>
      </c>
      <c r="B403" s="17" t="s">
        <v>66</v>
      </c>
      <c r="C403" s="17" t="s">
        <v>113</v>
      </c>
      <c r="D403" s="17" t="s">
        <v>114</v>
      </c>
      <c r="E403" s="17" t="s">
        <v>99</v>
      </c>
      <c r="F403" s="17" t="s">
        <v>150</v>
      </c>
      <c r="G403" s="17">
        <v>4.8758941474000002E-4</v>
      </c>
      <c r="H403" s="17">
        <v>4.314187E-4</v>
      </c>
      <c r="I403" s="17" t="s">
        <v>115</v>
      </c>
    </row>
    <row r="404" spans="1:9" ht="15.6" x14ac:dyDescent="0.3">
      <c r="A404" s="17" t="s">
        <v>58</v>
      </c>
      <c r="B404" s="17" t="s">
        <v>66</v>
      </c>
      <c r="C404" s="17" t="s">
        <v>113</v>
      </c>
      <c r="D404" s="17" t="s">
        <v>114</v>
      </c>
      <c r="E404" s="17" t="s">
        <v>99</v>
      </c>
      <c r="F404" s="17" t="s">
        <v>151</v>
      </c>
      <c r="G404" s="17">
        <v>8.6746343303534399</v>
      </c>
      <c r="H404" s="17">
        <v>7.6753090871999996</v>
      </c>
      <c r="I404" s="17" t="s">
        <v>115</v>
      </c>
    </row>
    <row r="405" spans="1:9" ht="15.6" x14ac:dyDescent="0.3">
      <c r="A405" s="17" t="s">
        <v>58</v>
      </c>
      <c r="B405" s="17" t="s">
        <v>66</v>
      </c>
      <c r="C405" s="17" t="s">
        <v>113</v>
      </c>
      <c r="D405" s="17" t="s">
        <v>114</v>
      </c>
      <c r="E405" s="17" t="s">
        <v>99</v>
      </c>
      <c r="F405" s="17" t="s">
        <v>152</v>
      </c>
      <c r="G405" s="17">
        <v>46.584686338005497</v>
      </c>
      <c r="H405" s="17">
        <v>41.218090902500002</v>
      </c>
      <c r="I405" s="17" t="s">
        <v>115</v>
      </c>
    </row>
    <row r="406" spans="1:9" ht="15.6" x14ac:dyDescent="0.3">
      <c r="A406" s="17" t="s">
        <v>58</v>
      </c>
      <c r="B406" s="17" t="s">
        <v>66</v>
      </c>
      <c r="C406" s="17" t="s">
        <v>113</v>
      </c>
      <c r="D406" s="17" t="s">
        <v>114</v>
      </c>
      <c r="E406" s="17" t="s">
        <v>99</v>
      </c>
      <c r="F406" s="17" t="s">
        <v>153</v>
      </c>
      <c r="G406" s="17">
        <v>1.29362578098444</v>
      </c>
      <c r="H406" s="17">
        <v>1.1445989921999999</v>
      </c>
      <c r="I406" s="17" t="s">
        <v>115</v>
      </c>
    </row>
    <row r="407" spans="1:9" ht="15.6" x14ac:dyDescent="0.3">
      <c r="A407" s="17" t="s">
        <v>58</v>
      </c>
      <c r="B407" s="17" t="s">
        <v>66</v>
      </c>
      <c r="C407" s="17" t="s">
        <v>113</v>
      </c>
      <c r="D407" s="17" t="s">
        <v>114</v>
      </c>
      <c r="E407" s="17" t="s">
        <v>99</v>
      </c>
      <c r="F407" s="17" t="s">
        <v>154</v>
      </c>
      <c r="G407" s="17">
        <v>2.5652791353599999E-3</v>
      </c>
      <c r="H407" s="17">
        <v>2.2697568000000002E-3</v>
      </c>
      <c r="I407" s="17" t="s">
        <v>115</v>
      </c>
    </row>
    <row r="408" spans="1:9" ht="15.6" x14ac:dyDescent="0.3">
      <c r="A408" s="17" t="s">
        <v>58</v>
      </c>
      <c r="B408" s="17" t="s">
        <v>66</v>
      </c>
      <c r="C408" s="17" t="s">
        <v>113</v>
      </c>
      <c r="D408" s="17" t="s">
        <v>114</v>
      </c>
      <c r="E408" s="17" t="s">
        <v>101</v>
      </c>
      <c r="F408" s="17" t="s">
        <v>170</v>
      </c>
      <c r="G408" s="17">
        <v>51.181467789999999</v>
      </c>
      <c r="H408" s="17">
        <v>45.285319226685502</v>
      </c>
      <c r="I408" s="17" t="s">
        <v>115</v>
      </c>
    </row>
    <row r="409" spans="1:9" ht="15.6" x14ac:dyDescent="0.3">
      <c r="A409" s="17" t="s">
        <v>58</v>
      </c>
      <c r="B409" s="17" t="s">
        <v>66</v>
      </c>
      <c r="C409" s="17" t="s">
        <v>113</v>
      </c>
      <c r="D409" s="17" t="s">
        <v>114</v>
      </c>
      <c r="E409" s="17" t="s">
        <v>101</v>
      </c>
      <c r="F409" s="17" t="s">
        <v>171</v>
      </c>
      <c r="G409" s="17">
        <v>14.942120640000001</v>
      </c>
      <c r="H409" s="17">
        <v>13.220775650327401</v>
      </c>
      <c r="I409" s="17" t="s">
        <v>115</v>
      </c>
    </row>
    <row r="410" spans="1:9" ht="15.6" x14ac:dyDescent="0.3">
      <c r="A410" s="17" t="s">
        <v>58</v>
      </c>
      <c r="B410" s="17" t="s">
        <v>66</v>
      </c>
      <c r="C410" s="17" t="s">
        <v>113</v>
      </c>
      <c r="D410" s="17" t="s">
        <v>114</v>
      </c>
      <c r="E410" s="17" t="s">
        <v>101</v>
      </c>
      <c r="F410" s="17" t="s">
        <v>173</v>
      </c>
      <c r="G410" s="17">
        <v>123.84096258069999</v>
      </c>
      <c r="H410" s="17">
        <v>109.57437849999999</v>
      </c>
      <c r="I410" s="17" t="s">
        <v>115</v>
      </c>
    </row>
    <row r="411" spans="1:9" ht="15.6" x14ac:dyDescent="0.3">
      <c r="A411" s="17" t="s">
        <v>58</v>
      </c>
      <c r="B411" s="17" t="s">
        <v>66</v>
      </c>
      <c r="C411" s="17" t="s">
        <v>113</v>
      </c>
      <c r="D411" s="17" t="s">
        <v>114</v>
      </c>
      <c r="E411" s="17" t="s">
        <v>101</v>
      </c>
      <c r="F411" s="17" t="s">
        <v>155</v>
      </c>
      <c r="G411" s="17">
        <v>99.948156727715201</v>
      </c>
      <c r="H411" s="17">
        <v>88.434044176</v>
      </c>
      <c r="I411" s="17" t="s">
        <v>115</v>
      </c>
    </row>
    <row r="412" spans="1:9" ht="15.6" x14ac:dyDescent="0.3">
      <c r="A412" s="17" t="s">
        <v>58</v>
      </c>
      <c r="B412" s="17" t="s">
        <v>66</v>
      </c>
      <c r="C412" s="17" t="s">
        <v>113</v>
      </c>
      <c r="D412" s="17" t="s">
        <v>114</v>
      </c>
      <c r="E412" s="17" t="s">
        <v>101</v>
      </c>
      <c r="F412" s="17" t="s">
        <v>156</v>
      </c>
      <c r="G412" s="17">
        <v>89.602896449077804</v>
      </c>
      <c r="H412" s="17">
        <v>79.280566668800006</v>
      </c>
      <c r="I412" s="17" t="s">
        <v>115</v>
      </c>
    </row>
    <row r="413" spans="1:9" ht="15.6" x14ac:dyDescent="0.3">
      <c r="A413" s="17" t="s">
        <v>58</v>
      </c>
      <c r="B413" s="17" t="s">
        <v>66</v>
      </c>
      <c r="C413" s="17" t="s">
        <v>113</v>
      </c>
      <c r="D413" s="17" t="s">
        <v>114</v>
      </c>
      <c r="E413" s="17" t="s">
        <v>101</v>
      </c>
      <c r="F413" s="17" t="s">
        <v>157</v>
      </c>
      <c r="G413" s="17">
        <v>3932.4004196737901</v>
      </c>
      <c r="H413" s="17">
        <v>3479.3845511181999</v>
      </c>
      <c r="I413" s="17" t="s">
        <v>115</v>
      </c>
    </row>
    <row r="414" spans="1:9" ht="15.6" x14ac:dyDescent="0.3">
      <c r="A414" s="17" t="s">
        <v>58</v>
      </c>
      <c r="B414" s="17" t="s">
        <v>66</v>
      </c>
      <c r="C414" s="17" t="s">
        <v>113</v>
      </c>
      <c r="D414" s="17" t="s">
        <v>114</v>
      </c>
      <c r="E414" s="17" t="s">
        <v>101</v>
      </c>
      <c r="F414" s="17" t="s">
        <v>158</v>
      </c>
      <c r="G414" s="17">
        <v>390.33700177684602</v>
      </c>
      <c r="H414" s="17">
        <v>345.36984761709999</v>
      </c>
      <c r="I414" s="17" t="s">
        <v>115</v>
      </c>
    </row>
    <row r="415" spans="1:9" ht="15.6" x14ac:dyDescent="0.3">
      <c r="A415" s="17" t="s">
        <v>58</v>
      </c>
      <c r="B415" s="17" t="s">
        <v>66</v>
      </c>
      <c r="C415" s="17" t="s">
        <v>113</v>
      </c>
      <c r="D415" s="17" t="s">
        <v>114</v>
      </c>
      <c r="E415" s="17" t="s">
        <v>101</v>
      </c>
      <c r="F415" s="17" t="s">
        <v>159</v>
      </c>
      <c r="G415" s="17">
        <v>117.38040073661401</v>
      </c>
      <c r="H415" s="17">
        <v>103.85807886800001</v>
      </c>
      <c r="I415" s="17" t="s">
        <v>115</v>
      </c>
    </row>
    <row r="416" spans="1:9" ht="15.6" x14ac:dyDescent="0.3">
      <c r="A416" s="17" t="s">
        <v>58</v>
      </c>
      <c r="B416" s="17" t="s">
        <v>66</v>
      </c>
      <c r="C416" s="17" t="s">
        <v>113</v>
      </c>
      <c r="D416" s="17" t="s">
        <v>114</v>
      </c>
      <c r="E416" s="17" t="s">
        <v>101</v>
      </c>
      <c r="F416" s="17" t="s">
        <v>160</v>
      </c>
      <c r="G416" s="17">
        <v>752.55350987495297</v>
      </c>
      <c r="H416" s="17">
        <v>665.85870631299997</v>
      </c>
      <c r="I416" s="17" t="s">
        <v>115</v>
      </c>
    </row>
    <row r="417" spans="1:9" ht="15.6" x14ac:dyDescent="0.3">
      <c r="A417" s="17" t="s">
        <v>58</v>
      </c>
      <c r="B417" s="17" t="s">
        <v>66</v>
      </c>
      <c r="C417" s="17" t="s">
        <v>113</v>
      </c>
      <c r="D417" s="17" t="s">
        <v>114</v>
      </c>
      <c r="E417" s="17" t="s">
        <v>101</v>
      </c>
      <c r="F417" s="17" t="s">
        <v>161</v>
      </c>
      <c r="G417" s="17">
        <v>3.0328339974129599</v>
      </c>
      <c r="H417" s="17">
        <v>2.6834489447999998</v>
      </c>
      <c r="I417" s="17" t="s">
        <v>115</v>
      </c>
    </row>
    <row r="418" spans="1:9" ht="15.6" x14ac:dyDescent="0.3">
      <c r="A418" s="17" t="s">
        <v>58</v>
      </c>
      <c r="B418" s="17" t="s">
        <v>66</v>
      </c>
      <c r="C418" s="17" t="s">
        <v>113</v>
      </c>
      <c r="D418" s="17" t="s">
        <v>114</v>
      </c>
      <c r="E418" s="17" t="s">
        <v>101</v>
      </c>
      <c r="F418" s="17" t="s">
        <v>162</v>
      </c>
      <c r="G418" s="17">
        <v>171.77252576848301</v>
      </c>
      <c r="H418" s="17">
        <v>151.984184895136</v>
      </c>
      <c r="I418" s="17" t="s">
        <v>115</v>
      </c>
    </row>
    <row r="419" spans="1:9" ht="15.6" x14ac:dyDescent="0.3">
      <c r="A419" s="17" t="s">
        <v>58</v>
      </c>
      <c r="B419" s="17" t="s">
        <v>66</v>
      </c>
      <c r="C419" s="17" t="s">
        <v>113</v>
      </c>
      <c r="D419" s="17" t="s">
        <v>114</v>
      </c>
      <c r="E419" s="17" t="s">
        <v>101</v>
      </c>
      <c r="F419" s="17" t="s">
        <v>163</v>
      </c>
      <c r="G419" s="17">
        <v>110.4969935092</v>
      </c>
      <c r="H419" s="17">
        <v>97.767645999999999</v>
      </c>
      <c r="I419" s="17" t="s">
        <v>115</v>
      </c>
    </row>
    <row r="420" spans="1:9" ht="15.6" x14ac:dyDescent="0.3">
      <c r="A420" s="17" t="s">
        <v>58</v>
      </c>
      <c r="B420" s="17" t="s">
        <v>66</v>
      </c>
      <c r="C420" s="17" t="s">
        <v>113</v>
      </c>
      <c r="D420" s="17" t="s">
        <v>114</v>
      </c>
      <c r="E420" s="17" t="s">
        <v>102</v>
      </c>
      <c r="F420" s="17" t="s">
        <v>165</v>
      </c>
      <c r="G420" s="17">
        <v>39.717165209891697</v>
      </c>
      <c r="H420" s="17">
        <v>35.141714041666702</v>
      </c>
      <c r="I420" s="17" t="s">
        <v>115</v>
      </c>
    </row>
    <row r="421" spans="1:9" ht="15.6" x14ac:dyDescent="0.3">
      <c r="A421" s="17" t="s">
        <v>58</v>
      </c>
      <c r="B421" s="17" t="s">
        <v>66</v>
      </c>
      <c r="C421" s="17" t="s">
        <v>113</v>
      </c>
      <c r="D421" s="17" t="s">
        <v>114</v>
      </c>
      <c r="E421" s="17" t="s">
        <v>102</v>
      </c>
      <c r="F421" s="17" t="s">
        <v>174</v>
      </c>
      <c r="G421" s="17">
        <v>7.2989833071069998E-3</v>
      </c>
      <c r="H421" s="17">
        <v>6.4581342303194102E-3</v>
      </c>
      <c r="I421" s="17" t="s">
        <v>115</v>
      </c>
    </row>
    <row r="422" spans="1:9" ht="15.6" x14ac:dyDescent="0.3">
      <c r="A422" s="17" t="s">
        <v>58</v>
      </c>
      <c r="B422" s="17" t="s">
        <v>66</v>
      </c>
      <c r="C422" s="17" t="s">
        <v>113</v>
      </c>
      <c r="D422" s="17" t="s">
        <v>114</v>
      </c>
      <c r="E422" s="17" t="s">
        <v>102</v>
      </c>
      <c r="F422" s="17" t="s">
        <v>166</v>
      </c>
      <c r="G422" s="17">
        <v>476.78313697531598</v>
      </c>
      <c r="H422" s="17">
        <v>421.85731461273701</v>
      </c>
      <c r="I422" s="17" t="s">
        <v>115</v>
      </c>
    </row>
    <row r="423" spans="1:9" ht="15.6" x14ac:dyDescent="0.3">
      <c r="A423" s="17" t="s">
        <v>58</v>
      </c>
      <c r="B423" s="17" t="s">
        <v>66</v>
      </c>
      <c r="C423" s="17" t="s">
        <v>113</v>
      </c>
      <c r="D423" s="17" t="s">
        <v>114</v>
      </c>
      <c r="E423" s="17" t="s">
        <v>103</v>
      </c>
      <c r="F423" s="17" t="s">
        <v>103</v>
      </c>
      <c r="G423" s="17">
        <v>32.176794000000001</v>
      </c>
      <c r="H423" s="17">
        <v>28.47</v>
      </c>
      <c r="I423" s="17" t="s">
        <v>115</v>
      </c>
    </row>
    <row r="424" spans="1:9" ht="15.6" x14ac:dyDescent="0.3">
      <c r="A424" s="17" t="s">
        <v>58</v>
      </c>
      <c r="B424" s="17" t="s">
        <v>66</v>
      </c>
      <c r="C424" s="17" t="s">
        <v>167</v>
      </c>
      <c r="D424" s="17" t="s">
        <v>168</v>
      </c>
      <c r="E424" s="17" t="s">
        <v>100</v>
      </c>
      <c r="F424" s="17" t="s">
        <v>100</v>
      </c>
      <c r="G424" s="17">
        <v>0</v>
      </c>
      <c r="H424" s="17">
        <v>0</v>
      </c>
      <c r="I424" s="17" t="s">
        <v>115</v>
      </c>
    </row>
    <row r="425" spans="1:9" ht="15.6" x14ac:dyDescent="0.3">
      <c r="A425" s="17" t="s">
        <v>58</v>
      </c>
      <c r="B425" s="17" t="s">
        <v>66</v>
      </c>
      <c r="C425" s="17" t="s">
        <v>167</v>
      </c>
      <c r="D425" s="17" t="s">
        <v>114</v>
      </c>
      <c r="E425" s="17" t="s">
        <v>100</v>
      </c>
      <c r="F425" s="17" t="s">
        <v>100</v>
      </c>
      <c r="G425" s="17">
        <v>257.14527329457798</v>
      </c>
      <c r="H425" s="17">
        <v>227.52191938999999</v>
      </c>
      <c r="I425" s="17" t="s">
        <v>115</v>
      </c>
    </row>
    <row r="426" spans="1:9" ht="15.6" x14ac:dyDescent="0.3">
      <c r="A426" s="17" t="s">
        <v>58</v>
      </c>
      <c r="B426" s="17" t="s">
        <v>67</v>
      </c>
      <c r="C426" s="17" t="s">
        <v>113</v>
      </c>
      <c r="D426" s="17" t="s">
        <v>114</v>
      </c>
      <c r="E426" s="17" t="s">
        <v>71</v>
      </c>
      <c r="F426" s="17" t="s">
        <v>71</v>
      </c>
      <c r="G426" s="17">
        <v>77.090155199999998</v>
      </c>
      <c r="H426" s="17">
        <v>65.843999999999994</v>
      </c>
      <c r="I426" s="17" t="s">
        <v>115</v>
      </c>
    </row>
    <row r="427" spans="1:9" ht="15.6" x14ac:dyDescent="0.3">
      <c r="A427" s="17" t="s">
        <v>58</v>
      </c>
      <c r="B427" s="17" t="s">
        <v>67</v>
      </c>
      <c r="C427" s="17" t="s">
        <v>113</v>
      </c>
      <c r="D427" s="17" t="s">
        <v>114</v>
      </c>
      <c r="E427" s="17" t="s">
        <v>72</v>
      </c>
      <c r="F427" s="17" t="s">
        <v>116</v>
      </c>
      <c r="G427" s="17">
        <v>194.36300937600001</v>
      </c>
      <c r="H427" s="17">
        <v>166.00872000000001</v>
      </c>
      <c r="I427" s="17" t="s">
        <v>115</v>
      </c>
    </row>
    <row r="428" spans="1:9" ht="15.6" x14ac:dyDescent="0.3">
      <c r="A428" s="17" t="s">
        <v>58</v>
      </c>
      <c r="B428" s="17" t="s">
        <v>67</v>
      </c>
      <c r="C428" s="17" t="s">
        <v>113</v>
      </c>
      <c r="D428" s="17" t="s">
        <v>114</v>
      </c>
      <c r="E428" s="17" t="s">
        <v>73</v>
      </c>
      <c r="F428" s="17" t="s">
        <v>117</v>
      </c>
      <c r="G428" s="17">
        <v>0</v>
      </c>
      <c r="H428" s="17">
        <v>0</v>
      </c>
      <c r="I428" s="17" t="s">
        <v>115</v>
      </c>
    </row>
    <row r="429" spans="1:9" ht="15.6" x14ac:dyDescent="0.3">
      <c r="A429" s="17" t="s">
        <v>58</v>
      </c>
      <c r="B429" s="17" t="s">
        <v>67</v>
      </c>
      <c r="C429" s="17" t="s">
        <v>113</v>
      </c>
      <c r="D429" s="17" t="s">
        <v>114</v>
      </c>
      <c r="E429" s="17" t="s">
        <v>73</v>
      </c>
      <c r="F429" s="17" t="s">
        <v>118</v>
      </c>
      <c r="G429" s="17">
        <v>573.34169664000001</v>
      </c>
      <c r="H429" s="17">
        <v>489.70080000000002</v>
      </c>
      <c r="I429" s="17" t="s">
        <v>115</v>
      </c>
    </row>
    <row r="430" spans="1:9" ht="15.6" x14ac:dyDescent="0.3">
      <c r="A430" s="17" t="s">
        <v>58</v>
      </c>
      <c r="B430" s="17" t="s">
        <v>67</v>
      </c>
      <c r="C430" s="17" t="s">
        <v>113</v>
      </c>
      <c r="D430" s="17" t="s">
        <v>114</v>
      </c>
      <c r="E430" s="17" t="s">
        <v>73</v>
      </c>
      <c r="F430" s="17" t="s">
        <v>119</v>
      </c>
      <c r="G430" s="17">
        <v>975.60422400000004</v>
      </c>
      <c r="H430" s="17">
        <v>833.28</v>
      </c>
      <c r="I430" s="17" t="s">
        <v>115</v>
      </c>
    </row>
    <row r="431" spans="1:9" ht="15.6" x14ac:dyDescent="0.3">
      <c r="A431" s="17" t="s">
        <v>58</v>
      </c>
      <c r="B431" s="17" t="s">
        <v>67</v>
      </c>
      <c r="C431" s="17" t="s">
        <v>113</v>
      </c>
      <c r="D431" s="17" t="s">
        <v>114</v>
      </c>
      <c r="E431" s="17" t="s">
        <v>73</v>
      </c>
      <c r="F431" s="17" t="s">
        <v>120</v>
      </c>
      <c r="G431" s="17">
        <v>31.6459637819178</v>
      </c>
      <c r="H431" s="17">
        <v>27.029350684931501</v>
      </c>
      <c r="I431" s="17" t="s">
        <v>115</v>
      </c>
    </row>
    <row r="432" spans="1:9" ht="15.6" x14ac:dyDescent="0.3">
      <c r="A432" s="17" t="s">
        <v>58</v>
      </c>
      <c r="B432" s="17" t="s">
        <v>67</v>
      </c>
      <c r="C432" s="17" t="s">
        <v>113</v>
      </c>
      <c r="D432" s="17" t="s">
        <v>114</v>
      </c>
      <c r="E432" s="17" t="s">
        <v>74</v>
      </c>
      <c r="F432" s="17" t="s">
        <v>121</v>
      </c>
      <c r="G432" s="17">
        <v>0.73221831999999998</v>
      </c>
      <c r="H432" s="17">
        <v>0.62539999999999996</v>
      </c>
      <c r="I432" s="17" t="s">
        <v>115</v>
      </c>
    </row>
    <row r="433" spans="1:9" ht="15.6" x14ac:dyDescent="0.3">
      <c r="A433" s="17" t="s">
        <v>58</v>
      </c>
      <c r="B433" s="17" t="s">
        <v>67</v>
      </c>
      <c r="C433" s="17" t="s">
        <v>113</v>
      </c>
      <c r="D433" s="17" t="s">
        <v>114</v>
      </c>
      <c r="E433" s="17" t="s">
        <v>76</v>
      </c>
      <c r="F433" s="17" t="s">
        <v>122</v>
      </c>
      <c r="G433" s="17">
        <v>155.92246080000001</v>
      </c>
      <c r="H433" s="17">
        <v>133.17599999999999</v>
      </c>
      <c r="I433" s="17" t="s">
        <v>115</v>
      </c>
    </row>
    <row r="434" spans="1:9" ht="15.6" x14ac:dyDescent="0.3">
      <c r="A434" s="17" t="s">
        <v>58</v>
      </c>
      <c r="B434" s="17" t="s">
        <v>67</v>
      </c>
      <c r="C434" s="17" t="s">
        <v>113</v>
      </c>
      <c r="D434" s="17" t="s">
        <v>114</v>
      </c>
      <c r="E434" s="17" t="s">
        <v>80</v>
      </c>
      <c r="F434" s="17" t="s">
        <v>80</v>
      </c>
      <c r="G434" s="17">
        <v>0.74511641478400004</v>
      </c>
      <c r="H434" s="17">
        <v>0.63641647999999995</v>
      </c>
      <c r="I434" s="17" t="s">
        <v>115</v>
      </c>
    </row>
    <row r="435" spans="1:9" ht="15.6" x14ac:dyDescent="0.3">
      <c r="A435" s="17" t="s">
        <v>58</v>
      </c>
      <c r="B435" s="17" t="s">
        <v>67</v>
      </c>
      <c r="C435" s="17" t="s">
        <v>113</v>
      </c>
      <c r="D435" s="17" t="s">
        <v>114</v>
      </c>
      <c r="E435" s="17" t="s">
        <v>77</v>
      </c>
      <c r="F435" s="17" t="s">
        <v>77</v>
      </c>
      <c r="G435" s="17">
        <v>7.1840287999999999E-4</v>
      </c>
      <c r="H435" s="17">
        <v>6.1359999999999995E-4</v>
      </c>
      <c r="I435" s="17" t="s">
        <v>115</v>
      </c>
    </row>
    <row r="436" spans="1:9" ht="15.6" x14ac:dyDescent="0.3">
      <c r="A436" s="17" t="s">
        <v>58</v>
      </c>
      <c r="B436" s="17" t="s">
        <v>67</v>
      </c>
      <c r="C436" s="17" t="s">
        <v>113</v>
      </c>
      <c r="D436" s="17" t="s">
        <v>114</v>
      </c>
      <c r="E436" s="17" t="s">
        <v>78</v>
      </c>
      <c r="F436" s="17" t="s">
        <v>123</v>
      </c>
      <c r="G436" s="17">
        <v>18.163322879999999</v>
      </c>
      <c r="H436" s="17">
        <v>15.5136</v>
      </c>
      <c r="I436" s="17" t="s">
        <v>115</v>
      </c>
    </row>
    <row r="437" spans="1:9" ht="15.6" x14ac:dyDescent="0.3">
      <c r="A437" s="17" t="s">
        <v>58</v>
      </c>
      <c r="B437" s="17" t="s">
        <v>67</v>
      </c>
      <c r="C437" s="17" t="s">
        <v>113</v>
      </c>
      <c r="D437" s="17" t="s">
        <v>114</v>
      </c>
      <c r="E437" s="17" t="s">
        <v>78</v>
      </c>
      <c r="F437" s="17" t="s">
        <v>124</v>
      </c>
      <c r="G437" s="17">
        <v>326.65320000000003</v>
      </c>
      <c r="H437" s="17">
        <v>279</v>
      </c>
      <c r="I437" s="17" t="s">
        <v>115</v>
      </c>
    </row>
    <row r="438" spans="1:9" ht="15.6" x14ac:dyDescent="0.3">
      <c r="A438" s="17" t="s">
        <v>58</v>
      </c>
      <c r="B438" s="17" t="s">
        <v>67</v>
      </c>
      <c r="C438" s="17" t="s">
        <v>113</v>
      </c>
      <c r="D438" s="17" t="s">
        <v>114</v>
      </c>
      <c r="E438" s="17" t="s">
        <v>78</v>
      </c>
      <c r="F438" s="17" t="s">
        <v>125</v>
      </c>
      <c r="G438" s="17">
        <v>208.70961792</v>
      </c>
      <c r="H438" s="17">
        <v>178.26240000000001</v>
      </c>
      <c r="I438" s="17" t="s">
        <v>115</v>
      </c>
    </row>
    <row r="439" spans="1:9" ht="15.6" x14ac:dyDescent="0.3">
      <c r="A439" s="17" t="s">
        <v>58</v>
      </c>
      <c r="B439" s="17" t="s">
        <v>67</v>
      </c>
      <c r="C439" s="17" t="s">
        <v>113</v>
      </c>
      <c r="D439" s="17" t="s">
        <v>114</v>
      </c>
      <c r="E439" s="17" t="s">
        <v>79</v>
      </c>
      <c r="F439" s="17" t="s">
        <v>126</v>
      </c>
      <c r="G439" s="17">
        <v>2823.2935866031198</v>
      </c>
      <c r="H439" s="17">
        <v>2411.4226055714998</v>
      </c>
      <c r="I439" s="17" t="s">
        <v>115</v>
      </c>
    </row>
    <row r="440" spans="1:9" ht="15.6" x14ac:dyDescent="0.3">
      <c r="A440" s="17" t="s">
        <v>58</v>
      </c>
      <c r="B440" s="17" t="s">
        <v>67</v>
      </c>
      <c r="C440" s="17" t="s">
        <v>113</v>
      </c>
      <c r="D440" s="17" t="s">
        <v>114</v>
      </c>
      <c r="E440" s="17" t="s">
        <v>79</v>
      </c>
      <c r="F440" s="17" t="s">
        <v>79</v>
      </c>
      <c r="G440" s="17">
        <v>2450.1045604979699</v>
      </c>
      <c r="H440" s="17">
        <v>2092.67557268361</v>
      </c>
      <c r="I440" s="17" t="s">
        <v>115</v>
      </c>
    </row>
    <row r="441" spans="1:9" ht="15.6" x14ac:dyDescent="0.3">
      <c r="A441" s="17" t="s">
        <v>58</v>
      </c>
      <c r="B441" s="17" t="s">
        <v>67</v>
      </c>
      <c r="C441" s="17" t="s">
        <v>113</v>
      </c>
      <c r="D441" s="17" t="s">
        <v>114</v>
      </c>
      <c r="E441" s="17" t="s">
        <v>81</v>
      </c>
      <c r="F441" s="17" t="s">
        <v>81</v>
      </c>
      <c r="G441" s="17">
        <v>668.93657019267505</v>
      </c>
      <c r="H441" s="17">
        <v>571.34999162339795</v>
      </c>
      <c r="I441" s="17" t="s">
        <v>115</v>
      </c>
    </row>
    <row r="442" spans="1:9" ht="15.6" x14ac:dyDescent="0.3">
      <c r="A442" s="17" t="s">
        <v>58</v>
      </c>
      <c r="B442" s="17" t="s">
        <v>67</v>
      </c>
      <c r="C442" s="17" t="s">
        <v>113</v>
      </c>
      <c r="D442" s="17" t="s">
        <v>114</v>
      </c>
      <c r="E442" s="17" t="s">
        <v>82</v>
      </c>
      <c r="F442" s="17" t="s">
        <v>82</v>
      </c>
      <c r="G442" s="17">
        <v>121.456874415946</v>
      </c>
      <c r="H442" s="17">
        <v>103.738362159161</v>
      </c>
      <c r="I442" s="17" t="s">
        <v>115</v>
      </c>
    </row>
    <row r="443" spans="1:9" ht="15.6" x14ac:dyDescent="0.3">
      <c r="A443" s="17" t="s">
        <v>58</v>
      </c>
      <c r="B443" s="17" t="s">
        <v>67</v>
      </c>
      <c r="C443" s="17" t="s">
        <v>113</v>
      </c>
      <c r="D443" s="17" t="s">
        <v>114</v>
      </c>
      <c r="E443" s="17" t="s">
        <v>83</v>
      </c>
      <c r="F443" s="17" t="s">
        <v>127</v>
      </c>
      <c r="G443" s="17">
        <v>1.4822573991300501</v>
      </c>
      <c r="H443" s="17">
        <v>1.2660210105312999</v>
      </c>
      <c r="I443" s="17" t="s">
        <v>115</v>
      </c>
    </row>
    <row r="444" spans="1:9" ht="15.6" x14ac:dyDescent="0.3">
      <c r="A444" s="17" t="s">
        <v>58</v>
      </c>
      <c r="B444" s="17" t="s">
        <v>67</v>
      </c>
      <c r="C444" s="17" t="s">
        <v>113</v>
      </c>
      <c r="D444" s="17" t="s">
        <v>114</v>
      </c>
      <c r="E444" s="17" t="s">
        <v>83</v>
      </c>
      <c r="F444" s="17" t="s">
        <v>128</v>
      </c>
      <c r="G444" s="17">
        <v>74.773820783803103</v>
      </c>
      <c r="H444" s="17">
        <v>63.865579760679097</v>
      </c>
      <c r="I444" s="17" t="s">
        <v>115</v>
      </c>
    </row>
    <row r="445" spans="1:9" ht="15.6" x14ac:dyDescent="0.3">
      <c r="A445" s="17" t="s">
        <v>58</v>
      </c>
      <c r="B445" s="17" t="s">
        <v>67</v>
      </c>
      <c r="C445" s="17" t="s">
        <v>113</v>
      </c>
      <c r="D445" s="17" t="s">
        <v>114</v>
      </c>
      <c r="E445" s="17" t="s">
        <v>84</v>
      </c>
      <c r="F445" s="17" t="s">
        <v>172</v>
      </c>
      <c r="G445" s="17">
        <v>4.5703020976000002E-3</v>
      </c>
      <c r="H445" s="17">
        <v>3.9035720000000001E-3</v>
      </c>
      <c r="I445" s="17" t="s">
        <v>115</v>
      </c>
    </row>
    <row r="446" spans="1:9" ht="15.6" x14ac:dyDescent="0.3">
      <c r="A446" s="17" t="s">
        <v>58</v>
      </c>
      <c r="B446" s="17" t="s">
        <v>67</v>
      </c>
      <c r="C446" s="17" t="s">
        <v>113</v>
      </c>
      <c r="D446" s="17" t="s">
        <v>114</v>
      </c>
      <c r="E446" s="17" t="s">
        <v>84</v>
      </c>
      <c r="F446" s="17" t="s">
        <v>129</v>
      </c>
      <c r="G446" s="17">
        <v>17616.412380519399</v>
      </c>
      <c r="H446" s="17">
        <v>15046.474530679399</v>
      </c>
      <c r="I446" s="17" t="s">
        <v>115</v>
      </c>
    </row>
    <row r="447" spans="1:9" ht="15.6" x14ac:dyDescent="0.3">
      <c r="A447" s="17" t="s">
        <v>58</v>
      </c>
      <c r="B447" s="17" t="s">
        <v>67</v>
      </c>
      <c r="C447" s="17" t="s">
        <v>113</v>
      </c>
      <c r="D447" s="17" t="s">
        <v>114</v>
      </c>
      <c r="E447" s="17" t="s">
        <v>85</v>
      </c>
      <c r="F447" s="17" t="s">
        <v>85</v>
      </c>
      <c r="G447" s="17">
        <v>156.34229941163201</v>
      </c>
      <c r="H447" s="17">
        <v>133.53459122961399</v>
      </c>
      <c r="I447" s="17" t="s">
        <v>115</v>
      </c>
    </row>
    <row r="448" spans="1:9" ht="15.6" x14ac:dyDescent="0.3">
      <c r="A448" s="17" t="s">
        <v>58</v>
      </c>
      <c r="B448" s="17" t="s">
        <v>67</v>
      </c>
      <c r="C448" s="17" t="s">
        <v>113</v>
      </c>
      <c r="D448" s="17" t="s">
        <v>114</v>
      </c>
      <c r="E448" s="17" t="s">
        <v>86</v>
      </c>
      <c r="F448" s="17" t="s">
        <v>86</v>
      </c>
      <c r="G448" s="17">
        <v>1.6576392289992799E-2</v>
      </c>
      <c r="H448" s="17">
        <v>1.4158175854110701E-2</v>
      </c>
      <c r="I448" s="17" t="s">
        <v>115</v>
      </c>
    </row>
    <row r="449" spans="1:9" ht="15.6" x14ac:dyDescent="0.3">
      <c r="A449" s="17" t="s">
        <v>58</v>
      </c>
      <c r="B449" s="17" t="s">
        <v>67</v>
      </c>
      <c r="C449" s="17" t="s">
        <v>113</v>
      </c>
      <c r="D449" s="17" t="s">
        <v>114</v>
      </c>
      <c r="E449" s="17" t="s">
        <v>87</v>
      </c>
      <c r="F449" s="17" t="s">
        <v>87</v>
      </c>
      <c r="G449" s="17">
        <v>180.51840745723101</v>
      </c>
      <c r="H449" s="17">
        <v>154.18381231399999</v>
      </c>
      <c r="I449" s="17" t="s">
        <v>115</v>
      </c>
    </row>
    <row r="450" spans="1:9" ht="15.6" x14ac:dyDescent="0.3">
      <c r="A450" s="17" t="s">
        <v>58</v>
      </c>
      <c r="B450" s="17" t="s">
        <v>67</v>
      </c>
      <c r="C450" s="17" t="s">
        <v>113</v>
      </c>
      <c r="D450" s="17" t="s">
        <v>114</v>
      </c>
      <c r="E450" s="17" t="s">
        <v>88</v>
      </c>
      <c r="F450" s="17" t="s">
        <v>88</v>
      </c>
      <c r="G450" s="17">
        <v>13.888554255969</v>
      </c>
      <c r="H450" s="17">
        <v>11.8624481175</v>
      </c>
      <c r="I450" s="17" t="s">
        <v>115</v>
      </c>
    </row>
    <row r="451" spans="1:9" ht="15.6" x14ac:dyDescent="0.3">
      <c r="A451" s="17" t="s">
        <v>58</v>
      </c>
      <c r="B451" s="17" t="s">
        <v>67</v>
      </c>
      <c r="C451" s="17" t="s">
        <v>113</v>
      </c>
      <c r="D451" s="17" t="s">
        <v>114</v>
      </c>
      <c r="E451" s="17" t="s">
        <v>89</v>
      </c>
      <c r="F451" s="17" t="s">
        <v>89</v>
      </c>
      <c r="G451" s="17">
        <v>221.65732531887599</v>
      </c>
      <c r="H451" s="17">
        <v>189.32125497000001</v>
      </c>
      <c r="I451" s="17" t="s">
        <v>115</v>
      </c>
    </row>
    <row r="452" spans="1:9" ht="15.6" x14ac:dyDescent="0.3">
      <c r="A452" s="17" t="s">
        <v>58</v>
      </c>
      <c r="B452" s="17" t="s">
        <v>67</v>
      </c>
      <c r="C452" s="17" t="s">
        <v>113</v>
      </c>
      <c r="D452" s="17" t="s">
        <v>114</v>
      </c>
      <c r="E452" s="17" t="s">
        <v>90</v>
      </c>
      <c r="F452" s="17" t="s">
        <v>90</v>
      </c>
      <c r="G452" s="17">
        <v>326.14236295172498</v>
      </c>
      <c r="H452" s="17">
        <v>278.56368547294602</v>
      </c>
      <c r="I452" s="17" t="s">
        <v>115</v>
      </c>
    </row>
    <row r="453" spans="1:9" ht="15.6" x14ac:dyDescent="0.3">
      <c r="A453" s="17" t="s">
        <v>58</v>
      </c>
      <c r="B453" s="17" t="s">
        <v>67</v>
      </c>
      <c r="C453" s="17" t="s">
        <v>113</v>
      </c>
      <c r="D453" s="17" t="s">
        <v>114</v>
      </c>
      <c r="E453" s="17" t="s">
        <v>91</v>
      </c>
      <c r="F453" s="17" t="s">
        <v>91</v>
      </c>
      <c r="G453" s="17">
        <v>23.698609883982801</v>
      </c>
      <c r="H453" s="17">
        <v>20.241381861960001</v>
      </c>
      <c r="I453" s="17" t="s">
        <v>115</v>
      </c>
    </row>
    <row r="454" spans="1:9" ht="15.6" x14ac:dyDescent="0.3">
      <c r="A454" s="17" t="s">
        <v>58</v>
      </c>
      <c r="B454" s="17" t="s">
        <v>67</v>
      </c>
      <c r="C454" s="17" t="s">
        <v>113</v>
      </c>
      <c r="D454" s="17" t="s">
        <v>114</v>
      </c>
      <c r="E454" s="17" t="s">
        <v>92</v>
      </c>
      <c r="F454" s="17" t="s">
        <v>92</v>
      </c>
      <c r="G454" s="17">
        <v>0.18563326230521299</v>
      </c>
      <c r="H454" s="17">
        <v>0.15855249599010299</v>
      </c>
      <c r="I454" s="17" t="s">
        <v>115</v>
      </c>
    </row>
    <row r="455" spans="1:9" ht="15.6" x14ac:dyDescent="0.3">
      <c r="A455" s="17" t="s">
        <v>58</v>
      </c>
      <c r="B455" s="17" t="s">
        <v>67</v>
      </c>
      <c r="C455" s="17" t="s">
        <v>113</v>
      </c>
      <c r="D455" s="17" t="s">
        <v>114</v>
      </c>
      <c r="E455" s="17" t="s">
        <v>93</v>
      </c>
      <c r="F455" s="17" t="s">
        <v>130</v>
      </c>
      <c r="G455" s="17">
        <v>870.92439627680005</v>
      </c>
      <c r="H455" s="17">
        <v>743.87119600000005</v>
      </c>
      <c r="I455" s="17" t="s">
        <v>115</v>
      </c>
    </row>
    <row r="456" spans="1:9" ht="15.6" x14ac:dyDescent="0.3">
      <c r="A456" s="17" t="s">
        <v>58</v>
      </c>
      <c r="B456" s="17" t="s">
        <v>67</v>
      </c>
      <c r="C456" s="17" t="s">
        <v>113</v>
      </c>
      <c r="D456" s="17" t="s">
        <v>114</v>
      </c>
      <c r="E456" s="17" t="s">
        <v>93</v>
      </c>
      <c r="F456" s="17" t="s">
        <v>131</v>
      </c>
      <c r="G456" s="17">
        <v>120.03416256</v>
      </c>
      <c r="H456" s="17">
        <v>102.5232</v>
      </c>
      <c r="I456" s="17" t="s">
        <v>115</v>
      </c>
    </row>
    <row r="457" spans="1:9" ht="15.6" x14ac:dyDescent="0.3">
      <c r="A457" s="17" t="s">
        <v>58</v>
      </c>
      <c r="B457" s="17" t="s">
        <v>67</v>
      </c>
      <c r="C457" s="17" t="s">
        <v>113</v>
      </c>
      <c r="D457" s="17" t="s">
        <v>114</v>
      </c>
      <c r="E457" s="17" t="s">
        <v>93</v>
      </c>
      <c r="F457" s="17" t="s">
        <v>132</v>
      </c>
      <c r="G457" s="17">
        <v>2.0958069311999998</v>
      </c>
      <c r="H457" s="17">
        <v>1.7900640000000001</v>
      </c>
      <c r="I457" s="17" t="s">
        <v>115</v>
      </c>
    </row>
    <row r="458" spans="1:9" ht="15.6" x14ac:dyDescent="0.3">
      <c r="A458" s="17" t="s">
        <v>58</v>
      </c>
      <c r="B458" s="17" t="s">
        <v>67</v>
      </c>
      <c r="C458" s="17" t="s">
        <v>113</v>
      </c>
      <c r="D458" s="17" t="s">
        <v>114</v>
      </c>
      <c r="E458" s="17" t="s">
        <v>93</v>
      </c>
      <c r="F458" s="17" t="s">
        <v>133</v>
      </c>
      <c r="G458" s="17">
        <v>23.2439207258065</v>
      </c>
      <c r="H458" s="17">
        <v>19.8530241935484</v>
      </c>
      <c r="I458" s="17" t="s">
        <v>115</v>
      </c>
    </row>
    <row r="459" spans="1:9" ht="15.6" x14ac:dyDescent="0.3">
      <c r="A459" s="17" t="s">
        <v>58</v>
      </c>
      <c r="B459" s="17" t="s">
        <v>67</v>
      </c>
      <c r="C459" s="17" t="s">
        <v>113</v>
      </c>
      <c r="D459" s="17" t="s">
        <v>114</v>
      </c>
      <c r="E459" s="17" t="s">
        <v>93</v>
      </c>
      <c r="F459" s="17" t="s">
        <v>134</v>
      </c>
      <c r="G459" s="17">
        <v>3.5444049888000002</v>
      </c>
      <c r="H459" s="17">
        <v>3.027336</v>
      </c>
      <c r="I459" s="17" t="s">
        <v>115</v>
      </c>
    </row>
    <row r="460" spans="1:9" ht="15.6" x14ac:dyDescent="0.3">
      <c r="A460" s="17" t="s">
        <v>58</v>
      </c>
      <c r="B460" s="17" t="s">
        <v>67</v>
      </c>
      <c r="C460" s="17" t="s">
        <v>113</v>
      </c>
      <c r="D460" s="17" t="s">
        <v>114</v>
      </c>
      <c r="E460" s="17" t="s">
        <v>93</v>
      </c>
      <c r="F460" s="17" t="s">
        <v>135</v>
      </c>
      <c r="G460" s="17">
        <v>18.662552000000002</v>
      </c>
      <c r="H460" s="17">
        <v>15.94</v>
      </c>
      <c r="I460" s="17" t="s">
        <v>115</v>
      </c>
    </row>
    <row r="461" spans="1:9" ht="15.6" x14ac:dyDescent="0.3">
      <c r="A461" s="17" t="s">
        <v>58</v>
      </c>
      <c r="B461" s="17" t="s">
        <v>67</v>
      </c>
      <c r="C461" s="17" t="s">
        <v>113</v>
      </c>
      <c r="D461" s="17" t="s">
        <v>114</v>
      </c>
      <c r="E461" s="17" t="s">
        <v>93</v>
      </c>
      <c r="F461" s="17" t="s">
        <v>136</v>
      </c>
      <c r="G461" s="17">
        <v>346.111497123351</v>
      </c>
      <c r="H461" s="17">
        <v>295.61965931273602</v>
      </c>
      <c r="I461" s="17" t="s">
        <v>115</v>
      </c>
    </row>
    <row r="462" spans="1:9" ht="15.6" x14ac:dyDescent="0.3">
      <c r="A462" s="17" t="s">
        <v>58</v>
      </c>
      <c r="B462" s="17" t="s">
        <v>67</v>
      </c>
      <c r="C462" s="17" t="s">
        <v>113</v>
      </c>
      <c r="D462" s="17" t="s">
        <v>114</v>
      </c>
      <c r="E462" s="17" t="s">
        <v>93</v>
      </c>
      <c r="F462" s="17" t="s">
        <v>137</v>
      </c>
      <c r="G462" s="17">
        <v>179.21457845200001</v>
      </c>
      <c r="H462" s="17">
        <v>153.07019</v>
      </c>
      <c r="I462" s="17" t="s">
        <v>115</v>
      </c>
    </row>
    <row r="463" spans="1:9" ht="15.6" x14ac:dyDescent="0.3">
      <c r="A463" s="17" t="s">
        <v>58</v>
      </c>
      <c r="B463" s="17" t="s">
        <v>67</v>
      </c>
      <c r="C463" s="17" t="s">
        <v>113</v>
      </c>
      <c r="D463" s="17" t="s">
        <v>114</v>
      </c>
      <c r="E463" s="17" t="s">
        <v>94</v>
      </c>
      <c r="F463" s="17" t="s">
        <v>94</v>
      </c>
      <c r="G463" s="17">
        <v>27.440910667789701</v>
      </c>
      <c r="H463" s="17">
        <v>23.437743993670701</v>
      </c>
      <c r="I463" s="17" t="s">
        <v>115</v>
      </c>
    </row>
    <row r="464" spans="1:9" ht="15.6" x14ac:dyDescent="0.3">
      <c r="A464" s="17" t="s">
        <v>58</v>
      </c>
      <c r="B464" s="17" t="s">
        <v>67</v>
      </c>
      <c r="C464" s="17" t="s">
        <v>113</v>
      </c>
      <c r="D464" s="17" t="s">
        <v>114</v>
      </c>
      <c r="E464" s="17" t="s">
        <v>95</v>
      </c>
      <c r="F464" s="17" t="s">
        <v>138</v>
      </c>
      <c r="G464" s="17">
        <v>494.24806847999997</v>
      </c>
      <c r="H464" s="17">
        <v>422.1456</v>
      </c>
      <c r="I464" s="17" t="s">
        <v>115</v>
      </c>
    </row>
    <row r="465" spans="1:9" ht="15.6" x14ac:dyDescent="0.3">
      <c r="A465" s="17" t="s">
        <v>58</v>
      </c>
      <c r="B465" s="17" t="s">
        <v>67</v>
      </c>
      <c r="C465" s="17" t="s">
        <v>113</v>
      </c>
      <c r="D465" s="17" t="s">
        <v>114</v>
      </c>
      <c r="E465" s="17" t="s">
        <v>98</v>
      </c>
      <c r="F465" s="17" t="s">
        <v>139</v>
      </c>
      <c r="G465" s="17">
        <v>190.567213333333</v>
      </c>
      <c r="H465" s="17">
        <v>162.766666666666</v>
      </c>
      <c r="I465" s="17" t="s">
        <v>115</v>
      </c>
    </row>
    <row r="466" spans="1:9" ht="15.6" x14ac:dyDescent="0.3">
      <c r="A466" s="17" t="s">
        <v>58</v>
      </c>
      <c r="B466" s="17" t="s">
        <v>67</v>
      </c>
      <c r="C466" s="17" t="s">
        <v>113</v>
      </c>
      <c r="D466" s="17" t="s">
        <v>114</v>
      </c>
      <c r="E466" s="17" t="s">
        <v>98</v>
      </c>
      <c r="F466" s="17" t="s">
        <v>140</v>
      </c>
      <c r="G466" s="17">
        <v>10603.795104000001</v>
      </c>
      <c r="H466" s="17">
        <v>9056.8800000000101</v>
      </c>
      <c r="I466" s="17" t="s">
        <v>115</v>
      </c>
    </row>
    <row r="467" spans="1:9" ht="15.6" x14ac:dyDescent="0.3">
      <c r="A467" s="17" t="s">
        <v>58</v>
      </c>
      <c r="B467" s="17" t="s">
        <v>67</v>
      </c>
      <c r="C467" s="17" t="s">
        <v>113</v>
      </c>
      <c r="D467" s="17" t="s">
        <v>114</v>
      </c>
      <c r="E467" s="17" t="s">
        <v>98</v>
      </c>
      <c r="F467" s="17" t="s">
        <v>141</v>
      </c>
      <c r="G467" s="17">
        <v>95.445378494623597</v>
      </c>
      <c r="H467" s="17">
        <v>81.521505376344095</v>
      </c>
      <c r="I467" s="17" t="s">
        <v>115</v>
      </c>
    </row>
    <row r="468" spans="1:9" ht="15.6" x14ac:dyDescent="0.3">
      <c r="A468" s="17" t="s">
        <v>58</v>
      </c>
      <c r="B468" s="17" t="s">
        <v>67</v>
      </c>
      <c r="C468" s="17" t="s">
        <v>113</v>
      </c>
      <c r="D468" s="17" t="s">
        <v>114</v>
      </c>
      <c r="E468" s="17" t="s">
        <v>96</v>
      </c>
      <c r="F468" s="17" t="s">
        <v>96</v>
      </c>
      <c r="G468" s="17">
        <v>7.0927031674211998</v>
      </c>
      <c r="H468" s="17">
        <v>6.0579972389999996</v>
      </c>
      <c r="I468" s="17" t="s">
        <v>115</v>
      </c>
    </row>
    <row r="469" spans="1:9" ht="15.6" x14ac:dyDescent="0.3">
      <c r="A469" s="17" t="s">
        <v>58</v>
      </c>
      <c r="B469" s="17" t="s">
        <v>67</v>
      </c>
      <c r="C469" s="17" t="s">
        <v>113</v>
      </c>
      <c r="D469" s="17" t="s">
        <v>114</v>
      </c>
      <c r="E469" s="17" t="s">
        <v>97</v>
      </c>
      <c r="F469" s="17" t="s">
        <v>97</v>
      </c>
      <c r="G469" s="17">
        <v>137.92024000000001</v>
      </c>
      <c r="H469" s="17">
        <v>117.8</v>
      </c>
      <c r="I469" s="17" t="s">
        <v>115</v>
      </c>
    </row>
    <row r="470" spans="1:9" ht="15.6" x14ac:dyDescent="0.3">
      <c r="A470" s="17" t="s">
        <v>58</v>
      </c>
      <c r="B470" s="17" t="s">
        <v>67</v>
      </c>
      <c r="C470" s="17" t="s">
        <v>113</v>
      </c>
      <c r="D470" s="17" t="s">
        <v>114</v>
      </c>
      <c r="E470" s="17" t="s">
        <v>99</v>
      </c>
      <c r="F470" s="17" t="s">
        <v>142</v>
      </c>
      <c r="G470" s="17">
        <v>1146.73288673308</v>
      </c>
      <c r="H470" s="17">
        <v>979.44387319190002</v>
      </c>
      <c r="I470" s="17" t="s">
        <v>115</v>
      </c>
    </row>
    <row r="471" spans="1:9" ht="15.6" x14ac:dyDescent="0.3">
      <c r="A471" s="17" t="s">
        <v>58</v>
      </c>
      <c r="B471" s="17" t="s">
        <v>67</v>
      </c>
      <c r="C471" s="17" t="s">
        <v>113</v>
      </c>
      <c r="D471" s="17" t="s">
        <v>114</v>
      </c>
      <c r="E471" s="17" t="s">
        <v>99</v>
      </c>
      <c r="F471" s="17" t="s">
        <v>143</v>
      </c>
      <c r="G471" s="17">
        <v>24.858385192741601</v>
      </c>
      <c r="H471" s="17">
        <v>21.23196548748</v>
      </c>
      <c r="I471" s="17" t="s">
        <v>115</v>
      </c>
    </row>
    <row r="472" spans="1:9" ht="15.6" x14ac:dyDescent="0.3">
      <c r="A472" s="17" t="s">
        <v>58</v>
      </c>
      <c r="B472" s="17" t="s">
        <v>67</v>
      </c>
      <c r="C472" s="17" t="s">
        <v>113</v>
      </c>
      <c r="D472" s="17" t="s">
        <v>114</v>
      </c>
      <c r="E472" s="17" t="s">
        <v>99</v>
      </c>
      <c r="F472" s="17" t="s">
        <v>144</v>
      </c>
      <c r="G472" s="17">
        <v>93.8560549345315</v>
      </c>
      <c r="H472" s="17">
        <v>80.164037354399994</v>
      </c>
      <c r="I472" s="17" t="s">
        <v>115</v>
      </c>
    </row>
    <row r="473" spans="1:9" ht="15.6" x14ac:dyDescent="0.3">
      <c r="A473" s="17" t="s">
        <v>58</v>
      </c>
      <c r="B473" s="17" t="s">
        <v>67</v>
      </c>
      <c r="C473" s="17" t="s">
        <v>113</v>
      </c>
      <c r="D473" s="17" t="s">
        <v>114</v>
      </c>
      <c r="E473" s="17" t="s">
        <v>99</v>
      </c>
      <c r="F473" s="17" t="s">
        <v>145</v>
      </c>
      <c r="G473" s="17">
        <v>1.229410248E-4</v>
      </c>
      <c r="H473" s="17">
        <v>1.05006E-4</v>
      </c>
      <c r="I473" s="17" t="s">
        <v>115</v>
      </c>
    </row>
    <row r="474" spans="1:9" ht="15.6" x14ac:dyDescent="0.3">
      <c r="A474" s="17" t="s">
        <v>58</v>
      </c>
      <c r="B474" s="17" t="s">
        <v>67</v>
      </c>
      <c r="C474" s="17" t="s">
        <v>113</v>
      </c>
      <c r="D474" s="17" t="s">
        <v>114</v>
      </c>
      <c r="E474" s="17" t="s">
        <v>99</v>
      </c>
      <c r="F474" s="17" t="s">
        <v>146</v>
      </c>
      <c r="G474" s="17">
        <v>7.9246275659039994E-2</v>
      </c>
      <c r="H474" s="17">
        <v>6.7685578800000007E-2</v>
      </c>
      <c r="I474" s="17" t="s">
        <v>115</v>
      </c>
    </row>
    <row r="475" spans="1:9" ht="15.6" x14ac:dyDescent="0.3">
      <c r="A475" s="17" t="s">
        <v>58</v>
      </c>
      <c r="B475" s="17" t="s">
        <v>67</v>
      </c>
      <c r="C475" s="17" t="s">
        <v>113</v>
      </c>
      <c r="D475" s="17" t="s">
        <v>114</v>
      </c>
      <c r="E475" s="17" t="s">
        <v>99</v>
      </c>
      <c r="F475" s="17" t="s">
        <v>147</v>
      </c>
      <c r="G475" s="17">
        <v>90.420582936366799</v>
      </c>
      <c r="H475" s="17">
        <v>77.229742856480001</v>
      </c>
      <c r="I475" s="17" t="s">
        <v>115</v>
      </c>
    </row>
    <row r="476" spans="1:9" ht="15.6" x14ac:dyDescent="0.3">
      <c r="A476" s="17" t="s">
        <v>58</v>
      </c>
      <c r="B476" s="17" t="s">
        <v>67</v>
      </c>
      <c r="C476" s="17" t="s">
        <v>113</v>
      </c>
      <c r="D476" s="17" t="s">
        <v>114</v>
      </c>
      <c r="E476" s="17" t="s">
        <v>99</v>
      </c>
      <c r="F476" s="17" t="s">
        <v>148</v>
      </c>
      <c r="G476" s="17">
        <v>1286.2166458824299</v>
      </c>
      <c r="H476" s="17">
        <v>1098.579301232</v>
      </c>
      <c r="I476" s="17" t="s">
        <v>115</v>
      </c>
    </row>
    <row r="477" spans="1:9" ht="15.6" x14ac:dyDescent="0.3">
      <c r="A477" s="17" t="s">
        <v>58</v>
      </c>
      <c r="B477" s="17" t="s">
        <v>67</v>
      </c>
      <c r="C477" s="17" t="s">
        <v>113</v>
      </c>
      <c r="D477" s="17" t="s">
        <v>114</v>
      </c>
      <c r="E477" s="17" t="s">
        <v>99</v>
      </c>
      <c r="F477" s="17" t="s">
        <v>149</v>
      </c>
      <c r="G477" s="17">
        <v>4.6166985600000001E-6</v>
      </c>
      <c r="H477" s="17">
        <v>3.9431999999999998E-6</v>
      </c>
      <c r="I477" s="17" t="s">
        <v>115</v>
      </c>
    </row>
    <row r="478" spans="1:9" ht="15.6" x14ac:dyDescent="0.3">
      <c r="A478" s="17" t="s">
        <v>58</v>
      </c>
      <c r="B478" s="17" t="s">
        <v>67</v>
      </c>
      <c r="C478" s="17" t="s">
        <v>113</v>
      </c>
      <c r="D478" s="17" t="s">
        <v>114</v>
      </c>
      <c r="E478" s="17" t="s">
        <v>99</v>
      </c>
      <c r="F478" s="17" t="s">
        <v>150</v>
      </c>
      <c r="G478" s="17">
        <v>3.9347871743999999E-4</v>
      </c>
      <c r="H478" s="17">
        <v>3.3607679999999999E-4</v>
      </c>
      <c r="I478" s="17" t="s">
        <v>115</v>
      </c>
    </row>
    <row r="479" spans="1:9" ht="15.6" x14ac:dyDescent="0.3">
      <c r="A479" s="17" t="s">
        <v>58</v>
      </c>
      <c r="B479" s="17" t="s">
        <v>67</v>
      </c>
      <c r="C479" s="17" t="s">
        <v>113</v>
      </c>
      <c r="D479" s="17" t="s">
        <v>114</v>
      </c>
      <c r="E479" s="17" t="s">
        <v>99</v>
      </c>
      <c r="F479" s="17" t="s">
        <v>151</v>
      </c>
      <c r="G479" s="17">
        <v>8.8131729658175999</v>
      </c>
      <c r="H479" s="17">
        <v>7.5274794719999996</v>
      </c>
      <c r="I479" s="17" t="s">
        <v>115</v>
      </c>
    </row>
    <row r="480" spans="1:9" ht="15.6" x14ac:dyDescent="0.3">
      <c r="A480" s="17" t="s">
        <v>58</v>
      </c>
      <c r="B480" s="17" t="s">
        <v>67</v>
      </c>
      <c r="C480" s="17" t="s">
        <v>113</v>
      </c>
      <c r="D480" s="17" t="s">
        <v>114</v>
      </c>
      <c r="E480" s="17" t="s">
        <v>99</v>
      </c>
      <c r="F480" s="17" t="s">
        <v>152</v>
      </c>
      <c r="G480" s="17">
        <v>28.808024691646398</v>
      </c>
      <c r="H480" s="17">
        <v>24.605419108</v>
      </c>
      <c r="I480" s="17" t="s">
        <v>115</v>
      </c>
    </row>
    <row r="481" spans="1:9" ht="15.6" x14ac:dyDescent="0.3">
      <c r="A481" s="17" t="s">
        <v>58</v>
      </c>
      <c r="B481" s="17" t="s">
        <v>67</v>
      </c>
      <c r="C481" s="17" t="s">
        <v>113</v>
      </c>
      <c r="D481" s="17" t="s">
        <v>114</v>
      </c>
      <c r="E481" s="17" t="s">
        <v>99</v>
      </c>
      <c r="F481" s="17" t="s">
        <v>153</v>
      </c>
      <c r="G481" s="17">
        <v>3.3415375881829599</v>
      </c>
      <c r="H481" s="17">
        <v>2.8540635362</v>
      </c>
      <c r="I481" s="17" t="s">
        <v>115</v>
      </c>
    </row>
    <row r="482" spans="1:9" ht="15.6" x14ac:dyDescent="0.3">
      <c r="A482" s="17" t="s">
        <v>58</v>
      </c>
      <c r="B482" s="17" t="s">
        <v>67</v>
      </c>
      <c r="C482" s="17" t="s">
        <v>113</v>
      </c>
      <c r="D482" s="17" t="s">
        <v>114</v>
      </c>
      <c r="E482" s="17" t="s">
        <v>99</v>
      </c>
      <c r="F482" s="17" t="s">
        <v>154</v>
      </c>
      <c r="G482" s="17">
        <v>2.6937691468799999E-3</v>
      </c>
      <c r="H482" s="17">
        <v>2.3007936E-3</v>
      </c>
      <c r="I482" s="17" t="s">
        <v>115</v>
      </c>
    </row>
    <row r="483" spans="1:9" ht="15.6" x14ac:dyDescent="0.3">
      <c r="A483" s="17" t="s">
        <v>58</v>
      </c>
      <c r="B483" s="17" t="s">
        <v>67</v>
      </c>
      <c r="C483" s="17" t="s">
        <v>113</v>
      </c>
      <c r="D483" s="17" t="s">
        <v>114</v>
      </c>
      <c r="E483" s="17" t="s">
        <v>101</v>
      </c>
      <c r="F483" s="17" t="s">
        <v>170</v>
      </c>
      <c r="G483" s="17">
        <v>74.028457919999994</v>
      </c>
      <c r="H483" s="17">
        <v>63.228952784420898</v>
      </c>
      <c r="I483" s="17" t="s">
        <v>115</v>
      </c>
    </row>
    <row r="484" spans="1:9" ht="15.6" x14ac:dyDescent="0.3">
      <c r="A484" s="17" t="s">
        <v>58</v>
      </c>
      <c r="B484" s="17" t="s">
        <v>67</v>
      </c>
      <c r="C484" s="17" t="s">
        <v>113</v>
      </c>
      <c r="D484" s="17" t="s">
        <v>114</v>
      </c>
      <c r="E484" s="17" t="s">
        <v>101</v>
      </c>
      <c r="F484" s="17" t="s">
        <v>175</v>
      </c>
      <c r="G484" s="17">
        <v>6.3811710303680005E-2</v>
      </c>
      <c r="H484" s="17">
        <v>5.4502656562760501E-2</v>
      </c>
      <c r="I484" s="17" t="s">
        <v>115</v>
      </c>
    </row>
    <row r="485" spans="1:9" ht="15.6" x14ac:dyDescent="0.3">
      <c r="A485" s="17" t="s">
        <v>58</v>
      </c>
      <c r="B485" s="17" t="s">
        <v>67</v>
      </c>
      <c r="C485" s="17" t="s">
        <v>113</v>
      </c>
      <c r="D485" s="17" t="s">
        <v>114</v>
      </c>
      <c r="E485" s="17" t="s">
        <v>101</v>
      </c>
      <c r="F485" s="17" t="s">
        <v>173</v>
      </c>
      <c r="G485" s="17">
        <v>5.4520713929955997</v>
      </c>
      <c r="H485" s="17">
        <v>4.6567060070000004</v>
      </c>
      <c r="I485" s="17" t="s">
        <v>115</v>
      </c>
    </row>
    <row r="486" spans="1:9" ht="15.6" x14ac:dyDescent="0.3">
      <c r="A486" s="17" t="s">
        <v>58</v>
      </c>
      <c r="B486" s="17" t="s">
        <v>67</v>
      </c>
      <c r="C486" s="17" t="s">
        <v>113</v>
      </c>
      <c r="D486" s="17" t="s">
        <v>114</v>
      </c>
      <c r="E486" s="17" t="s">
        <v>101</v>
      </c>
      <c r="F486" s="17" t="s">
        <v>155</v>
      </c>
      <c r="G486" s="17">
        <v>126.31817976587899</v>
      </c>
      <c r="H486" s="17">
        <v>107.89048493839999</v>
      </c>
      <c r="I486" s="17" t="s">
        <v>115</v>
      </c>
    </row>
    <row r="487" spans="1:9" ht="15.6" x14ac:dyDescent="0.3">
      <c r="A487" s="17" t="s">
        <v>58</v>
      </c>
      <c r="B487" s="17" t="s">
        <v>67</v>
      </c>
      <c r="C487" s="17" t="s">
        <v>113</v>
      </c>
      <c r="D487" s="17" t="s">
        <v>114</v>
      </c>
      <c r="E487" s="17" t="s">
        <v>101</v>
      </c>
      <c r="F487" s="17" t="s">
        <v>156</v>
      </c>
      <c r="G487" s="17">
        <v>178.65078644831499</v>
      </c>
      <c r="H487" s="17">
        <v>152.58864575359999</v>
      </c>
      <c r="I487" s="17" t="s">
        <v>115</v>
      </c>
    </row>
    <row r="488" spans="1:9" ht="15.6" x14ac:dyDescent="0.3">
      <c r="A488" s="17" t="s">
        <v>58</v>
      </c>
      <c r="B488" s="17" t="s">
        <v>67</v>
      </c>
      <c r="C488" s="17" t="s">
        <v>113</v>
      </c>
      <c r="D488" s="17" t="s">
        <v>114</v>
      </c>
      <c r="E488" s="17" t="s">
        <v>101</v>
      </c>
      <c r="F488" s="17" t="s">
        <v>157</v>
      </c>
      <c r="G488" s="17">
        <v>5865.0579859627796</v>
      </c>
      <c r="H488" s="17">
        <v>5009.4448120625002</v>
      </c>
      <c r="I488" s="17" t="s">
        <v>115</v>
      </c>
    </row>
    <row r="489" spans="1:9" ht="15.6" x14ac:dyDescent="0.3">
      <c r="A489" s="17" t="s">
        <v>58</v>
      </c>
      <c r="B489" s="17" t="s">
        <v>67</v>
      </c>
      <c r="C489" s="17" t="s">
        <v>113</v>
      </c>
      <c r="D489" s="17" t="s">
        <v>114</v>
      </c>
      <c r="E489" s="17" t="s">
        <v>101</v>
      </c>
      <c r="F489" s="17" t="s">
        <v>158</v>
      </c>
      <c r="G489" s="17">
        <v>472.52656967728899</v>
      </c>
      <c r="H489" s="17">
        <v>403.59290201340002</v>
      </c>
      <c r="I489" s="17" t="s">
        <v>115</v>
      </c>
    </row>
    <row r="490" spans="1:9" ht="15.6" x14ac:dyDescent="0.3">
      <c r="A490" s="17" t="s">
        <v>58</v>
      </c>
      <c r="B490" s="17" t="s">
        <v>67</v>
      </c>
      <c r="C490" s="17" t="s">
        <v>113</v>
      </c>
      <c r="D490" s="17" t="s">
        <v>114</v>
      </c>
      <c r="E490" s="17" t="s">
        <v>101</v>
      </c>
      <c r="F490" s="17" t="s">
        <v>159</v>
      </c>
      <c r="G490" s="17">
        <v>138.245719698964</v>
      </c>
      <c r="H490" s="17">
        <v>118.077997693</v>
      </c>
      <c r="I490" s="17" t="s">
        <v>115</v>
      </c>
    </row>
    <row r="491" spans="1:9" ht="15.6" x14ac:dyDescent="0.3">
      <c r="A491" s="17" t="s">
        <v>58</v>
      </c>
      <c r="B491" s="17" t="s">
        <v>67</v>
      </c>
      <c r="C491" s="17" t="s">
        <v>113</v>
      </c>
      <c r="D491" s="17" t="s">
        <v>114</v>
      </c>
      <c r="E491" s="17" t="s">
        <v>101</v>
      </c>
      <c r="F491" s="17" t="s">
        <v>160</v>
      </c>
      <c r="G491" s="17">
        <v>799.02414563186596</v>
      </c>
      <c r="H491" s="17">
        <v>682.45998089499994</v>
      </c>
      <c r="I491" s="17" t="s">
        <v>115</v>
      </c>
    </row>
    <row r="492" spans="1:9" ht="15.6" x14ac:dyDescent="0.3">
      <c r="A492" s="17" t="s">
        <v>58</v>
      </c>
      <c r="B492" s="17" t="s">
        <v>67</v>
      </c>
      <c r="C492" s="17" t="s">
        <v>113</v>
      </c>
      <c r="D492" s="17" t="s">
        <v>114</v>
      </c>
      <c r="E492" s="17" t="s">
        <v>101</v>
      </c>
      <c r="F492" s="17" t="s">
        <v>162</v>
      </c>
      <c r="G492" s="17">
        <v>238.32329102246999</v>
      </c>
      <c r="H492" s="17">
        <v>203.55593698536899</v>
      </c>
      <c r="I492" s="17" t="s">
        <v>115</v>
      </c>
    </row>
    <row r="493" spans="1:9" ht="15.6" x14ac:dyDescent="0.3">
      <c r="A493" s="17" t="s">
        <v>58</v>
      </c>
      <c r="B493" s="17" t="s">
        <v>67</v>
      </c>
      <c r="C493" s="17" t="s">
        <v>113</v>
      </c>
      <c r="D493" s="17" t="s">
        <v>114</v>
      </c>
      <c r="E493" s="17" t="s">
        <v>101</v>
      </c>
      <c r="F493" s="17" t="s">
        <v>163</v>
      </c>
      <c r="G493" s="17">
        <v>330.04312809134399</v>
      </c>
      <c r="H493" s="17">
        <v>281.89539467999998</v>
      </c>
      <c r="I493" s="17" t="s">
        <v>115</v>
      </c>
    </row>
    <row r="494" spans="1:9" ht="15.6" x14ac:dyDescent="0.3">
      <c r="A494" s="17" t="s">
        <v>58</v>
      </c>
      <c r="B494" s="17" t="s">
        <v>67</v>
      </c>
      <c r="C494" s="17" t="s">
        <v>113</v>
      </c>
      <c r="D494" s="17" t="s">
        <v>114</v>
      </c>
      <c r="E494" s="17" t="s">
        <v>101</v>
      </c>
      <c r="F494" s="17" t="s">
        <v>176</v>
      </c>
      <c r="G494" s="17">
        <v>1.25610788232</v>
      </c>
      <c r="H494" s="17">
        <v>1.07286289914588</v>
      </c>
      <c r="I494" s="17" t="s">
        <v>115</v>
      </c>
    </row>
    <row r="495" spans="1:9" ht="15.6" x14ac:dyDescent="0.3">
      <c r="A495" s="17" t="s">
        <v>58</v>
      </c>
      <c r="B495" s="17" t="s">
        <v>67</v>
      </c>
      <c r="C495" s="17" t="s">
        <v>113</v>
      </c>
      <c r="D495" s="17" t="s">
        <v>114</v>
      </c>
      <c r="E495" s="17" t="s">
        <v>101</v>
      </c>
      <c r="F495" s="17" t="s">
        <v>164</v>
      </c>
      <c r="G495" s="17">
        <v>1.19752404400188</v>
      </c>
      <c r="H495" s="17">
        <v>1.0228254561000001</v>
      </c>
      <c r="I495" s="17" t="s">
        <v>115</v>
      </c>
    </row>
    <row r="496" spans="1:9" ht="15.6" x14ac:dyDescent="0.3">
      <c r="A496" s="17" t="s">
        <v>58</v>
      </c>
      <c r="B496" s="17" t="s">
        <v>67</v>
      </c>
      <c r="C496" s="17" t="s">
        <v>113</v>
      </c>
      <c r="D496" s="17" t="s">
        <v>114</v>
      </c>
      <c r="E496" s="17" t="s">
        <v>102</v>
      </c>
      <c r="F496" s="17" t="s">
        <v>165</v>
      </c>
      <c r="G496" s="17">
        <v>40.287913698533302</v>
      </c>
      <c r="H496" s="17">
        <v>34.410585666666698</v>
      </c>
      <c r="I496" s="17" t="s">
        <v>115</v>
      </c>
    </row>
    <row r="497" spans="1:9" ht="15.6" x14ac:dyDescent="0.3">
      <c r="A497" s="17" t="s">
        <v>58</v>
      </c>
      <c r="B497" s="17" t="s">
        <v>67</v>
      </c>
      <c r="C497" s="17" t="s">
        <v>113</v>
      </c>
      <c r="D497" s="17" t="s">
        <v>114</v>
      </c>
      <c r="E497" s="17" t="s">
        <v>102</v>
      </c>
      <c r="F497" s="17" t="s">
        <v>166</v>
      </c>
      <c r="G497" s="17">
        <v>514.22434294429797</v>
      </c>
      <c r="H497" s="17">
        <v>439.20767248402598</v>
      </c>
      <c r="I497" s="17" t="s">
        <v>115</v>
      </c>
    </row>
    <row r="498" spans="1:9" ht="15.6" x14ac:dyDescent="0.3">
      <c r="A498" s="17" t="s">
        <v>58</v>
      </c>
      <c r="B498" s="17" t="s">
        <v>67</v>
      </c>
      <c r="C498" s="17" t="s">
        <v>113</v>
      </c>
      <c r="D498" s="17" t="s">
        <v>114</v>
      </c>
      <c r="E498" s="17" t="s">
        <v>103</v>
      </c>
      <c r="F498" s="17" t="s">
        <v>103</v>
      </c>
      <c r="G498" s="17">
        <v>34.443765200000001</v>
      </c>
      <c r="H498" s="17">
        <v>29.419</v>
      </c>
      <c r="I498" s="17" t="s">
        <v>115</v>
      </c>
    </row>
    <row r="499" spans="1:9" ht="15.6" x14ac:dyDescent="0.3">
      <c r="A499" s="17" t="s">
        <v>58</v>
      </c>
      <c r="B499" s="17" t="s">
        <v>67</v>
      </c>
      <c r="C499" s="17" t="s">
        <v>167</v>
      </c>
      <c r="D499" s="17" t="s">
        <v>168</v>
      </c>
      <c r="E499" s="17" t="s">
        <v>100</v>
      </c>
      <c r="F499" s="17" t="s">
        <v>100</v>
      </c>
      <c r="G499" s="17">
        <v>0</v>
      </c>
      <c r="H499" s="17">
        <v>0</v>
      </c>
      <c r="I499" s="17" t="s">
        <v>115</v>
      </c>
    </row>
    <row r="500" spans="1:9" ht="15.6" x14ac:dyDescent="0.3">
      <c r="A500" s="17" t="s">
        <v>58</v>
      </c>
      <c r="B500" s="17" t="s">
        <v>67</v>
      </c>
      <c r="C500" s="17" t="s">
        <v>167</v>
      </c>
      <c r="D500" s="17" t="s">
        <v>114</v>
      </c>
      <c r="E500" s="17" t="s">
        <v>100</v>
      </c>
      <c r="F500" s="17" t="s">
        <v>100</v>
      </c>
      <c r="G500" s="17">
        <v>275.25976320000001</v>
      </c>
      <c r="H500" s="17">
        <v>235.10400000000001</v>
      </c>
      <c r="I500" s="17" t="s">
        <v>115</v>
      </c>
    </row>
    <row r="501" spans="1:9" ht="15.6" x14ac:dyDescent="0.3">
      <c r="A501" s="17" t="s">
        <v>58</v>
      </c>
      <c r="B501" s="17" t="s">
        <v>68</v>
      </c>
      <c r="C501" s="17" t="s">
        <v>113</v>
      </c>
      <c r="D501" s="17" t="s">
        <v>114</v>
      </c>
      <c r="E501" s="17" t="s">
        <v>71</v>
      </c>
      <c r="F501" s="17" t="s">
        <v>71</v>
      </c>
      <c r="G501" s="17">
        <v>75.868748999999994</v>
      </c>
      <c r="H501" s="17">
        <v>65.843999999999994</v>
      </c>
      <c r="I501" s="17" t="s">
        <v>115</v>
      </c>
    </row>
    <row r="502" spans="1:9" ht="15.6" x14ac:dyDescent="0.3">
      <c r="A502" s="17" t="s">
        <v>58</v>
      </c>
      <c r="B502" s="17" t="s">
        <v>68</v>
      </c>
      <c r="C502" s="17" t="s">
        <v>113</v>
      </c>
      <c r="D502" s="17" t="s">
        <v>114</v>
      </c>
      <c r="E502" s="17" t="s">
        <v>72</v>
      </c>
      <c r="F502" s="17" t="s">
        <v>116</v>
      </c>
      <c r="G502" s="17">
        <v>191.28354762000001</v>
      </c>
      <c r="H502" s="17">
        <v>166.00872000000001</v>
      </c>
      <c r="I502" s="17" t="s">
        <v>115</v>
      </c>
    </row>
    <row r="503" spans="1:9" ht="15.6" x14ac:dyDescent="0.3">
      <c r="A503" s="17" t="s">
        <v>58</v>
      </c>
      <c r="B503" s="17" t="s">
        <v>68</v>
      </c>
      <c r="C503" s="17" t="s">
        <v>113</v>
      </c>
      <c r="D503" s="17" t="s">
        <v>114</v>
      </c>
      <c r="E503" s="17" t="s">
        <v>73</v>
      </c>
      <c r="F503" s="17" t="s">
        <v>117</v>
      </c>
      <c r="G503" s="17">
        <v>0</v>
      </c>
      <c r="H503" s="17">
        <v>0</v>
      </c>
      <c r="I503" s="17" t="s">
        <v>115</v>
      </c>
    </row>
    <row r="504" spans="1:9" ht="15.6" x14ac:dyDescent="0.3">
      <c r="A504" s="17" t="s">
        <v>58</v>
      </c>
      <c r="B504" s="17" t="s">
        <v>68</v>
      </c>
      <c r="C504" s="17" t="s">
        <v>113</v>
      </c>
      <c r="D504" s="17" t="s">
        <v>114</v>
      </c>
      <c r="E504" s="17" t="s">
        <v>73</v>
      </c>
      <c r="F504" s="17" t="s">
        <v>118</v>
      </c>
      <c r="G504" s="17">
        <v>564.25774679999995</v>
      </c>
      <c r="H504" s="17">
        <v>489.70080000000002</v>
      </c>
      <c r="I504" s="17" t="s">
        <v>115</v>
      </c>
    </row>
    <row r="505" spans="1:9" ht="15.6" x14ac:dyDescent="0.3">
      <c r="A505" s="17" t="s">
        <v>58</v>
      </c>
      <c r="B505" s="17" t="s">
        <v>68</v>
      </c>
      <c r="C505" s="17" t="s">
        <v>113</v>
      </c>
      <c r="D505" s="17" t="s">
        <v>114</v>
      </c>
      <c r="E505" s="17" t="s">
        <v>73</v>
      </c>
      <c r="F505" s="17" t="s">
        <v>119</v>
      </c>
      <c r="G505" s="17">
        <v>960.14688000000001</v>
      </c>
      <c r="H505" s="17">
        <v>833.28</v>
      </c>
      <c r="I505" s="17" t="s">
        <v>115</v>
      </c>
    </row>
    <row r="506" spans="1:9" ht="15.6" x14ac:dyDescent="0.3">
      <c r="A506" s="17" t="s">
        <v>58</v>
      </c>
      <c r="B506" s="17" t="s">
        <v>68</v>
      </c>
      <c r="C506" s="17" t="s">
        <v>113</v>
      </c>
      <c r="D506" s="17" t="s">
        <v>114</v>
      </c>
      <c r="E506" s="17" t="s">
        <v>73</v>
      </c>
      <c r="F506" s="17" t="s">
        <v>120</v>
      </c>
      <c r="G506" s="17">
        <v>31.1613227260274</v>
      </c>
      <c r="H506" s="17">
        <v>27.043890410958898</v>
      </c>
      <c r="I506" s="17" t="s">
        <v>115</v>
      </c>
    </row>
    <row r="507" spans="1:9" ht="15.6" x14ac:dyDescent="0.3">
      <c r="A507" s="17" t="s">
        <v>58</v>
      </c>
      <c r="B507" s="17" t="s">
        <v>68</v>
      </c>
      <c r="C507" s="17" t="s">
        <v>113</v>
      </c>
      <c r="D507" s="17" t="s">
        <v>114</v>
      </c>
      <c r="E507" s="17" t="s">
        <v>74</v>
      </c>
      <c r="F507" s="17" t="s">
        <v>121</v>
      </c>
      <c r="G507" s="17">
        <v>41.551056799999998</v>
      </c>
      <c r="H507" s="17">
        <v>36.0608</v>
      </c>
      <c r="I507" s="17" t="s">
        <v>115</v>
      </c>
    </row>
    <row r="508" spans="1:9" ht="15.6" x14ac:dyDescent="0.3">
      <c r="A508" s="17" t="s">
        <v>58</v>
      </c>
      <c r="B508" s="17" t="s">
        <v>68</v>
      </c>
      <c r="C508" s="17" t="s">
        <v>113</v>
      </c>
      <c r="D508" s="17" t="s">
        <v>114</v>
      </c>
      <c r="E508" s="17" t="s">
        <v>76</v>
      </c>
      <c r="F508" s="17" t="s">
        <v>122</v>
      </c>
      <c r="G508" s="17">
        <v>153.452046</v>
      </c>
      <c r="H508" s="17">
        <v>133.17599999999999</v>
      </c>
      <c r="I508" s="17" t="s">
        <v>115</v>
      </c>
    </row>
    <row r="509" spans="1:9" ht="15.6" x14ac:dyDescent="0.3">
      <c r="A509" s="17" t="s">
        <v>58</v>
      </c>
      <c r="B509" s="17" t="s">
        <v>68</v>
      </c>
      <c r="C509" s="17" t="s">
        <v>113</v>
      </c>
      <c r="D509" s="17" t="s">
        <v>114</v>
      </c>
      <c r="E509" s="17" t="s">
        <v>80</v>
      </c>
      <c r="F509" s="17" t="s">
        <v>80</v>
      </c>
      <c r="G509" s="17">
        <v>0.72483860684400003</v>
      </c>
      <c r="H509" s="17">
        <v>0.62906366400000002</v>
      </c>
      <c r="I509" s="17" t="s">
        <v>115</v>
      </c>
    </row>
    <row r="510" spans="1:9" ht="15.6" x14ac:dyDescent="0.3">
      <c r="A510" s="17" t="s">
        <v>58</v>
      </c>
      <c r="B510" s="17" t="s">
        <v>68</v>
      </c>
      <c r="C510" s="17" t="s">
        <v>113</v>
      </c>
      <c r="D510" s="17" t="s">
        <v>114</v>
      </c>
      <c r="E510" s="17" t="s">
        <v>77</v>
      </c>
      <c r="F510" s="17" t="s">
        <v>77</v>
      </c>
      <c r="G510" s="17">
        <v>6.7302922499999998E-4</v>
      </c>
      <c r="H510" s="17">
        <v>5.8410000000000005E-4</v>
      </c>
      <c r="I510" s="17" t="s">
        <v>115</v>
      </c>
    </row>
    <row r="511" spans="1:9" ht="15.6" x14ac:dyDescent="0.3">
      <c r="A511" s="17" t="s">
        <v>58</v>
      </c>
      <c r="B511" s="17" t="s">
        <v>68</v>
      </c>
      <c r="C511" s="17" t="s">
        <v>113</v>
      </c>
      <c r="D511" s="17" t="s">
        <v>114</v>
      </c>
      <c r="E511" s="17" t="s">
        <v>78</v>
      </c>
      <c r="F511" s="17" t="s">
        <v>123</v>
      </c>
      <c r="G511" s="17">
        <v>17.875545599999999</v>
      </c>
      <c r="H511" s="17">
        <v>15.5136</v>
      </c>
      <c r="I511" s="17" t="s">
        <v>115</v>
      </c>
    </row>
    <row r="512" spans="1:9" ht="15.6" x14ac:dyDescent="0.3">
      <c r="A512" s="17" t="s">
        <v>58</v>
      </c>
      <c r="B512" s="17" t="s">
        <v>68</v>
      </c>
      <c r="C512" s="17" t="s">
        <v>113</v>
      </c>
      <c r="D512" s="17" t="s">
        <v>114</v>
      </c>
      <c r="E512" s="17" t="s">
        <v>78</v>
      </c>
      <c r="F512" s="17" t="s">
        <v>124</v>
      </c>
      <c r="G512" s="17">
        <v>321.47775000000001</v>
      </c>
      <c r="H512" s="17">
        <v>279</v>
      </c>
      <c r="I512" s="17" t="s">
        <v>115</v>
      </c>
    </row>
    <row r="513" spans="1:9" ht="15.6" x14ac:dyDescent="0.3">
      <c r="A513" s="17" t="s">
        <v>58</v>
      </c>
      <c r="B513" s="17" t="s">
        <v>68</v>
      </c>
      <c r="C513" s="17" t="s">
        <v>113</v>
      </c>
      <c r="D513" s="17" t="s">
        <v>114</v>
      </c>
      <c r="E513" s="17" t="s">
        <v>78</v>
      </c>
      <c r="F513" s="17" t="s">
        <v>125</v>
      </c>
      <c r="G513" s="17">
        <v>205.40285040000001</v>
      </c>
      <c r="H513" s="17">
        <v>178.26240000000001</v>
      </c>
      <c r="I513" s="17" t="s">
        <v>115</v>
      </c>
    </row>
    <row r="514" spans="1:9" ht="15.6" x14ac:dyDescent="0.3">
      <c r="A514" s="17" t="s">
        <v>58</v>
      </c>
      <c r="B514" s="17" t="s">
        <v>68</v>
      </c>
      <c r="C514" s="17" t="s">
        <v>113</v>
      </c>
      <c r="D514" s="17" t="s">
        <v>114</v>
      </c>
      <c r="E514" s="17" t="s">
        <v>79</v>
      </c>
      <c r="F514" s="17" t="s">
        <v>126</v>
      </c>
      <c r="G514" s="17">
        <v>1180.1860598757701</v>
      </c>
      <c r="H514" s="17">
        <v>1024.24479051921</v>
      </c>
      <c r="I514" s="17" t="s">
        <v>115</v>
      </c>
    </row>
    <row r="515" spans="1:9" ht="15.6" x14ac:dyDescent="0.3">
      <c r="A515" s="17" t="s">
        <v>58</v>
      </c>
      <c r="B515" s="17" t="s">
        <v>68</v>
      </c>
      <c r="C515" s="17" t="s">
        <v>113</v>
      </c>
      <c r="D515" s="17" t="s">
        <v>114</v>
      </c>
      <c r="E515" s="17" t="s">
        <v>79</v>
      </c>
      <c r="F515" s="17" t="s">
        <v>79</v>
      </c>
      <c r="G515" s="17">
        <v>2952.0542031015202</v>
      </c>
      <c r="H515" s="17">
        <v>2561.99106365938</v>
      </c>
      <c r="I515" s="17" t="s">
        <v>115</v>
      </c>
    </row>
    <row r="516" spans="1:9" ht="15.6" x14ac:dyDescent="0.3">
      <c r="A516" s="17" t="s">
        <v>58</v>
      </c>
      <c r="B516" s="17" t="s">
        <v>68</v>
      </c>
      <c r="C516" s="17" t="s">
        <v>113</v>
      </c>
      <c r="D516" s="17" t="s">
        <v>114</v>
      </c>
      <c r="E516" s="17" t="s">
        <v>81</v>
      </c>
      <c r="F516" s="17" t="s">
        <v>81</v>
      </c>
      <c r="G516" s="17">
        <v>176.089618035341</v>
      </c>
      <c r="H516" s="17">
        <v>152.822406626462</v>
      </c>
      <c r="I516" s="17" t="s">
        <v>115</v>
      </c>
    </row>
    <row r="517" spans="1:9" ht="15.6" x14ac:dyDescent="0.3">
      <c r="A517" s="17" t="s">
        <v>58</v>
      </c>
      <c r="B517" s="17" t="s">
        <v>68</v>
      </c>
      <c r="C517" s="17" t="s">
        <v>113</v>
      </c>
      <c r="D517" s="17" t="s">
        <v>114</v>
      </c>
      <c r="E517" s="17" t="s">
        <v>82</v>
      </c>
      <c r="F517" s="17" t="s">
        <v>82</v>
      </c>
      <c r="G517" s="17">
        <v>128.955766272685</v>
      </c>
      <c r="H517" s="17">
        <v>111.91648190295901</v>
      </c>
      <c r="I517" s="17" t="s">
        <v>115</v>
      </c>
    </row>
    <row r="518" spans="1:9" ht="15.6" x14ac:dyDescent="0.3">
      <c r="A518" s="17" t="s">
        <v>58</v>
      </c>
      <c r="B518" s="17" t="s">
        <v>68</v>
      </c>
      <c r="C518" s="17" t="s">
        <v>113</v>
      </c>
      <c r="D518" s="17" t="s">
        <v>114</v>
      </c>
      <c r="E518" s="17" t="s">
        <v>83</v>
      </c>
      <c r="F518" s="17" t="s">
        <v>127</v>
      </c>
      <c r="G518" s="17">
        <v>0.44645398743797499</v>
      </c>
      <c r="H518" s="17">
        <v>0.38746277929093098</v>
      </c>
      <c r="I518" s="17" t="s">
        <v>115</v>
      </c>
    </row>
    <row r="519" spans="1:9" ht="15.6" x14ac:dyDescent="0.3">
      <c r="A519" s="17" t="s">
        <v>58</v>
      </c>
      <c r="B519" s="17" t="s">
        <v>68</v>
      </c>
      <c r="C519" s="17" t="s">
        <v>113</v>
      </c>
      <c r="D519" s="17" t="s">
        <v>114</v>
      </c>
      <c r="E519" s="17" t="s">
        <v>83</v>
      </c>
      <c r="F519" s="17" t="s">
        <v>128</v>
      </c>
      <c r="G519" s="17">
        <v>1.6169374939994701</v>
      </c>
      <c r="H519" s="17">
        <v>1.4032870418741299</v>
      </c>
      <c r="I519" s="17" t="s">
        <v>115</v>
      </c>
    </row>
    <row r="520" spans="1:9" ht="15.6" x14ac:dyDescent="0.3">
      <c r="A520" s="17" t="s">
        <v>58</v>
      </c>
      <c r="B520" s="17" t="s">
        <v>68</v>
      </c>
      <c r="C520" s="17" t="s">
        <v>113</v>
      </c>
      <c r="D520" s="17" t="s">
        <v>114</v>
      </c>
      <c r="E520" s="17" t="s">
        <v>84</v>
      </c>
      <c r="F520" s="17" t="s">
        <v>177</v>
      </c>
      <c r="G520" s="17">
        <v>2.9785704606441299</v>
      </c>
      <c r="H520" s="17">
        <v>2.5850036542799999</v>
      </c>
      <c r="I520" s="17" t="s">
        <v>115</v>
      </c>
    </row>
    <row r="521" spans="1:9" ht="15.6" x14ac:dyDescent="0.3">
      <c r="A521" s="17" t="s">
        <v>58</v>
      </c>
      <c r="B521" s="17" t="s">
        <v>68</v>
      </c>
      <c r="C521" s="17" t="s">
        <v>113</v>
      </c>
      <c r="D521" s="17" t="s">
        <v>114</v>
      </c>
      <c r="E521" s="17" t="s">
        <v>84</v>
      </c>
      <c r="F521" s="17" t="s">
        <v>172</v>
      </c>
      <c r="G521" s="17">
        <v>6.1318287175199999E-2</v>
      </c>
      <c r="H521" s="17">
        <v>5.3216131200000003E-2</v>
      </c>
      <c r="I521" s="17" t="s">
        <v>115</v>
      </c>
    </row>
    <row r="522" spans="1:9" ht="15.6" x14ac:dyDescent="0.3">
      <c r="A522" s="17" t="s">
        <v>58</v>
      </c>
      <c r="B522" s="17" t="s">
        <v>68</v>
      </c>
      <c r="C522" s="17" t="s">
        <v>113</v>
      </c>
      <c r="D522" s="17" t="s">
        <v>114</v>
      </c>
      <c r="E522" s="17" t="s">
        <v>84</v>
      </c>
      <c r="F522" s="17" t="s">
        <v>129</v>
      </c>
      <c r="G522" s="17">
        <v>15611.514177737399</v>
      </c>
      <c r="H522" s="17">
        <v>13548.7213519092</v>
      </c>
      <c r="I522" s="17" t="s">
        <v>115</v>
      </c>
    </row>
    <row r="523" spans="1:9" ht="15.6" x14ac:dyDescent="0.3">
      <c r="A523" s="17" t="s">
        <v>58</v>
      </c>
      <c r="B523" s="17" t="s">
        <v>68</v>
      </c>
      <c r="C523" s="17" t="s">
        <v>113</v>
      </c>
      <c r="D523" s="17" t="s">
        <v>114</v>
      </c>
      <c r="E523" s="17" t="s">
        <v>85</v>
      </c>
      <c r="F523" s="17" t="s">
        <v>85</v>
      </c>
      <c r="G523" s="17">
        <v>161.61218395481299</v>
      </c>
      <c r="H523" s="17">
        <v>140.257916211598</v>
      </c>
      <c r="I523" s="17" t="s">
        <v>115</v>
      </c>
    </row>
    <row r="524" spans="1:9" ht="15.6" x14ac:dyDescent="0.3">
      <c r="A524" s="17" t="s">
        <v>58</v>
      </c>
      <c r="B524" s="17" t="s">
        <v>68</v>
      </c>
      <c r="C524" s="17" t="s">
        <v>113</v>
      </c>
      <c r="D524" s="17" t="s">
        <v>114</v>
      </c>
      <c r="E524" s="17" t="s">
        <v>86</v>
      </c>
      <c r="F524" s="17" t="s">
        <v>86</v>
      </c>
      <c r="G524" s="17">
        <v>0.15780971869580601</v>
      </c>
      <c r="H524" s="17">
        <v>0.13695788127212499</v>
      </c>
      <c r="I524" s="17" t="s">
        <v>115</v>
      </c>
    </row>
    <row r="525" spans="1:9" ht="15.6" x14ac:dyDescent="0.3">
      <c r="A525" s="17" t="s">
        <v>58</v>
      </c>
      <c r="B525" s="17" t="s">
        <v>68</v>
      </c>
      <c r="C525" s="17" t="s">
        <v>113</v>
      </c>
      <c r="D525" s="17" t="s">
        <v>114</v>
      </c>
      <c r="E525" s="17" t="s">
        <v>87</v>
      </c>
      <c r="F525" s="17" t="s">
        <v>87</v>
      </c>
      <c r="G525" s="17">
        <v>1.4427145333535001</v>
      </c>
      <c r="H525" s="17">
        <v>1.2520846459999999</v>
      </c>
      <c r="I525" s="17" t="s">
        <v>115</v>
      </c>
    </row>
    <row r="526" spans="1:9" ht="15.6" x14ac:dyDescent="0.3">
      <c r="A526" s="17" t="s">
        <v>58</v>
      </c>
      <c r="B526" s="17" t="s">
        <v>68</v>
      </c>
      <c r="C526" s="17" t="s">
        <v>113</v>
      </c>
      <c r="D526" s="17" t="s">
        <v>114</v>
      </c>
      <c r="E526" s="17" t="s">
        <v>88</v>
      </c>
      <c r="F526" s="17" t="s">
        <v>88</v>
      </c>
      <c r="G526" s="17">
        <v>13.654368826494</v>
      </c>
      <c r="H526" s="17">
        <v>11.850179064000001</v>
      </c>
      <c r="I526" s="17" t="s">
        <v>115</v>
      </c>
    </row>
    <row r="527" spans="1:9" ht="15.6" x14ac:dyDescent="0.3">
      <c r="A527" s="17" t="s">
        <v>58</v>
      </c>
      <c r="B527" s="17" t="s">
        <v>68</v>
      </c>
      <c r="C527" s="17" t="s">
        <v>113</v>
      </c>
      <c r="D527" s="17" t="s">
        <v>114</v>
      </c>
      <c r="E527" s="17" t="s">
        <v>89</v>
      </c>
      <c r="F527" s="17" t="s">
        <v>89</v>
      </c>
      <c r="G527" s="17">
        <v>267.78339349715202</v>
      </c>
      <c r="H527" s="17">
        <v>232.40042829000001</v>
      </c>
      <c r="I527" s="17" t="s">
        <v>115</v>
      </c>
    </row>
    <row r="528" spans="1:9" ht="15.6" x14ac:dyDescent="0.3">
      <c r="A528" s="17" t="s">
        <v>58</v>
      </c>
      <c r="B528" s="17" t="s">
        <v>68</v>
      </c>
      <c r="C528" s="17" t="s">
        <v>113</v>
      </c>
      <c r="D528" s="17" t="s">
        <v>114</v>
      </c>
      <c r="E528" s="17" t="s">
        <v>90</v>
      </c>
      <c r="F528" s="17" t="s">
        <v>90</v>
      </c>
      <c r="G528" s="17">
        <v>339.66683719882099</v>
      </c>
      <c r="H528" s="17">
        <v>294.78571247456802</v>
      </c>
      <c r="I528" s="17" t="s">
        <v>115</v>
      </c>
    </row>
    <row r="529" spans="1:9" ht="15.6" x14ac:dyDescent="0.3">
      <c r="A529" s="17" t="s">
        <v>58</v>
      </c>
      <c r="B529" s="17" t="s">
        <v>68</v>
      </c>
      <c r="C529" s="17" t="s">
        <v>113</v>
      </c>
      <c r="D529" s="17" t="s">
        <v>114</v>
      </c>
      <c r="E529" s="17" t="s">
        <v>91</v>
      </c>
      <c r="F529" s="17" t="s">
        <v>91</v>
      </c>
      <c r="G529" s="17">
        <v>22.759516220900998</v>
      </c>
      <c r="H529" s="17">
        <v>19.752237987329998</v>
      </c>
      <c r="I529" s="17" t="s">
        <v>115</v>
      </c>
    </row>
    <row r="530" spans="1:9" ht="15.6" x14ac:dyDescent="0.3">
      <c r="A530" s="17" t="s">
        <v>58</v>
      </c>
      <c r="B530" s="17" t="s">
        <v>68</v>
      </c>
      <c r="C530" s="17" t="s">
        <v>113</v>
      </c>
      <c r="D530" s="17" t="s">
        <v>114</v>
      </c>
      <c r="E530" s="17" t="s">
        <v>92</v>
      </c>
      <c r="F530" s="17" t="s">
        <v>92</v>
      </c>
      <c r="G530" s="17">
        <v>13.3694674665338</v>
      </c>
      <c r="H530" s="17">
        <v>11.6029225138067</v>
      </c>
      <c r="I530" s="17" t="s">
        <v>115</v>
      </c>
    </row>
    <row r="531" spans="1:9" ht="15.6" x14ac:dyDescent="0.3">
      <c r="A531" s="17" t="s">
        <v>58</v>
      </c>
      <c r="B531" s="17" t="s">
        <v>68</v>
      </c>
      <c r="C531" s="17" t="s">
        <v>113</v>
      </c>
      <c r="D531" s="17" t="s">
        <v>114</v>
      </c>
      <c r="E531" s="17" t="s">
        <v>93</v>
      </c>
      <c r="F531" s="17" t="s">
        <v>130</v>
      </c>
      <c r="G531" s="17">
        <v>1030.61724557</v>
      </c>
      <c r="H531" s="17">
        <v>894.43892000000005</v>
      </c>
      <c r="I531" s="17" t="s">
        <v>115</v>
      </c>
    </row>
    <row r="532" spans="1:9" ht="15.6" x14ac:dyDescent="0.3">
      <c r="A532" s="17" t="s">
        <v>58</v>
      </c>
      <c r="B532" s="17" t="s">
        <v>68</v>
      </c>
      <c r="C532" s="17" t="s">
        <v>113</v>
      </c>
      <c r="D532" s="17" t="s">
        <v>114</v>
      </c>
      <c r="E532" s="17" t="s">
        <v>93</v>
      </c>
      <c r="F532" s="17" t="s">
        <v>131</v>
      </c>
      <c r="G532" s="17">
        <v>117.97357715</v>
      </c>
      <c r="H532" s="17">
        <v>102.3854</v>
      </c>
      <c r="I532" s="17" t="s">
        <v>115</v>
      </c>
    </row>
    <row r="533" spans="1:9" ht="15.6" x14ac:dyDescent="0.3">
      <c r="A533" s="17" t="s">
        <v>58</v>
      </c>
      <c r="B533" s="17" t="s">
        <v>68</v>
      </c>
      <c r="C533" s="17" t="s">
        <v>113</v>
      </c>
      <c r="D533" s="17" t="s">
        <v>114</v>
      </c>
      <c r="E533" s="17" t="s">
        <v>93</v>
      </c>
      <c r="F533" s="17" t="s">
        <v>132</v>
      </c>
      <c r="G533" s="17">
        <v>2.0626012440000001</v>
      </c>
      <c r="H533" s="17">
        <v>1.7900640000000001</v>
      </c>
      <c r="I533" s="17" t="s">
        <v>115</v>
      </c>
    </row>
    <row r="534" spans="1:9" ht="15.6" x14ac:dyDescent="0.3">
      <c r="A534" s="17" t="s">
        <v>58</v>
      </c>
      <c r="B534" s="17" t="s">
        <v>68</v>
      </c>
      <c r="C534" s="17" t="s">
        <v>113</v>
      </c>
      <c r="D534" s="17" t="s">
        <v>114</v>
      </c>
      <c r="E534" s="17" t="s">
        <v>93</v>
      </c>
      <c r="F534" s="17" t="s">
        <v>133</v>
      </c>
      <c r="G534" s="17">
        <v>30.5922375</v>
      </c>
      <c r="H534" s="17">
        <v>26.55</v>
      </c>
      <c r="I534" s="17" t="s">
        <v>115</v>
      </c>
    </row>
    <row r="535" spans="1:9" ht="15.6" x14ac:dyDescent="0.3">
      <c r="A535" s="17" t="s">
        <v>58</v>
      </c>
      <c r="B535" s="17" t="s">
        <v>68</v>
      </c>
      <c r="C535" s="17" t="s">
        <v>113</v>
      </c>
      <c r="D535" s="17" t="s">
        <v>114</v>
      </c>
      <c r="E535" s="17" t="s">
        <v>93</v>
      </c>
      <c r="F535" s="17" t="s">
        <v>134</v>
      </c>
      <c r="G535" s="17">
        <v>3.4835594007499999</v>
      </c>
      <c r="H535" s="17">
        <v>3.0232670000000001</v>
      </c>
      <c r="I535" s="17" t="s">
        <v>115</v>
      </c>
    </row>
    <row r="536" spans="1:9" ht="15.6" x14ac:dyDescent="0.3">
      <c r="A536" s="17" t="s">
        <v>58</v>
      </c>
      <c r="B536" s="17" t="s">
        <v>68</v>
      </c>
      <c r="C536" s="17" t="s">
        <v>113</v>
      </c>
      <c r="D536" s="17" t="s">
        <v>114</v>
      </c>
      <c r="E536" s="17" t="s">
        <v>93</v>
      </c>
      <c r="F536" s="17" t="s">
        <v>135</v>
      </c>
      <c r="G536" s="17">
        <v>25.661769042338701</v>
      </c>
      <c r="H536" s="17">
        <v>22.271008064516099</v>
      </c>
      <c r="I536" s="17" t="s">
        <v>115</v>
      </c>
    </row>
    <row r="537" spans="1:9" ht="15.6" x14ac:dyDescent="0.3">
      <c r="A537" s="17" t="s">
        <v>58</v>
      </c>
      <c r="B537" s="17" t="s">
        <v>68</v>
      </c>
      <c r="C537" s="17" t="s">
        <v>113</v>
      </c>
      <c r="D537" s="17" t="s">
        <v>114</v>
      </c>
      <c r="E537" s="17" t="s">
        <v>93</v>
      </c>
      <c r="F537" s="17" t="s">
        <v>136</v>
      </c>
      <c r="G537" s="17">
        <v>181.13476808265199</v>
      </c>
      <c r="H537" s="17">
        <v>157.20092695391801</v>
      </c>
      <c r="I537" s="17" t="s">
        <v>115</v>
      </c>
    </row>
    <row r="538" spans="1:9" ht="15.6" x14ac:dyDescent="0.3">
      <c r="A538" s="17" t="s">
        <v>58</v>
      </c>
      <c r="B538" s="17" t="s">
        <v>68</v>
      </c>
      <c r="C538" s="17" t="s">
        <v>113</v>
      </c>
      <c r="D538" s="17" t="s">
        <v>114</v>
      </c>
      <c r="E538" s="17" t="s">
        <v>93</v>
      </c>
      <c r="F538" s="17" t="s">
        <v>137</v>
      </c>
      <c r="G538" s="17">
        <v>173.42467507750001</v>
      </c>
      <c r="H538" s="17">
        <v>150.50959</v>
      </c>
      <c r="I538" s="17" t="s">
        <v>115</v>
      </c>
    </row>
    <row r="539" spans="1:9" ht="15.6" x14ac:dyDescent="0.3">
      <c r="A539" s="17" t="s">
        <v>58</v>
      </c>
      <c r="B539" s="17" t="s">
        <v>68</v>
      </c>
      <c r="C539" s="17" t="s">
        <v>113</v>
      </c>
      <c r="D539" s="17" t="s">
        <v>114</v>
      </c>
      <c r="E539" s="17" t="s">
        <v>94</v>
      </c>
      <c r="F539" s="17" t="s">
        <v>94</v>
      </c>
      <c r="G539" s="17">
        <v>20.8601121675668</v>
      </c>
      <c r="H539" s="17">
        <v>18.1038074789038</v>
      </c>
      <c r="I539" s="17" t="s">
        <v>115</v>
      </c>
    </row>
    <row r="540" spans="1:9" ht="15.6" x14ac:dyDescent="0.3">
      <c r="A540" s="17" t="s">
        <v>58</v>
      </c>
      <c r="B540" s="17" t="s">
        <v>68</v>
      </c>
      <c r="C540" s="17" t="s">
        <v>113</v>
      </c>
      <c r="D540" s="17" t="s">
        <v>114</v>
      </c>
      <c r="E540" s="17" t="s">
        <v>95</v>
      </c>
      <c r="F540" s="17" t="s">
        <v>138</v>
      </c>
      <c r="G540" s="17">
        <v>486.4172676</v>
      </c>
      <c r="H540" s="17">
        <v>422.1456</v>
      </c>
      <c r="I540" s="17" t="s">
        <v>115</v>
      </c>
    </row>
    <row r="541" spans="1:9" ht="15.6" x14ac:dyDescent="0.3">
      <c r="A541" s="17" t="s">
        <v>58</v>
      </c>
      <c r="B541" s="17" t="s">
        <v>68</v>
      </c>
      <c r="C541" s="17" t="s">
        <v>113</v>
      </c>
      <c r="D541" s="17" t="s">
        <v>114</v>
      </c>
      <c r="E541" s="17" t="s">
        <v>98</v>
      </c>
      <c r="F541" s="17" t="s">
        <v>139</v>
      </c>
      <c r="G541" s="17">
        <v>203.602575</v>
      </c>
      <c r="H541" s="17">
        <v>176.7</v>
      </c>
      <c r="I541" s="17" t="s">
        <v>115</v>
      </c>
    </row>
    <row r="542" spans="1:9" ht="15.6" x14ac:dyDescent="0.3">
      <c r="A542" s="17" t="s">
        <v>58</v>
      </c>
      <c r="B542" s="17" t="s">
        <v>68</v>
      </c>
      <c r="C542" s="17" t="s">
        <v>113</v>
      </c>
      <c r="D542" s="17" t="s">
        <v>114</v>
      </c>
      <c r="E542" s="17" t="s">
        <v>98</v>
      </c>
      <c r="F542" s="17" t="s">
        <v>140</v>
      </c>
      <c r="G542" s="17">
        <v>13012.720288333299</v>
      </c>
      <c r="H542" s="17">
        <v>11293.313333333301</v>
      </c>
      <c r="I542" s="17" t="s">
        <v>115</v>
      </c>
    </row>
    <row r="543" spans="1:9" ht="15.6" x14ac:dyDescent="0.3">
      <c r="A543" s="17" t="s">
        <v>58</v>
      </c>
      <c r="B543" s="17" t="s">
        <v>68</v>
      </c>
      <c r="C543" s="17" t="s">
        <v>113</v>
      </c>
      <c r="D543" s="17" t="s">
        <v>114</v>
      </c>
      <c r="E543" s="17" t="s">
        <v>98</v>
      </c>
      <c r="F543" s="17" t="s">
        <v>141</v>
      </c>
      <c r="G543" s="17">
        <v>101.974125</v>
      </c>
      <c r="H543" s="17">
        <v>88.5</v>
      </c>
      <c r="I543" s="17" t="s">
        <v>115</v>
      </c>
    </row>
    <row r="544" spans="1:9" ht="15.6" x14ac:dyDescent="0.3">
      <c r="A544" s="17" t="s">
        <v>58</v>
      </c>
      <c r="B544" s="17" t="s">
        <v>68</v>
      </c>
      <c r="C544" s="17" t="s">
        <v>113</v>
      </c>
      <c r="D544" s="17" t="s">
        <v>114</v>
      </c>
      <c r="E544" s="17" t="s">
        <v>96</v>
      </c>
      <c r="F544" s="17" t="s">
        <v>96</v>
      </c>
      <c r="G544" s="17">
        <v>6.9759167164995004</v>
      </c>
      <c r="H544" s="17">
        <v>6.0541694220000002</v>
      </c>
      <c r="I544" s="17" t="s">
        <v>115</v>
      </c>
    </row>
    <row r="545" spans="1:9" ht="15.6" x14ac:dyDescent="0.3">
      <c r="A545" s="17" t="s">
        <v>58</v>
      </c>
      <c r="B545" s="17" t="s">
        <v>68</v>
      </c>
      <c r="C545" s="17" t="s">
        <v>113</v>
      </c>
      <c r="D545" s="17" t="s">
        <v>114</v>
      </c>
      <c r="E545" s="17" t="s">
        <v>97</v>
      </c>
      <c r="F545" s="17" t="s">
        <v>97</v>
      </c>
      <c r="G545" s="17">
        <v>135.73505</v>
      </c>
      <c r="H545" s="17">
        <v>117.8</v>
      </c>
      <c r="I545" s="17" t="s">
        <v>115</v>
      </c>
    </row>
    <row r="546" spans="1:9" ht="15.6" x14ac:dyDescent="0.3">
      <c r="A546" s="17" t="s">
        <v>58</v>
      </c>
      <c r="B546" s="17" t="s">
        <v>68</v>
      </c>
      <c r="C546" s="17" t="s">
        <v>113</v>
      </c>
      <c r="D546" s="17" t="s">
        <v>114</v>
      </c>
      <c r="E546" s="17" t="s">
        <v>99</v>
      </c>
      <c r="F546" s="17" t="s">
        <v>142</v>
      </c>
      <c r="G546" s="17">
        <v>152.620554486744</v>
      </c>
      <c r="H546" s="17">
        <v>132.45437577499999</v>
      </c>
      <c r="I546" s="17" t="s">
        <v>115</v>
      </c>
    </row>
    <row r="547" spans="1:9" ht="15.6" x14ac:dyDescent="0.3">
      <c r="A547" s="17" t="s">
        <v>58</v>
      </c>
      <c r="B547" s="17" t="s">
        <v>68</v>
      </c>
      <c r="C547" s="17" t="s">
        <v>113</v>
      </c>
      <c r="D547" s="17" t="s">
        <v>114</v>
      </c>
      <c r="E547" s="17" t="s">
        <v>99</v>
      </c>
      <c r="F547" s="17" t="s">
        <v>143</v>
      </c>
      <c r="G547" s="17">
        <v>21.778280107553002</v>
      </c>
      <c r="H547" s="17">
        <v>18.90065533309</v>
      </c>
      <c r="I547" s="17" t="s">
        <v>115</v>
      </c>
    </row>
    <row r="548" spans="1:9" ht="15.6" x14ac:dyDescent="0.3">
      <c r="A548" s="17" t="s">
        <v>58</v>
      </c>
      <c r="B548" s="17" t="s">
        <v>68</v>
      </c>
      <c r="C548" s="17" t="s">
        <v>113</v>
      </c>
      <c r="D548" s="17" t="s">
        <v>114</v>
      </c>
      <c r="E548" s="17" t="s">
        <v>99</v>
      </c>
      <c r="F548" s="17" t="s">
        <v>144</v>
      </c>
      <c r="G548" s="17">
        <v>44.964801973457</v>
      </c>
      <c r="H548" s="17">
        <v>39.023477520900002</v>
      </c>
      <c r="I548" s="17" t="s">
        <v>115</v>
      </c>
    </row>
    <row r="549" spans="1:9" ht="15.6" x14ac:dyDescent="0.3">
      <c r="A549" s="17" t="s">
        <v>58</v>
      </c>
      <c r="B549" s="17" t="s">
        <v>68</v>
      </c>
      <c r="C549" s="17" t="s">
        <v>113</v>
      </c>
      <c r="D549" s="17" t="s">
        <v>114</v>
      </c>
      <c r="E549" s="17" t="s">
        <v>99</v>
      </c>
      <c r="F549" s="17" t="s">
        <v>145</v>
      </c>
      <c r="G549" s="17">
        <v>1.2730518900000001E-4</v>
      </c>
      <c r="H549" s="17">
        <v>1.1048399999999999E-4</v>
      </c>
      <c r="I549" s="17" t="s">
        <v>115</v>
      </c>
    </row>
    <row r="550" spans="1:9" ht="15.6" x14ac:dyDescent="0.3">
      <c r="A550" s="17" t="s">
        <v>58</v>
      </c>
      <c r="B550" s="17" t="s">
        <v>68</v>
      </c>
      <c r="C550" s="17" t="s">
        <v>113</v>
      </c>
      <c r="D550" s="17" t="s">
        <v>114</v>
      </c>
      <c r="E550" s="17" t="s">
        <v>99</v>
      </c>
      <c r="F550" s="17" t="s">
        <v>146</v>
      </c>
      <c r="G550" s="17">
        <v>6.3399090281999998E-2</v>
      </c>
      <c r="H550" s="17">
        <v>5.5021991999999999E-2</v>
      </c>
      <c r="I550" s="17" t="s">
        <v>115</v>
      </c>
    </row>
    <row r="551" spans="1:9" ht="15.6" x14ac:dyDescent="0.3">
      <c r="A551" s="17" t="s">
        <v>58</v>
      </c>
      <c r="B551" s="17" t="s">
        <v>68</v>
      </c>
      <c r="C551" s="17" t="s">
        <v>113</v>
      </c>
      <c r="D551" s="17" t="s">
        <v>114</v>
      </c>
      <c r="E551" s="17" t="s">
        <v>99</v>
      </c>
      <c r="F551" s="17" t="s">
        <v>147</v>
      </c>
      <c r="G551" s="17">
        <v>6.4582243656843303</v>
      </c>
      <c r="H551" s="17">
        <v>5.6048812025899997</v>
      </c>
      <c r="I551" s="17" t="s">
        <v>115</v>
      </c>
    </row>
    <row r="552" spans="1:9" ht="15.6" x14ac:dyDescent="0.3">
      <c r="A552" s="17" t="s">
        <v>58</v>
      </c>
      <c r="B552" s="17" t="s">
        <v>68</v>
      </c>
      <c r="C552" s="17" t="s">
        <v>113</v>
      </c>
      <c r="D552" s="17" t="s">
        <v>114</v>
      </c>
      <c r="E552" s="17" t="s">
        <v>99</v>
      </c>
      <c r="F552" s="17" t="s">
        <v>148</v>
      </c>
      <c r="G552" s="17">
        <v>1367.0054528136</v>
      </c>
      <c r="H552" s="17">
        <v>1186.3792170219999</v>
      </c>
      <c r="I552" s="17" t="s">
        <v>115</v>
      </c>
    </row>
    <row r="553" spans="1:9" ht="15.6" x14ac:dyDescent="0.3">
      <c r="A553" s="17" t="s">
        <v>58</v>
      </c>
      <c r="B553" s="17" t="s">
        <v>68</v>
      </c>
      <c r="C553" s="17" t="s">
        <v>113</v>
      </c>
      <c r="D553" s="17" t="s">
        <v>114</v>
      </c>
      <c r="E553" s="17" t="s">
        <v>99</v>
      </c>
      <c r="F553" s="17" t="s">
        <v>149</v>
      </c>
      <c r="G553" s="17">
        <v>4.5435522000000002E-6</v>
      </c>
      <c r="H553" s="17">
        <v>3.9431999999999998E-6</v>
      </c>
      <c r="I553" s="17" t="s">
        <v>115</v>
      </c>
    </row>
    <row r="554" spans="1:9" ht="15.6" x14ac:dyDescent="0.3">
      <c r="A554" s="17" t="s">
        <v>58</v>
      </c>
      <c r="B554" s="17" t="s">
        <v>68</v>
      </c>
      <c r="C554" s="17" t="s">
        <v>113</v>
      </c>
      <c r="D554" s="17" t="s">
        <v>114</v>
      </c>
      <c r="E554" s="17" t="s">
        <v>99</v>
      </c>
      <c r="F554" s="17" t="s">
        <v>150</v>
      </c>
      <c r="G554" s="17">
        <v>4.0790963565E-4</v>
      </c>
      <c r="H554" s="17">
        <v>3.5401140000000002E-4</v>
      </c>
      <c r="I554" s="17" t="s">
        <v>115</v>
      </c>
    </row>
    <row r="555" spans="1:9" ht="15.6" x14ac:dyDescent="0.3">
      <c r="A555" s="17" t="s">
        <v>58</v>
      </c>
      <c r="B555" s="17" t="s">
        <v>68</v>
      </c>
      <c r="C555" s="17" t="s">
        <v>113</v>
      </c>
      <c r="D555" s="17" t="s">
        <v>114</v>
      </c>
      <c r="E555" s="17" t="s">
        <v>99</v>
      </c>
      <c r="F555" s="17" t="s">
        <v>151</v>
      </c>
      <c r="G555" s="17">
        <v>8.7870777623937002</v>
      </c>
      <c r="H555" s="17">
        <v>7.6260167171999997</v>
      </c>
      <c r="I555" s="17" t="s">
        <v>115</v>
      </c>
    </row>
    <row r="556" spans="1:9" ht="15.6" x14ac:dyDescent="0.3">
      <c r="A556" s="17" t="s">
        <v>58</v>
      </c>
      <c r="B556" s="17" t="s">
        <v>68</v>
      </c>
      <c r="C556" s="17" t="s">
        <v>113</v>
      </c>
      <c r="D556" s="17" t="s">
        <v>114</v>
      </c>
      <c r="E556" s="17" t="s">
        <v>99</v>
      </c>
      <c r="F556" s="17" t="s">
        <v>152</v>
      </c>
      <c r="G556" s="17">
        <v>26.640184232496999</v>
      </c>
      <c r="H556" s="17">
        <v>23.120142531999999</v>
      </c>
      <c r="I556" s="17" t="s">
        <v>115</v>
      </c>
    </row>
    <row r="557" spans="1:9" ht="15.6" x14ac:dyDescent="0.3">
      <c r="A557" s="17" t="s">
        <v>58</v>
      </c>
      <c r="B557" s="17" t="s">
        <v>68</v>
      </c>
      <c r="C557" s="17" t="s">
        <v>113</v>
      </c>
      <c r="D557" s="17" t="s">
        <v>114</v>
      </c>
      <c r="E557" s="17" t="s">
        <v>99</v>
      </c>
      <c r="F557" s="17" t="s">
        <v>153</v>
      </c>
      <c r="G557" s="17">
        <v>2.3322250818415999</v>
      </c>
      <c r="H557" s="17">
        <v>2.0240616895999999</v>
      </c>
      <c r="I557" s="17" t="s">
        <v>115</v>
      </c>
    </row>
    <row r="558" spans="1:9" ht="15.6" x14ac:dyDescent="0.3">
      <c r="A558" s="17" t="s">
        <v>58</v>
      </c>
      <c r="B558" s="17" t="s">
        <v>68</v>
      </c>
      <c r="C558" s="17" t="s">
        <v>113</v>
      </c>
      <c r="D558" s="17" t="s">
        <v>114</v>
      </c>
      <c r="E558" s="17" t="s">
        <v>99</v>
      </c>
      <c r="F558" s="17" t="s">
        <v>154</v>
      </c>
      <c r="G558" s="17">
        <v>1.0637760969E-3</v>
      </c>
      <c r="H558" s="17">
        <v>9.2321639999999995E-4</v>
      </c>
      <c r="I558" s="17" t="s">
        <v>115</v>
      </c>
    </row>
    <row r="559" spans="1:9" ht="15.6" x14ac:dyDescent="0.3">
      <c r="A559" s="17" t="s">
        <v>58</v>
      </c>
      <c r="B559" s="17" t="s">
        <v>68</v>
      </c>
      <c r="C559" s="17" t="s">
        <v>113</v>
      </c>
      <c r="D559" s="17" t="s">
        <v>114</v>
      </c>
      <c r="E559" s="17" t="s">
        <v>101</v>
      </c>
      <c r="F559" s="17" t="s">
        <v>170</v>
      </c>
      <c r="G559" s="17">
        <v>75.010787100000002</v>
      </c>
      <c r="H559" s="17">
        <v>65.099402994141897</v>
      </c>
      <c r="I559" s="17" t="s">
        <v>115</v>
      </c>
    </row>
    <row r="560" spans="1:9" ht="15.6" x14ac:dyDescent="0.3">
      <c r="A560" s="17" t="s">
        <v>58</v>
      </c>
      <c r="B560" s="17" t="s">
        <v>68</v>
      </c>
      <c r="C560" s="17" t="s">
        <v>113</v>
      </c>
      <c r="D560" s="17" t="s">
        <v>114</v>
      </c>
      <c r="E560" s="17" t="s">
        <v>101</v>
      </c>
      <c r="F560" s="17" t="s">
        <v>155</v>
      </c>
      <c r="G560" s="17">
        <v>3.0309504694637002</v>
      </c>
      <c r="H560" s="17">
        <v>2.6304625467248401</v>
      </c>
      <c r="I560" s="17" t="s">
        <v>115</v>
      </c>
    </row>
    <row r="561" spans="1:9" ht="15.6" x14ac:dyDescent="0.3">
      <c r="A561" s="17" t="s">
        <v>58</v>
      </c>
      <c r="B561" s="17" t="s">
        <v>68</v>
      </c>
      <c r="C561" s="17" t="s">
        <v>113</v>
      </c>
      <c r="D561" s="17" t="s">
        <v>114</v>
      </c>
      <c r="E561" s="17" t="s">
        <v>101</v>
      </c>
      <c r="F561" s="17" t="s">
        <v>156</v>
      </c>
      <c r="G561" s="17">
        <v>169.62883567296001</v>
      </c>
      <c r="H561" s="17">
        <v>147.21530542240001</v>
      </c>
      <c r="I561" s="17" t="s">
        <v>115</v>
      </c>
    </row>
    <row r="562" spans="1:9" ht="15.6" x14ac:dyDescent="0.3">
      <c r="A562" s="17" t="s">
        <v>58</v>
      </c>
      <c r="B562" s="17" t="s">
        <v>68</v>
      </c>
      <c r="C562" s="17" t="s">
        <v>113</v>
      </c>
      <c r="D562" s="17" t="s">
        <v>114</v>
      </c>
      <c r="E562" s="17" t="s">
        <v>101</v>
      </c>
      <c r="F562" s="17" t="s">
        <v>157</v>
      </c>
      <c r="G562" s="17">
        <v>6743.4579795659802</v>
      </c>
      <c r="H562" s="17">
        <v>5852.4261050692003</v>
      </c>
      <c r="I562" s="17" t="s">
        <v>115</v>
      </c>
    </row>
    <row r="563" spans="1:9" ht="15.6" x14ac:dyDescent="0.3">
      <c r="A563" s="17" t="s">
        <v>58</v>
      </c>
      <c r="B563" s="17" t="s">
        <v>68</v>
      </c>
      <c r="C563" s="17" t="s">
        <v>113</v>
      </c>
      <c r="D563" s="17" t="s">
        <v>114</v>
      </c>
      <c r="E563" s="17" t="s">
        <v>101</v>
      </c>
      <c r="F563" s="17" t="s">
        <v>158</v>
      </c>
      <c r="G563" s="17">
        <v>465.03471932058102</v>
      </c>
      <c r="H563" s="17">
        <v>403.58838734699998</v>
      </c>
      <c r="I563" s="17" t="s">
        <v>115</v>
      </c>
    </row>
    <row r="564" spans="1:9" ht="15.6" x14ac:dyDescent="0.3">
      <c r="A564" s="17" t="s">
        <v>58</v>
      </c>
      <c r="B564" s="17" t="s">
        <v>68</v>
      </c>
      <c r="C564" s="17" t="s">
        <v>113</v>
      </c>
      <c r="D564" s="17" t="s">
        <v>114</v>
      </c>
      <c r="E564" s="17" t="s">
        <v>101</v>
      </c>
      <c r="F564" s="17" t="s">
        <v>159</v>
      </c>
      <c r="G564" s="17">
        <v>123.89849096899199</v>
      </c>
      <c r="H564" s="17">
        <v>107.527438463</v>
      </c>
      <c r="I564" s="17" t="s">
        <v>115</v>
      </c>
    </row>
    <row r="565" spans="1:9" ht="15.6" x14ac:dyDescent="0.3">
      <c r="A565" s="17" t="s">
        <v>58</v>
      </c>
      <c r="B565" s="17" t="s">
        <v>68</v>
      </c>
      <c r="C565" s="17" t="s">
        <v>113</v>
      </c>
      <c r="D565" s="17" t="s">
        <v>114</v>
      </c>
      <c r="E565" s="17" t="s">
        <v>101</v>
      </c>
      <c r="F565" s="17" t="s">
        <v>160</v>
      </c>
      <c r="G565" s="17">
        <v>557.26082830274697</v>
      </c>
      <c r="H565" s="17">
        <v>483.62840382100001</v>
      </c>
      <c r="I565" s="17" t="s">
        <v>115</v>
      </c>
    </row>
    <row r="566" spans="1:9" ht="15.6" x14ac:dyDescent="0.3">
      <c r="A566" s="17" t="s">
        <v>58</v>
      </c>
      <c r="B566" s="17" t="s">
        <v>68</v>
      </c>
      <c r="C566" s="17" t="s">
        <v>113</v>
      </c>
      <c r="D566" s="17" t="s">
        <v>114</v>
      </c>
      <c r="E566" s="17" t="s">
        <v>101</v>
      </c>
      <c r="F566" s="17" t="s">
        <v>162</v>
      </c>
      <c r="G566" s="17">
        <v>347.28378037103897</v>
      </c>
      <c r="H566" s="17">
        <v>301.396207742277</v>
      </c>
      <c r="I566" s="17" t="s">
        <v>115</v>
      </c>
    </row>
    <row r="567" spans="1:9" ht="15.6" x14ac:dyDescent="0.3">
      <c r="A567" s="17" t="s">
        <v>58</v>
      </c>
      <c r="B567" s="17" t="s">
        <v>68</v>
      </c>
      <c r="C567" s="17" t="s">
        <v>113</v>
      </c>
      <c r="D567" s="17" t="s">
        <v>114</v>
      </c>
      <c r="E567" s="17" t="s">
        <v>101</v>
      </c>
      <c r="F567" s="17" t="s">
        <v>163</v>
      </c>
      <c r="G567" s="17">
        <v>502.869806688425</v>
      </c>
      <c r="H567" s="17">
        <v>436.4242193</v>
      </c>
      <c r="I567" s="17" t="s">
        <v>115</v>
      </c>
    </row>
    <row r="568" spans="1:9" ht="15.6" x14ac:dyDescent="0.3">
      <c r="A568" s="17" t="s">
        <v>58</v>
      </c>
      <c r="B568" s="17" t="s">
        <v>68</v>
      </c>
      <c r="C568" s="17" t="s">
        <v>113</v>
      </c>
      <c r="D568" s="17" t="s">
        <v>114</v>
      </c>
      <c r="E568" s="17" t="s">
        <v>102</v>
      </c>
      <c r="F568" s="17" t="s">
        <v>165</v>
      </c>
      <c r="G568" s="17">
        <v>36.348417599999998</v>
      </c>
      <c r="H568" s="17">
        <v>31.5456</v>
      </c>
      <c r="I568" s="17" t="s">
        <v>115</v>
      </c>
    </row>
    <row r="569" spans="1:9" ht="15.6" x14ac:dyDescent="0.3">
      <c r="A569" s="17" t="s">
        <v>58</v>
      </c>
      <c r="B569" s="17" t="s">
        <v>68</v>
      </c>
      <c r="C569" s="17" t="s">
        <v>113</v>
      </c>
      <c r="D569" s="17" t="s">
        <v>114</v>
      </c>
      <c r="E569" s="17" t="s">
        <v>102</v>
      </c>
      <c r="F569" s="17" t="s">
        <v>166</v>
      </c>
      <c r="G569" s="17">
        <v>541.14596228487005</v>
      </c>
      <c r="H569" s="17">
        <v>469.642839908761</v>
      </c>
      <c r="I569" s="17" t="s">
        <v>115</v>
      </c>
    </row>
    <row r="570" spans="1:9" ht="15.6" x14ac:dyDescent="0.3">
      <c r="A570" s="17" t="s">
        <v>58</v>
      </c>
      <c r="B570" s="17" t="s">
        <v>68</v>
      </c>
      <c r="C570" s="17" t="s">
        <v>113</v>
      </c>
      <c r="D570" s="17" t="s">
        <v>114</v>
      </c>
      <c r="E570" s="17" t="s">
        <v>103</v>
      </c>
      <c r="F570" s="17" t="s">
        <v>103</v>
      </c>
      <c r="G570" s="17">
        <v>33.898042750000002</v>
      </c>
      <c r="H570" s="17">
        <v>29.419</v>
      </c>
      <c r="I570" s="17" t="s">
        <v>115</v>
      </c>
    </row>
    <row r="571" spans="1:9" ht="15.6" x14ac:dyDescent="0.3">
      <c r="A571" s="17" t="s">
        <v>58</v>
      </c>
      <c r="B571" s="17" t="s">
        <v>68</v>
      </c>
      <c r="C571" s="17" t="s">
        <v>167</v>
      </c>
      <c r="D571" s="17" t="s">
        <v>168</v>
      </c>
      <c r="E571" s="17" t="s">
        <v>100</v>
      </c>
      <c r="F571" s="17" t="s">
        <v>100</v>
      </c>
      <c r="G571" s="17">
        <v>0</v>
      </c>
      <c r="H571" s="17">
        <v>0</v>
      </c>
      <c r="I571" s="17" t="s">
        <v>115</v>
      </c>
    </row>
    <row r="572" spans="1:9" ht="15.6" x14ac:dyDescent="0.3">
      <c r="A572" s="17" t="s">
        <v>58</v>
      </c>
      <c r="B572" s="17" t="s">
        <v>68</v>
      </c>
      <c r="C572" s="17" t="s">
        <v>167</v>
      </c>
      <c r="D572" s="17" t="s">
        <v>114</v>
      </c>
      <c r="E572" s="17" t="s">
        <v>100</v>
      </c>
      <c r="F572" s="17" t="s">
        <v>100</v>
      </c>
      <c r="G572" s="17">
        <v>270.89858400000003</v>
      </c>
      <c r="H572" s="17">
        <v>235.10400000000001</v>
      </c>
      <c r="I572" s="17" t="s">
        <v>115</v>
      </c>
    </row>
    <row r="573" spans="1:9" ht="15.6" x14ac:dyDescent="0.3">
      <c r="A573" s="17" t="s">
        <v>58</v>
      </c>
      <c r="B573" s="17" t="s">
        <v>69</v>
      </c>
      <c r="C573" s="17" t="s">
        <v>113</v>
      </c>
      <c r="D573" s="17" t="s">
        <v>114</v>
      </c>
      <c r="E573" s="17" t="s">
        <v>71</v>
      </c>
      <c r="F573" s="17" t="s">
        <v>71</v>
      </c>
      <c r="G573" s="17">
        <v>73.870596000000006</v>
      </c>
      <c r="H573" s="17">
        <v>63.72</v>
      </c>
      <c r="I573" s="17" t="s">
        <v>115</v>
      </c>
    </row>
    <row r="574" spans="1:9" ht="15.6" x14ac:dyDescent="0.3">
      <c r="A574" s="17" t="s">
        <v>58</v>
      </c>
      <c r="B574" s="17" t="s">
        <v>69</v>
      </c>
      <c r="C574" s="17" t="s">
        <v>113</v>
      </c>
      <c r="D574" s="17" t="s">
        <v>114</v>
      </c>
      <c r="E574" s="17" t="s">
        <v>72</v>
      </c>
      <c r="F574" s="17" t="s">
        <v>116</v>
      </c>
      <c r="G574" s="17">
        <v>186.24571847999999</v>
      </c>
      <c r="H574" s="17">
        <v>160.65360000000001</v>
      </c>
      <c r="I574" s="17" t="s">
        <v>115</v>
      </c>
    </row>
    <row r="575" spans="1:9" ht="15.6" x14ac:dyDescent="0.3">
      <c r="A575" s="17" t="s">
        <v>58</v>
      </c>
      <c r="B575" s="17" t="s">
        <v>69</v>
      </c>
      <c r="C575" s="17" t="s">
        <v>113</v>
      </c>
      <c r="D575" s="17" t="s">
        <v>114</v>
      </c>
      <c r="E575" s="17" t="s">
        <v>73</v>
      </c>
      <c r="F575" s="17" t="s">
        <v>117</v>
      </c>
      <c r="G575" s="17">
        <v>0</v>
      </c>
      <c r="H575" s="17">
        <v>0</v>
      </c>
      <c r="I575" s="17" t="s">
        <v>115</v>
      </c>
    </row>
    <row r="576" spans="1:9" ht="15.6" x14ac:dyDescent="0.3">
      <c r="A576" s="17" t="s">
        <v>58</v>
      </c>
      <c r="B576" s="17" t="s">
        <v>69</v>
      </c>
      <c r="C576" s="17" t="s">
        <v>113</v>
      </c>
      <c r="D576" s="17" t="s">
        <v>114</v>
      </c>
      <c r="E576" s="17" t="s">
        <v>73</v>
      </c>
      <c r="F576" s="17" t="s">
        <v>118</v>
      </c>
      <c r="G576" s="17">
        <v>549.39690719999999</v>
      </c>
      <c r="H576" s="17">
        <v>473.904</v>
      </c>
      <c r="I576" s="17" t="s">
        <v>115</v>
      </c>
    </row>
    <row r="577" spans="1:9" ht="15.6" x14ac:dyDescent="0.3">
      <c r="A577" s="17" t="s">
        <v>58</v>
      </c>
      <c r="B577" s="17" t="s">
        <v>69</v>
      </c>
      <c r="C577" s="17" t="s">
        <v>113</v>
      </c>
      <c r="D577" s="17" t="s">
        <v>114</v>
      </c>
      <c r="E577" s="17" t="s">
        <v>73</v>
      </c>
      <c r="F577" s="17" t="s">
        <v>119</v>
      </c>
      <c r="G577" s="17">
        <v>934.85951999999997</v>
      </c>
      <c r="H577" s="17">
        <v>806.4</v>
      </c>
      <c r="I577" s="17" t="s">
        <v>115</v>
      </c>
    </row>
    <row r="578" spans="1:9" ht="15.6" x14ac:dyDescent="0.3">
      <c r="A578" s="17" t="s">
        <v>58</v>
      </c>
      <c r="B578" s="17" t="s">
        <v>69</v>
      </c>
      <c r="C578" s="17" t="s">
        <v>113</v>
      </c>
      <c r="D578" s="17" t="s">
        <v>114</v>
      </c>
      <c r="E578" s="17" t="s">
        <v>73</v>
      </c>
      <c r="F578" s="17" t="s">
        <v>120</v>
      </c>
      <c r="G578" s="17">
        <v>34.925433882739704</v>
      </c>
      <c r="H578" s="17">
        <v>30.126312328767099</v>
      </c>
      <c r="I578" s="17" t="s">
        <v>115</v>
      </c>
    </row>
    <row r="579" spans="1:9" ht="15.6" x14ac:dyDescent="0.3">
      <c r="A579" s="17" t="s">
        <v>58</v>
      </c>
      <c r="B579" s="17" t="s">
        <v>69</v>
      </c>
      <c r="C579" s="17" t="s">
        <v>113</v>
      </c>
      <c r="D579" s="17" t="s">
        <v>114</v>
      </c>
      <c r="E579" s="17" t="s">
        <v>74</v>
      </c>
      <c r="F579" s="17" t="s">
        <v>121</v>
      </c>
      <c r="G579" s="17">
        <v>18.104039887780001</v>
      </c>
      <c r="H579" s="17">
        <v>15.616354599999999</v>
      </c>
      <c r="I579" s="17" t="s">
        <v>115</v>
      </c>
    </row>
    <row r="580" spans="1:9" ht="15.6" x14ac:dyDescent="0.3">
      <c r="A580" s="17" t="s">
        <v>58</v>
      </c>
      <c r="B580" s="17" t="s">
        <v>69</v>
      </c>
      <c r="C580" s="17" t="s">
        <v>113</v>
      </c>
      <c r="D580" s="17" t="s">
        <v>114</v>
      </c>
      <c r="E580" s="17" t="s">
        <v>76</v>
      </c>
      <c r="F580" s="17" t="s">
        <v>122</v>
      </c>
      <c r="G580" s="17">
        <v>149.410584</v>
      </c>
      <c r="H580" s="17">
        <v>128.88</v>
      </c>
      <c r="I580" s="17" t="s">
        <v>115</v>
      </c>
    </row>
    <row r="581" spans="1:9" ht="15.6" x14ac:dyDescent="0.3">
      <c r="A581" s="17" t="s">
        <v>58</v>
      </c>
      <c r="B581" s="17" t="s">
        <v>69</v>
      </c>
      <c r="C581" s="17" t="s">
        <v>113</v>
      </c>
      <c r="D581" s="17" t="s">
        <v>114</v>
      </c>
      <c r="E581" s="17" t="s">
        <v>80</v>
      </c>
      <c r="F581" s="17" t="s">
        <v>80</v>
      </c>
      <c r="G581" s="17">
        <v>0.70496784670460599</v>
      </c>
      <c r="H581" s="17">
        <v>0.60809785793548399</v>
      </c>
      <c r="I581" s="17" t="s">
        <v>115</v>
      </c>
    </row>
    <row r="582" spans="1:9" ht="15.6" x14ac:dyDescent="0.3">
      <c r="A582" s="17" t="s">
        <v>58</v>
      </c>
      <c r="B582" s="17" t="s">
        <v>69</v>
      </c>
      <c r="C582" s="17" t="s">
        <v>113</v>
      </c>
      <c r="D582" s="17" t="s">
        <v>114</v>
      </c>
      <c r="E582" s="17" t="s">
        <v>77</v>
      </c>
      <c r="F582" s="17" t="s">
        <v>77</v>
      </c>
      <c r="G582" s="17">
        <v>6.7714713000000004E-4</v>
      </c>
      <c r="H582" s="17">
        <v>5.8410000000000005E-4</v>
      </c>
      <c r="I582" s="17" t="s">
        <v>115</v>
      </c>
    </row>
    <row r="583" spans="1:9" ht="15.6" x14ac:dyDescent="0.3">
      <c r="A583" s="17" t="s">
        <v>58</v>
      </c>
      <c r="B583" s="17" t="s">
        <v>69</v>
      </c>
      <c r="C583" s="17" t="s">
        <v>113</v>
      </c>
      <c r="D583" s="17" t="s">
        <v>114</v>
      </c>
      <c r="E583" s="17" t="s">
        <v>78</v>
      </c>
      <c r="F583" s="17" t="s">
        <v>123</v>
      </c>
      <c r="G583" s="17">
        <v>17.508702965677401</v>
      </c>
      <c r="H583" s="17">
        <v>15.1028232258065</v>
      </c>
      <c r="I583" s="17" t="s">
        <v>115</v>
      </c>
    </row>
    <row r="584" spans="1:9" ht="15.6" x14ac:dyDescent="0.3">
      <c r="A584" s="17" t="s">
        <v>58</v>
      </c>
      <c r="B584" s="17" t="s">
        <v>69</v>
      </c>
      <c r="C584" s="17" t="s">
        <v>113</v>
      </c>
      <c r="D584" s="17" t="s">
        <v>114</v>
      </c>
      <c r="E584" s="17" t="s">
        <v>78</v>
      </c>
      <c r="F584" s="17" t="s">
        <v>124</v>
      </c>
      <c r="G584" s="17">
        <v>313.01100000000002</v>
      </c>
      <c r="H584" s="17">
        <v>270</v>
      </c>
      <c r="I584" s="17" t="s">
        <v>115</v>
      </c>
    </row>
    <row r="585" spans="1:9" ht="15.6" x14ac:dyDescent="0.3">
      <c r="A585" s="17" t="s">
        <v>58</v>
      </c>
      <c r="B585" s="17" t="s">
        <v>69</v>
      </c>
      <c r="C585" s="17" t="s">
        <v>113</v>
      </c>
      <c r="D585" s="17" t="s">
        <v>114</v>
      </c>
      <c r="E585" s="17" t="s">
        <v>78</v>
      </c>
      <c r="F585" s="17" t="s">
        <v>125</v>
      </c>
      <c r="G585" s="17">
        <v>199.99316160000001</v>
      </c>
      <c r="H585" s="17">
        <v>172.512</v>
      </c>
      <c r="I585" s="17" t="s">
        <v>115</v>
      </c>
    </row>
    <row r="586" spans="1:9" ht="15.6" x14ac:dyDescent="0.3">
      <c r="A586" s="17" t="s">
        <v>58</v>
      </c>
      <c r="B586" s="17" t="s">
        <v>69</v>
      </c>
      <c r="C586" s="17" t="s">
        <v>113</v>
      </c>
      <c r="D586" s="17" t="s">
        <v>114</v>
      </c>
      <c r="E586" s="17" t="s">
        <v>79</v>
      </c>
      <c r="F586" s="17" t="s">
        <v>126</v>
      </c>
      <c r="G586" s="17">
        <v>1281.2008965631601</v>
      </c>
      <c r="H586" s="17">
        <v>1105.15043264311</v>
      </c>
      <c r="I586" s="17" t="s">
        <v>115</v>
      </c>
    </row>
    <row r="587" spans="1:9" ht="15.6" x14ac:dyDescent="0.3">
      <c r="A587" s="17" t="s">
        <v>58</v>
      </c>
      <c r="B587" s="17" t="s">
        <v>69</v>
      </c>
      <c r="C587" s="17" t="s">
        <v>113</v>
      </c>
      <c r="D587" s="17" t="s">
        <v>114</v>
      </c>
      <c r="E587" s="17" t="s">
        <v>79</v>
      </c>
      <c r="F587" s="17" t="s">
        <v>79</v>
      </c>
      <c r="G587" s="17">
        <v>2012.8550633321199</v>
      </c>
      <c r="H587" s="17">
        <v>1736.2676298905601</v>
      </c>
      <c r="I587" s="17" t="s">
        <v>115</v>
      </c>
    </row>
    <row r="588" spans="1:9" ht="15.6" x14ac:dyDescent="0.3">
      <c r="A588" s="17" t="s">
        <v>58</v>
      </c>
      <c r="B588" s="17" t="s">
        <v>69</v>
      </c>
      <c r="C588" s="17" t="s">
        <v>113</v>
      </c>
      <c r="D588" s="17" t="s">
        <v>114</v>
      </c>
      <c r="E588" s="17" t="s">
        <v>81</v>
      </c>
      <c r="F588" s="17" t="s">
        <v>81</v>
      </c>
      <c r="G588" s="17">
        <v>212.28933081745399</v>
      </c>
      <c r="H588" s="17">
        <v>183.118546379241</v>
      </c>
      <c r="I588" s="17" t="s">
        <v>115</v>
      </c>
    </row>
    <row r="589" spans="1:9" ht="15.6" x14ac:dyDescent="0.3">
      <c r="A589" s="17" t="s">
        <v>58</v>
      </c>
      <c r="B589" s="17" t="s">
        <v>69</v>
      </c>
      <c r="C589" s="17" t="s">
        <v>113</v>
      </c>
      <c r="D589" s="17" t="s">
        <v>114</v>
      </c>
      <c r="E589" s="17" t="s">
        <v>82</v>
      </c>
      <c r="F589" s="17" t="s">
        <v>82</v>
      </c>
      <c r="G589" s="17">
        <v>134.606193696704</v>
      </c>
      <c r="H589" s="17">
        <v>116.109888464335</v>
      </c>
      <c r="I589" s="17" t="s">
        <v>115</v>
      </c>
    </row>
    <row r="590" spans="1:9" ht="15.6" x14ac:dyDescent="0.3">
      <c r="A590" s="17" t="s">
        <v>58</v>
      </c>
      <c r="B590" s="17" t="s">
        <v>69</v>
      </c>
      <c r="C590" s="17" t="s">
        <v>113</v>
      </c>
      <c r="D590" s="17" t="s">
        <v>114</v>
      </c>
      <c r="E590" s="17" t="s">
        <v>83</v>
      </c>
      <c r="F590" s="17" t="s">
        <v>127</v>
      </c>
      <c r="G590" s="17">
        <v>0.74754561700653399</v>
      </c>
      <c r="H590" s="17">
        <v>0.64482499526139403</v>
      </c>
      <c r="I590" s="17" t="s">
        <v>115</v>
      </c>
    </row>
    <row r="591" spans="1:9" ht="15.6" x14ac:dyDescent="0.3">
      <c r="A591" s="17" t="s">
        <v>58</v>
      </c>
      <c r="B591" s="17" t="s">
        <v>69</v>
      </c>
      <c r="C591" s="17" t="s">
        <v>113</v>
      </c>
      <c r="D591" s="17" t="s">
        <v>114</v>
      </c>
      <c r="E591" s="17" t="s">
        <v>83</v>
      </c>
      <c r="F591" s="17" t="s">
        <v>128</v>
      </c>
      <c r="G591" s="17">
        <v>1.61362426327418</v>
      </c>
      <c r="H591" s="17">
        <v>1.3918953362151101</v>
      </c>
      <c r="I591" s="17" t="s">
        <v>115</v>
      </c>
    </row>
    <row r="592" spans="1:9" ht="15.6" x14ac:dyDescent="0.3">
      <c r="A592" s="17" t="s">
        <v>58</v>
      </c>
      <c r="B592" s="17" t="s">
        <v>69</v>
      </c>
      <c r="C592" s="17" t="s">
        <v>113</v>
      </c>
      <c r="D592" s="17" t="s">
        <v>114</v>
      </c>
      <c r="E592" s="17" t="s">
        <v>84</v>
      </c>
      <c r="F592" s="17" t="s">
        <v>177</v>
      </c>
      <c r="G592" s="17">
        <v>6.8019666864999995E-2</v>
      </c>
      <c r="H592" s="17">
        <v>5.8673049999999997E-2</v>
      </c>
      <c r="I592" s="17" t="s">
        <v>115</v>
      </c>
    </row>
    <row r="593" spans="1:9" ht="15.6" x14ac:dyDescent="0.3">
      <c r="A593" s="17" t="s">
        <v>58</v>
      </c>
      <c r="B593" s="17" t="s">
        <v>69</v>
      </c>
      <c r="C593" s="17" t="s">
        <v>113</v>
      </c>
      <c r="D593" s="17" t="s">
        <v>114</v>
      </c>
      <c r="E593" s="17" t="s">
        <v>84</v>
      </c>
      <c r="F593" s="17" t="s">
        <v>172</v>
      </c>
      <c r="G593" s="17">
        <v>1.11237049263E-2</v>
      </c>
      <c r="H593" s="17">
        <v>9.5951909999999994E-3</v>
      </c>
      <c r="I593" s="17" t="s">
        <v>115</v>
      </c>
    </row>
    <row r="594" spans="1:9" ht="15.6" x14ac:dyDescent="0.3">
      <c r="A594" s="17" t="s">
        <v>58</v>
      </c>
      <c r="B594" s="17" t="s">
        <v>69</v>
      </c>
      <c r="C594" s="17" t="s">
        <v>113</v>
      </c>
      <c r="D594" s="17" t="s">
        <v>114</v>
      </c>
      <c r="E594" s="17" t="s">
        <v>84</v>
      </c>
      <c r="F594" s="17" t="s">
        <v>129</v>
      </c>
      <c r="G594" s="17">
        <v>19046.177775101802</v>
      </c>
      <c r="H594" s="17">
        <v>16429.032843182798</v>
      </c>
      <c r="I594" s="17" t="s">
        <v>115</v>
      </c>
    </row>
    <row r="595" spans="1:9" ht="15.6" x14ac:dyDescent="0.3">
      <c r="A595" s="17" t="s">
        <v>58</v>
      </c>
      <c r="B595" s="17" t="s">
        <v>69</v>
      </c>
      <c r="C595" s="17" t="s">
        <v>113</v>
      </c>
      <c r="D595" s="17" t="s">
        <v>114</v>
      </c>
      <c r="E595" s="17" t="s">
        <v>85</v>
      </c>
      <c r="F595" s="17" t="s">
        <v>85</v>
      </c>
      <c r="G595" s="17">
        <v>167.483060363992</v>
      </c>
      <c r="H595" s="17">
        <v>144.469128235998</v>
      </c>
      <c r="I595" s="17" t="s">
        <v>115</v>
      </c>
    </row>
    <row r="596" spans="1:9" ht="15.6" x14ac:dyDescent="0.3">
      <c r="A596" s="17" t="s">
        <v>58</v>
      </c>
      <c r="B596" s="17" t="s">
        <v>69</v>
      </c>
      <c r="C596" s="17" t="s">
        <v>113</v>
      </c>
      <c r="D596" s="17" t="s">
        <v>114</v>
      </c>
      <c r="E596" s="17" t="s">
        <v>86</v>
      </c>
      <c r="F596" s="17" t="s">
        <v>86</v>
      </c>
      <c r="G596" s="17">
        <v>0.20390061743488599</v>
      </c>
      <c r="H596" s="17">
        <v>0.175882530350113</v>
      </c>
      <c r="I596" s="17" t="s">
        <v>115</v>
      </c>
    </row>
    <row r="597" spans="1:9" ht="15.6" x14ac:dyDescent="0.3">
      <c r="A597" s="17" t="s">
        <v>58</v>
      </c>
      <c r="B597" s="17" t="s">
        <v>69</v>
      </c>
      <c r="C597" s="17" t="s">
        <v>113</v>
      </c>
      <c r="D597" s="17" t="s">
        <v>114</v>
      </c>
      <c r="E597" s="17" t="s">
        <v>87</v>
      </c>
      <c r="F597" s="17" t="s">
        <v>87</v>
      </c>
      <c r="G597" s="17">
        <v>5.3543070938685</v>
      </c>
      <c r="H597" s="17">
        <v>4.6185690450000001</v>
      </c>
      <c r="I597" s="17" t="s">
        <v>115</v>
      </c>
    </row>
    <row r="598" spans="1:9" ht="15.6" x14ac:dyDescent="0.3">
      <c r="A598" s="17" t="s">
        <v>58</v>
      </c>
      <c r="B598" s="17" t="s">
        <v>69</v>
      </c>
      <c r="C598" s="17" t="s">
        <v>113</v>
      </c>
      <c r="D598" s="17" t="s">
        <v>114</v>
      </c>
      <c r="E598" s="17" t="s">
        <v>88</v>
      </c>
      <c r="F598" s="17" t="s">
        <v>88</v>
      </c>
      <c r="G598" s="17">
        <v>13.3047306335776</v>
      </c>
      <c r="H598" s="17">
        <v>11.476520860500001</v>
      </c>
      <c r="I598" s="17" t="s">
        <v>115</v>
      </c>
    </row>
    <row r="599" spans="1:9" ht="15.6" x14ac:dyDescent="0.3">
      <c r="A599" s="17" t="s">
        <v>58</v>
      </c>
      <c r="B599" s="17" t="s">
        <v>69</v>
      </c>
      <c r="C599" s="17" t="s">
        <v>113</v>
      </c>
      <c r="D599" s="17" t="s">
        <v>114</v>
      </c>
      <c r="E599" s="17" t="s">
        <v>89</v>
      </c>
      <c r="F599" s="17" t="s">
        <v>89</v>
      </c>
      <c r="G599" s="17">
        <v>299.68674333506698</v>
      </c>
      <c r="H599" s="17">
        <v>258.50663618999999</v>
      </c>
      <c r="I599" s="17" t="s">
        <v>115</v>
      </c>
    </row>
    <row r="600" spans="1:9" ht="15.6" x14ac:dyDescent="0.3">
      <c r="A600" s="17" t="s">
        <v>58</v>
      </c>
      <c r="B600" s="17" t="s">
        <v>69</v>
      </c>
      <c r="C600" s="17" t="s">
        <v>113</v>
      </c>
      <c r="D600" s="17" t="s">
        <v>114</v>
      </c>
      <c r="E600" s="17" t="s">
        <v>90</v>
      </c>
      <c r="F600" s="17" t="s">
        <v>90</v>
      </c>
      <c r="G600" s="17">
        <v>314.05299893785701</v>
      </c>
      <c r="H600" s="17">
        <v>270.89881733620001</v>
      </c>
      <c r="I600" s="17" t="s">
        <v>115</v>
      </c>
    </row>
    <row r="601" spans="1:9" ht="15.6" x14ac:dyDescent="0.3">
      <c r="A601" s="17" t="s">
        <v>58</v>
      </c>
      <c r="B601" s="17" t="s">
        <v>69</v>
      </c>
      <c r="C601" s="17" t="s">
        <v>113</v>
      </c>
      <c r="D601" s="17" t="s">
        <v>114</v>
      </c>
      <c r="E601" s="17" t="s">
        <v>91</v>
      </c>
      <c r="F601" s="17" t="s">
        <v>91</v>
      </c>
      <c r="G601" s="17">
        <v>27.374529758924002</v>
      </c>
      <c r="H601" s="17">
        <v>23.612981763930001</v>
      </c>
      <c r="I601" s="17" t="s">
        <v>115</v>
      </c>
    </row>
    <row r="602" spans="1:9" ht="15.6" x14ac:dyDescent="0.3">
      <c r="A602" s="17" t="s">
        <v>58</v>
      </c>
      <c r="B602" s="17" t="s">
        <v>69</v>
      </c>
      <c r="C602" s="17" t="s">
        <v>113</v>
      </c>
      <c r="D602" s="17" t="s">
        <v>114</v>
      </c>
      <c r="E602" s="17" t="s">
        <v>92</v>
      </c>
      <c r="F602" s="17" t="s">
        <v>92</v>
      </c>
      <c r="G602" s="17">
        <v>5.5256252328369202</v>
      </c>
      <c r="H602" s="17">
        <v>4.7663462717475298</v>
      </c>
      <c r="I602" s="17" t="s">
        <v>115</v>
      </c>
    </row>
    <row r="603" spans="1:9" ht="15.6" x14ac:dyDescent="0.3">
      <c r="A603" s="17" t="s">
        <v>58</v>
      </c>
      <c r="B603" s="17" t="s">
        <v>69</v>
      </c>
      <c r="C603" s="17" t="s">
        <v>113</v>
      </c>
      <c r="D603" s="17" t="s">
        <v>114</v>
      </c>
      <c r="E603" s="17" t="s">
        <v>93</v>
      </c>
      <c r="F603" s="17" t="s">
        <v>130</v>
      </c>
      <c r="G603" s="17">
        <v>1190.5092579354</v>
      </c>
      <c r="H603" s="17">
        <v>1026.9207779999999</v>
      </c>
      <c r="I603" s="17" t="s">
        <v>115</v>
      </c>
    </row>
    <row r="604" spans="1:9" ht="15.6" x14ac:dyDescent="0.3">
      <c r="A604" s="17" t="s">
        <v>58</v>
      </c>
      <c r="B604" s="17" t="s">
        <v>69</v>
      </c>
      <c r="C604" s="17" t="s">
        <v>113</v>
      </c>
      <c r="D604" s="17" t="s">
        <v>114</v>
      </c>
      <c r="E604" s="17" t="s">
        <v>93</v>
      </c>
      <c r="F604" s="17" t="s">
        <v>131</v>
      </c>
      <c r="G604" s="17">
        <v>114.2223511</v>
      </c>
      <c r="H604" s="17">
        <v>98.527000000000001</v>
      </c>
      <c r="I604" s="17" t="s">
        <v>115</v>
      </c>
    </row>
    <row r="605" spans="1:9" ht="15.6" x14ac:dyDescent="0.3">
      <c r="A605" s="17" t="s">
        <v>58</v>
      </c>
      <c r="B605" s="17" t="s">
        <v>69</v>
      </c>
      <c r="C605" s="17" t="s">
        <v>113</v>
      </c>
      <c r="D605" s="17" t="s">
        <v>114</v>
      </c>
      <c r="E605" s="17" t="s">
        <v>93</v>
      </c>
      <c r="F605" s="17" t="s">
        <v>132</v>
      </c>
      <c r="G605" s="17">
        <v>2.0054893001999998</v>
      </c>
      <c r="H605" s="17">
        <v>1.729914</v>
      </c>
      <c r="I605" s="17" t="s">
        <v>115</v>
      </c>
    </row>
    <row r="606" spans="1:9" ht="15.6" x14ac:dyDescent="0.3">
      <c r="A606" s="17" t="s">
        <v>58</v>
      </c>
      <c r="B606" s="17" t="s">
        <v>69</v>
      </c>
      <c r="C606" s="17" t="s">
        <v>113</v>
      </c>
      <c r="D606" s="17" t="s">
        <v>114</v>
      </c>
      <c r="E606" s="17" t="s">
        <v>93</v>
      </c>
      <c r="F606" s="17" t="s">
        <v>133</v>
      </c>
      <c r="G606" s="17">
        <v>29.786530645161299</v>
      </c>
      <c r="H606" s="17">
        <v>25.693548387096801</v>
      </c>
      <c r="I606" s="17" t="s">
        <v>115</v>
      </c>
    </row>
    <row r="607" spans="1:9" ht="15.6" x14ac:dyDescent="0.3">
      <c r="A607" s="17" t="s">
        <v>58</v>
      </c>
      <c r="B607" s="17" t="s">
        <v>69</v>
      </c>
      <c r="C607" s="17" t="s">
        <v>113</v>
      </c>
      <c r="D607" s="17" t="s">
        <v>114</v>
      </c>
      <c r="E607" s="17" t="s">
        <v>93</v>
      </c>
      <c r="F607" s="17" t="s">
        <v>134</v>
      </c>
      <c r="G607" s="17">
        <v>3.3963780240000001</v>
      </c>
      <c r="H607" s="17">
        <v>2.9296799999999998</v>
      </c>
      <c r="I607" s="17" t="s">
        <v>115</v>
      </c>
    </row>
    <row r="608" spans="1:9" ht="15.6" x14ac:dyDescent="0.3">
      <c r="A608" s="17" t="s">
        <v>58</v>
      </c>
      <c r="B608" s="17" t="s">
        <v>69</v>
      </c>
      <c r="C608" s="17" t="s">
        <v>113</v>
      </c>
      <c r="D608" s="17" t="s">
        <v>114</v>
      </c>
      <c r="E608" s="17" t="s">
        <v>93</v>
      </c>
      <c r="F608" s="17" t="s">
        <v>135</v>
      </c>
      <c r="G608" s="17">
        <v>26.8247061290323</v>
      </c>
      <c r="H608" s="17">
        <v>23.138709677419399</v>
      </c>
      <c r="I608" s="17" t="s">
        <v>115</v>
      </c>
    </row>
    <row r="609" spans="1:9" ht="15.6" x14ac:dyDescent="0.3">
      <c r="A609" s="17" t="s">
        <v>58</v>
      </c>
      <c r="B609" s="17" t="s">
        <v>69</v>
      </c>
      <c r="C609" s="17" t="s">
        <v>113</v>
      </c>
      <c r="D609" s="17" t="s">
        <v>114</v>
      </c>
      <c r="E609" s="17" t="s">
        <v>93</v>
      </c>
      <c r="F609" s="17" t="s">
        <v>136</v>
      </c>
      <c r="G609" s="17">
        <v>149.67911631694801</v>
      </c>
      <c r="H609" s="17">
        <v>129.111633155307</v>
      </c>
      <c r="I609" s="17" t="s">
        <v>115</v>
      </c>
    </row>
    <row r="610" spans="1:9" ht="15.6" x14ac:dyDescent="0.3">
      <c r="A610" s="17" t="s">
        <v>58</v>
      </c>
      <c r="B610" s="17" t="s">
        <v>69</v>
      </c>
      <c r="C610" s="17" t="s">
        <v>113</v>
      </c>
      <c r="D610" s="17" t="s">
        <v>114</v>
      </c>
      <c r="E610" s="17" t="s">
        <v>93</v>
      </c>
      <c r="F610" s="17" t="s">
        <v>137</v>
      </c>
      <c r="G610" s="17">
        <v>168.85518670299999</v>
      </c>
      <c r="H610" s="17">
        <v>145.65271000000001</v>
      </c>
      <c r="I610" s="17" t="s">
        <v>115</v>
      </c>
    </row>
    <row r="611" spans="1:9" ht="15.6" x14ac:dyDescent="0.3">
      <c r="A611" s="17" t="s">
        <v>58</v>
      </c>
      <c r="B611" s="17" t="s">
        <v>69</v>
      </c>
      <c r="C611" s="17" t="s">
        <v>113</v>
      </c>
      <c r="D611" s="17" t="s">
        <v>114</v>
      </c>
      <c r="E611" s="17" t="s">
        <v>94</v>
      </c>
      <c r="F611" s="17" t="s">
        <v>94</v>
      </c>
      <c r="G611" s="17">
        <v>19.959118371868101</v>
      </c>
      <c r="H611" s="17">
        <v>17.216525810288999</v>
      </c>
      <c r="I611" s="17" t="s">
        <v>115</v>
      </c>
    </row>
    <row r="612" spans="1:9" ht="15.6" x14ac:dyDescent="0.3">
      <c r="A612" s="17" t="s">
        <v>58</v>
      </c>
      <c r="B612" s="17" t="s">
        <v>69</v>
      </c>
      <c r="C612" s="17" t="s">
        <v>113</v>
      </c>
      <c r="D612" s="17" t="s">
        <v>114</v>
      </c>
      <c r="E612" s="17" t="s">
        <v>95</v>
      </c>
      <c r="F612" s="17" t="s">
        <v>138</v>
      </c>
      <c r="G612" s="17">
        <v>473.60651039999999</v>
      </c>
      <c r="H612" s="17">
        <v>408.52800000000002</v>
      </c>
      <c r="I612" s="17" t="s">
        <v>115</v>
      </c>
    </row>
    <row r="613" spans="1:9" ht="15.6" x14ac:dyDescent="0.3">
      <c r="A613" s="17" t="s">
        <v>58</v>
      </c>
      <c r="B613" s="17" t="s">
        <v>69</v>
      </c>
      <c r="C613" s="17" t="s">
        <v>113</v>
      </c>
      <c r="D613" s="17" t="s">
        <v>114</v>
      </c>
      <c r="E613" s="17" t="s">
        <v>98</v>
      </c>
      <c r="F613" s="17" t="s">
        <v>139</v>
      </c>
      <c r="G613" s="17">
        <v>198.24029999999999</v>
      </c>
      <c r="H613" s="17">
        <v>171</v>
      </c>
      <c r="I613" s="17" t="s">
        <v>115</v>
      </c>
    </row>
    <row r="614" spans="1:9" ht="15.6" x14ac:dyDescent="0.3">
      <c r="A614" s="17" t="s">
        <v>58</v>
      </c>
      <c r="B614" s="17" t="s">
        <v>69</v>
      </c>
      <c r="C614" s="17" t="s">
        <v>113</v>
      </c>
      <c r="D614" s="17" t="s">
        <v>114</v>
      </c>
      <c r="E614" s="17" t="s">
        <v>98</v>
      </c>
      <c r="F614" s="17" t="s">
        <v>140</v>
      </c>
      <c r="G614" s="17">
        <v>12801.106529999999</v>
      </c>
      <c r="H614" s="17">
        <v>11042.1</v>
      </c>
      <c r="I614" s="17" t="s">
        <v>115</v>
      </c>
    </row>
    <row r="615" spans="1:9" ht="15.6" x14ac:dyDescent="0.3">
      <c r="A615" s="17" t="s">
        <v>58</v>
      </c>
      <c r="B615" s="17" t="s">
        <v>69</v>
      </c>
      <c r="C615" s="17" t="s">
        <v>113</v>
      </c>
      <c r="D615" s="17" t="s">
        <v>114</v>
      </c>
      <c r="E615" s="17" t="s">
        <v>98</v>
      </c>
      <c r="F615" s="17" t="s">
        <v>141</v>
      </c>
      <c r="G615" s="17">
        <v>102.59805</v>
      </c>
      <c r="H615" s="17">
        <v>88.5</v>
      </c>
      <c r="I615" s="17" t="s">
        <v>115</v>
      </c>
    </row>
    <row r="616" spans="1:9" ht="15.6" x14ac:dyDescent="0.3">
      <c r="A616" s="17" t="s">
        <v>58</v>
      </c>
      <c r="B616" s="17" t="s">
        <v>69</v>
      </c>
      <c r="C616" s="17" t="s">
        <v>113</v>
      </c>
      <c r="D616" s="17" t="s">
        <v>114</v>
      </c>
      <c r="E616" s="17" t="s">
        <v>96</v>
      </c>
      <c r="F616" s="17" t="s">
        <v>96</v>
      </c>
      <c r="G616" s="17">
        <v>6.7879282358940003</v>
      </c>
      <c r="H616" s="17">
        <v>5.8551955800000002</v>
      </c>
      <c r="I616" s="17" t="s">
        <v>115</v>
      </c>
    </row>
    <row r="617" spans="1:9" ht="15.6" x14ac:dyDescent="0.3">
      <c r="A617" s="17" t="s">
        <v>58</v>
      </c>
      <c r="B617" s="17" t="s">
        <v>69</v>
      </c>
      <c r="C617" s="17" t="s">
        <v>113</v>
      </c>
      <c r="D617" s="17" t="s">
        <v>114</v>
      </c>
      <c r="E617" s="17" t="s">
        <v>97</v>
      </c>
      <c r="F617" s="17" t="s">
        <v>97</v>
      </c>
      <c r="G617" s="17">
        <v>132.1602</v>
      </c>
      <c r="H617" s="17">
        <v>114</v>
      </c>
      <c r="I617" s="17" t="s">
        <v>115</v>
      </c>
    </row>
    <row r="618" spans="1:9" ht="15.6" x14ac:dyDescent="0.3">
      <c r="A618" s="17" t="s">
        <v>58</v>
      </c>
      <c r="B618" s="17" t="s">
        <v>69</v>
      </c>
      <c r="C618" s="17" t="s">
        <v>113</v>
      </c>
      <c r="D618" s="17" t="s">
        <v>114</v>
      </c>
      <c r="E618" s="17" t="s">
        <v>99</v>
      </c>
      <c r="F618" s="17" t="s">
        <v>142</v>
      </c>
      <c r="G618" s="17">
        <v>180.23489078593599</v>
      </c>
      <c r="H618" s="17">
        <v>155.46872318289999</v>
      </c>
      <c r="I618" s="17" t="s">
        <v>115</v>
      </c>
    </row>
    <row r="619" spans="1:9" ht="15.6" x14ac:dyDescent="0.3">
      <c r="A619" s="17" t="s">
        <v>58</v>
      </c>
      <c r="B619" s="17" t="s">
        <v>69</v>
      </c>
      <c r="C619" s="17" t="s">
        <v>113</v>
      </c>
      <c r="D619" s="17" t="s">
        <v>114</v>
      </c>
      <c r="E619" s="17" t="s">
        <v>99</v>
      </c>
      <c r="F619" s="17" t="s">
        <v>143</v>
      </c>
      <c r="G619" s="17">
        <v>21.2259835661383</v>
      </c>
      <c r="H619" s="17">
        <v>18.309310416750002</v>
      </c>
      <c r="I619" s="17" t="s">
        <v>115</v>
      </c>
    </row>
    <row r="620" spans="1:9" ht="15.6" x14ac:dyDescent="0.3">
      <c r="A620" s="17" t="s">
        <v>58</v>
      </c>
      <c r="B620" s="17" t="s">
        <v>69</v>
      </c>
      <c r="C620" s="17" t="s">
        <v>113</v>
      </c>
      <c r="D620" s="17" t="s">
        <v>114</v>
      </c>
      <c r="E620" s="17" t="s">
        <v>99</v>
      </c>
      <c r="F620" s="17" t="s">
        <v>144</v>
      </c>
      <c r="G620" s="17">
        <v>65.693412417144401</v>
      </c>
      <c r="H620" s="17">
        <v>56.666447353700001</v>
      </c>
      <c r="I620" s="17" t="s">
        <v>115</v>
      </c>
    </row>
    <row r="621" spans="1:9" ht="15.6" x14ac:dyDescent="0.3">
      <c r="A621" s="17" t="s">
        <v>58</v>
      </c>
      <c r="B621" s="17" t="s">
        <v>69</v>
      </c>
      <c r="C621" s="17" t="s">
        <v>113</v>
      </c>
      <c r="D621" s="17" t="s">
        <v>114</v>
      </c>
      <c r="E621" s="17" t="s">
        <v>99</v>
      </c>
      <c r="F621" s="17" t="s">
        <v>145</v>
      </c>
      <c r="G621" s="17">
        <v>1.2230730929999999E-4</v>
      </c>
      <c r="H621" s="17">
        <v>1.0550100000000001E-4</v>
      </c>
      <c r="I621" s="17" t="s">
        <v>115</v>
      </c>
    </row>
    <row r="622" spans="1:9" ht="15.6" x14ac:dyDescent="0.3">
      <c r="A622" s="17" t="s">
        <v>58</v>
      </c>
      <c r="B622" s="17" t="s">
        <v>69</v>
      </c>
      <c r="C622" s="17" t="s">
        <v>113</v>
      </c>
      <c r="D622" s="17" t="s">
        <v>114</v>
      </c>
      <c r="E622" s="17" t="s">
        <v>99</v>
      </c>
      <c r="F622" s="17" t="s">
        <v>146</v>
      </c>
      <c r="G622" s="17">
        <v>7.4313742598480004E-2</v>
      </c>
      <c r="H622" s="17">
        <v>6.4102253600000006E-2</v>
      </c>
      <c r="I622" s="17" t="s">
        <v>115</v>
      </c>
    </row>
    <row r="623" spans="1:9" ht="15.6" x14ac:dyDescent="0.3">
      <c r="A623" s="17" t="s">
        <v>58</v>
      </c>
      <c r="B623" s="17" t="s">
        <v>69</v>
      </c>
      <c r="C623" s="17" t="s">
        <v>113</v>
      </c>
      <c r="D623" s="17" t="s">
        <v>114</v>
      </c>
      <c r="E623" s="17" t="s">
        <v>99</v>
      </c>
      <c r="F623" s="17" t="s">
        <v>147</v>
      </c>
      <c r="G623" s="17">
        <v>8.1730389056988706</v>
      </c>
      <c r="H623" s="17">
        <v>7.04997749133</v>
      </c>
      <c r="I623" s="17" t="s">
        <v>115</v>
      </c>
    </row>
    <row r="624" spans="1:9" ht="15.6" x14ac:dyDescent="0.3">
      <c r="A624" s="17" t="s">
        <v>58</v>
      </c>
      <c r="B624" s="17" t="s">
        <v>69</v>
      </c>
      <c r="C624" s="17" t="s">
        <v>113</v>
      </c>
      <c r="D624" s="17" t="s">
        <v>114</v>
      </c>
      <c r="E624" s="17" t="s">
        <v>99</v>
      </c>
      <c r="F624" s="17" t="s">
        <v>148</v>
      </c>
      <c r="G624" s="17">
        <v>1286.54233098446</v>
      </c>
      <c r="H624" s="17">
        <v>1109.757897856</v>
      </c>
      <c r="I624" s="17" t="s">
        <v>115</v>
      </c>
    </row>
    <row r="625" spans="1:9" ht="15.6" x14ac:dyDescent="0.3">
      <c r="A625" s="17" t="s">
        <v>58</v>
      </c>
      <c r="B625" s="17" t="s">
        <v>69</v>
      </c>
      <c r="C625" s="17" t="s">
        <v>113</v>
      </c>
      <c r="D625" s="17" t="s">
        <v>114</v>
      </c>
      <c r="E625" s="17" t="s">
        <v>99</v>
      </c>
      <c r="F625" s="17" t="s">
        <v>149</v>
      </c>
      <c r="G625" s="17">
        <v>4.4238888000000001E-6</v>
      </c>
      <c r="H625" s="17">
        <v>3.8160000000000004E-6</v>
      </c>
      <c r="I625" s="17" t="s">
        <v>115</v>
      </c>
    </row>
    <row r="626" spans="1:9" ht="15.6" x14ac:dyDescent="0.3">
      <c r="A626" s="17" t="s">
        <v>58</v>
      </c>
      <c r="B626" s="17" t="s">
        <v>69</v>
      </c>
      <c r="C626" s="17" t="s">
        <v>113</v>
      </c>
      <c r="D626" s="17" t="s">
        <v>114</v>
      </c>
      <c r="E626" s="17" t="s">
        <v>99</v>
      </c>
      <c r="F626" s="17" t="s">
        <v>150</v>
      </c>
      <c r="G626" s="17">
        <v>3.7512142493999998E-4</v>
      </c>
      <c r="H626" s="17">
        <v>3.2357579999999999E-4</v>
      </c>
      <c r="I626" s="17" t="s">
        <v>115</v>
      </c>
    </row>
    <row r="627" spans="1:9" ht="15.6" x14ac:dyDescent="0.3">
      <c r="A627" s="17" t="s">
        <v>58</v>
      </c>
      <c r="B627" s="17" t="s">
        <v>69</v>
      </c>
      <c r="C627" s="17" t="s">
        <v>113</v>
      </c>
      <c r="D627" s="17" t="s">
        <v>114</v>
      </c>
      <c r="E627" s="17" t="s">
        <v>99</v>
      </c>
      <c r="F627" s="17" t="s">
        <v>151</v>
      </c>
      <c r="G627" s="17">
        <v>9.7206761272069802</v>
      </c>
      <c r="H627" s="17">
        <v>8.3849530986000005</v>
      </c>
      <c r="I627" s="17" t="s">
        <v>115</v>
      </c>
    </row>
    <row r="628" spans="1:9" ht="15.6" x14ac:dyDescent="0.3">
      <c r="A628" s="17" t="s">
        <v>58</v>
      </c>
      <c r="B628" s="17" t="s">
        <v>69</v>
      </c>
      <c r="C628" s="17" t="s">
        <v>113</v>
      </c>
      <c r="D628" s="17" t="s">
        <v>114</v>
      </c>
      <c r="E628" s="17" t="s">
        <v>99</v>
      </c>
      <c r="F628" s="17" t="s">
        <v>152</v>
      </c>
      <c r="G628" s="17">
        <v>37.766140527955201</v>
      </c>
      <c r="H628" s="17">
        <v>32.5766760355</v>
      </c>
      <c r="I628" s="17" t="s">
        <v>115</v>
      </c>
    </row>
    <row r="629" spans="1:9" ht="15.6" x14ac:dyDescent="0.3">
      <c r="A629" s="17" t="s">
        <v>58</v>
      </c>
      <c r="B629" s="17" t="s">
        <v>69</v>
      </c>
      <c r="C629" s="17" t="s">
        <v>113</v>
      </c>
      <c r="D629" s="17" t="s">
        <v>114</v>
      </c>
      <c r="E629" s="17" t="s">
        <v>99</v>
      </c>
      <c r="F629" s="17" t="s">
        <v>153</v>
      </c>
      <c r="G629" s="17">
        <v>2.4648360524063202</v>
      </c>
      <c r="H629" s="17">
        <v>2.1261416824000001</v>
      </c>
      <c r="I629" s="17" t="s">
        <v>115</v>
      </c>
    </row>
    <row r="630" spans="1:9" ht="15.6" x14ac:dyDescent="0.3">
      <c r="A630" s="17" t="s">
        <v>58</v>
      </c>
      <c r="B630" s="17" t="s">
        <v>69</v>
      </c>
      <c r="C630" s="17" t="s">
        <v>113</v>
      </c>
      <c r="D630" s="17" t="s">
        <v>114</v>
      </c>
      <c r="E630" s="17" t="s">
        <v>99</v>
      </c>
      <c r="F630" s="17" t="s">
        <v>154</v>
      </c>
      <c r="G630" s="17">
        <v>6.8500683620999995E-4</v>
      </c>
      <c r="H630" s="17">
        <v>5.9087970000000001E-4</v>
      </c>
      <c r="I630" s="17" t="s">
        <v>115</v>
      </c>
    </row>
    <row r="631" spans="1:9" ht="15.6" x14ac:dyDescent="0.3">
      <c r="A631" s="17" t="s">
        <v>58</v>
      </c>
      <c r="B631" s="17" t="s">
        <v>69</v>
      </c>
      <c r="C631" s="17" t="s">
        <v>113</v>
      </c>
      <c r="D631" s="17" t="s">
        <v>114</v>
      </c>
      <c r="E631" s="17" t="s">
        <v>101</v>
      </c>
      <c r="F631" s="17" t="s">
        <v>170</v>
      </c>
      <c r="G631" s="17">
        <v>70.767286920000004</v>
      </c>
      <c r="H631" s="17">
        <v>61.0431181920124</v>
      </c>
      <c r="I631" s="17" t="s">
        <v>115</v>
      </c>
    </row>
    <row r="632" spans="1:9" ht="15.6" x14ac:dyDescent="0.3">
      <c r="A632" s="17" t="s">
        <v>58</v>
      </c>
      <c r="B632" s="17" t="s">
        <v>69</v>
      </c>
      <c r="C632" s="17" t="s">
        <v>113</v>
      </c>
      <c r="D632" s="17" t="s">
        <v>114</v>
      </c>
      <c r="E632" s="17" t="s">
        <v>101</v>
      </c>
      <c r="F632" s="17" t="s">
        <v>155</v>
      </c>
      <c r="G632" s="17">
        <v>5.62199704902556</v>
      </c>
      <c r="H632" s="17">
        <v>4.8494755878767899</v>
      </c>
      <c r="I632" s="17" t="s">
        <v>115</v>
      </c>
    </row>
    <row r="633" spans="1:9" ht="15.6" x14ac:dyDescent="0.3">
      <c r="A633" s="17" t="s">
        <v>58</v>
      </c>
      <c r="B633" s="17" t="s">
        <v>69</v>
      </c>
      <c r="C633" s="17" t="s">
        <v>113</v>
      </c>
      <c r="D633" s="17" t="s">
        <v>114</v>
      </c>
      <c r="E633" s="17" t="s">
        <v>101</v>
      </c>
      <c r="F633" s="17" t="s">
        <v>156</v>
      </c>
      <c r="G633" s="17">
        <v>138.806873895915</v>
      </c>
      <c r="H633" s="17">
        <v>119.7333510704</v>
      </c>
      <c r="I633" s="17" t="s">
        <v>115</v>
      </c>
    </row>
    <row r="634" spans="1:9" ht="15.6" x14ac:dyDescent="0.3">
      <c r="A634" s="17" t="s">
        <v>58</v>
      </c>
      <c r="B634" s="17" t="s">
        <v>69</v>
      </c>
      <c r="C634" s="17" t="s">
        <v>113</v>
      </c>
      <c r="D634" s="17" t="s">
        <v>114</v>
      </c>
      <c r="E634" s="17" t="s">
        <v>101</v>
      </c>
      <c r="F634" s="17" t="s">
        <v>178</v>
      </c>
      <c r="G634" s="17">
        <v>31.500277897322899</v>
      </c>
      <c r="H634" s="17">
        <v>27.171808761600001</v>
      </c>
      <c r="I634" s="17" t="s">
        <v>115</v>
      </c>
    </row>
    <row r="635" spans="1:9" ht="15.6" x14ac:dyDescent="0.3">
      <c r="A635" s="17" t="s">
        <v>58</v>
      </c>
      <c r="B635" s="17" t="s">
        <v>69</v>
      </c>
      <c r="C635" s="17" t="s">
        <v>113</v>
      </c>
      <c r="D635" s="17" t="s">
        <v>114</v>
      </c>
      <c r="E635" s="17" t="s">
        <v>101</v>
      </c>
      <c r="F635" s="17" t="s">
        <v>157</v>
      </c>
      <c r="G635" s="17">
        <v>6566.0046713909496</v>
      </c>
      <c r="H635" s="17">
        <v>5663.7666448641003</v>
      </c>
      <c r="I635" s="17" t="s">
        <v>115</v>
      </c>
    </row>
    <row r="636" spans="1:9" ht="15.6" x14ac:dyDescent="0.3">
      <c r="A636" s="17" t="s">
        <v>58</v>
      </c>
      <c r="B636" s="17" t="s">
        <v>69</v>
      </c>
      <c r="C636" s="17" t="s">
        <v>113</v>
      </c>
      <c r="D636" s="17" t="s">
        <v>114</v>
      </c>
      <c r="E636" s="17" t="s">
        <v>101</v>
      </c>
      <c r="F636" s="17" t="s">
        <v>158</v>
      </c>
      <c r="G636" s="17">
        <v>452.77805937520401</v>
      </c>
      <c r="H636" s="17">
        <v>390.56159697679999</v>
      </c>
      <c r="I636" s="17" t="s">
        <v>115</v>
      </c>
    </row>
    <row r="637" spans="1:9" ht="15.6" x14ac:dyDescent="0.3">
      <c r="A637" s="17" t="s">
        <v>58</v>
      </c>
      <c r="B637" s="17" t="s">
        <v>69</v>
      </c>
      <c r="C637" s="17" t="s">
        <v>113</v>
      </c>
      <c r="D637" s="17" t="s">
        <v>114</v>
      </c>
      <c r="E637" s="17" t="s">
        <v>101</v>
      </c>
      <c r="F637" s="17" t="s">
        <v>159</v>
      </c>
      <c r="G637" s="17">
        <v>117.686859162022</v>
      </c>
      <c r="H637" s="17">
        <v>101.515448255</v>
      </c>
      <c r="I637" s="17" t="s">
        <v>115</v>
      </c>
    </row>
    <row r="638" spans="1:9" ht="15.6" x14ac:dyDescent="0.3">
      <c r="A638" s="17" t="s">
        <v>58</v>
      </c>
      <c r="B638" s="17" t="s">
        <v>69</v>
      </c>
      <c r="C638" s="17" t="s">
        <v>113</v>
      </c>
      <c r="D638" s="17" t="s">
        <v>114</v>
      </c>
      <c r="E638" s="17" t="s">
        <v>101</v>
      </c>
      <c r="F638" s="17" t="s">
        <v>160</v>
      </c>
      <c r="G638" s="17">
        <v>406.05096024282301</v>
      </c>
      <c r="H638" s="17">
        <v>350.25529219600003</v>
      </c>
      <c r="I638" s="17" t="s">
        <v>115</v>
      </c>
    </row>
    <row r="639" spans="1:9" ht="15.6" x14ac:dyDescent="0.3">
      <c r="A639" s="17" t="s">
        <v>58</v>
      </c>
      <c r="B639" s="17" t="s">
        <v>69</v>
      </c>
      <c r="C639" s="17" t="s">
        <v>113</v>
      </c>
      <c r="D639" s="17" t="s">
        <v>114</v>
      </c>
      <c r="E639" s="17" t="s">
        <v>101</v>
      </c>
      <c r="F639" s="17" t="s">
        <v>162</v>
      </c>
      <c r="G639" s="17">
        <v>222.96171008449701</v>
      </c>
      <c r="H639" s="17">
        <v>192.32442860734699</v>
      </c>
      <c r="I639" s="17" t="s">
        <v>115</v>
      </c>
    </row>
    <row r="640" spans="1:9" ht="15.6" x14ac:dyDescent="0.3">
      <c r="A640" s="17" t="s">
        <v>58</v>
      </c>
      <c r="B640" s="17" t="s">
        <v>69</v>
      </c>
      <c r="C640" s="17" t="s">
        <v>113</v>
      </c>
      <c r="D640" s="17" t="s">
        <v>114</v>
      </c>
      <c r="E640" s="17" t="s">
        <v>101</v>
      </c>
      <c r="F640" s="17" t="s">
        <v>163</v>
      </c>
      <c r="G640" s="17">
        <v>560.76814699841395</v>
      </c>
      <c r="H640" s="17">
        <v>483.71271197999999</v>
      </c>
      <c r="I640" s="17" t="s">
        <v>115</v>
      </c>
    </row>
    <row r="641" spans="1:9" ht="15.6" x14ac:dyDescent="0.3">
      <c r="A641" s="17" t="s">
        <v>58</v>
      </c>
      <c r="B641" s="17" t="s">
        <v>69</v>
      </c>
      <c r="C641" s="17" t="s">
        <v>113</v>
      </c>
      <c r="D641" s="17" t="s">
        <v>114</v>
      </c>
      <c r="E641" s="17" t="s">
        <v>102</v>
      </c>
      <c r="F641" s="17" t="s">
        <v>165</v>
      </c>
      <c r="G641" s="17">
        <v>34.282873346436098</v>
      </c>
      <c r="H641" s="17">
        <v>29.572046361111099</v>
      </c>
      <c r="I641" s="17" t="s">
        <v>115</v>
      </c>
    </row>
    <row r="642" spans="1:9" ht="15.6" x14ac:dyDescent="0.3">
      <c r="A642" s="17" t="s">
        <v>58</v>
      </c>
      <c r="B642" s="17" t="s">
        <v>69</v>
      </c>
      <c r="C642" s="17" t="s">
        <v>113</v>
      </c>
      <c r="D642" s="17" t="s">
        <v>114</v>
      </c>
      <c r="E642" s="17" t="s">
        <v>102</v>
      </c>
      <c r="F642" s="17" t="s">
        <v>166</v>
      </c>
      <c r="G642" s="17">
        <v>479.93607173185097</v>
      </c>
      <c r="H642" s="17">
        <v>413.987813104331</v>
      </c>
      <c r="I642" s="17" t="s">
        <v>115</v>
      </c>
    </row>
    <row r="643" spans="1:9" ht="15.6" x14ac:dyDescent="0.3">
      <c r="A643" s="17" t="s">
        <v>58</v>
      </c>
      <c r="B643" s="17" t="s">
        <v>69</v>
      </c>
      <c r="C643" s="17" t="s">
        <v>113</v>
      </c>
      <c r="D643" s="17" t="s">
        <v>114</v>
      </c>
      <c r="E643" s="17" t="s">
        <v>103</v>
      </c>
      <c r="F643" s="17" t="s">
        <v>103</v>
      </c>
      <c r="G643" s="17">
        <v>33.005271</v>
      </c>
      <c r="H643" s="17">
        <v>28.47</v>
      </c>
      <c r="I643" s="17" t="s">
        <v>115</v>
      </c>
    </row>
    <row r="644" spans="1:9" ht="15.6" x14ac:dyDescent="0.3">
      <c r="A644" s="17" t="s">
        <v>58</v>
      </c>
      <c r="B644" s="17" t="s">
        <v>69</v>
      </c>
      <c r="C644" s="17" t="s">
        <v>167</v>
      </c>
      <c r="D644" s="17" t="s">
        <v>168</v>
      </c>
      <c r="E644" s="17" t="s">
        <v>100</v>
      </c>
      <c r="F644" s="17" t="s">
        <v>100</v>
      </c>
      <c r="G644" s="17">
        <v>0</v>
      </c>
      <c r="H644" s="17">
        <v>0</v>
      </c>
      <c r="I644" s="17" t="s">
        <v>115</v>
      </c>
    </row>
    <row r="645" spans="1:9" ht="15.6" x14ac:dyDescent="0.3">
      <c r="A645" s="17" t="s">
        <v>58</v>
      </c>
      <c r="B645" s="17" t="s">
        <v>69</v>
      </c>
      <c r="C645" s="17" t="s">
        <v>167</v>
      </c>
      <c r="D645" s="17" t="s">
        <v>114</v>
      </c>
      <c r="E645" s="17" t="s">
        <v>100</v>
      </c>
      <c r="F645" s="17" t="s">
        <v>100</v>
      </c>
      <c r="G645" s="17">
        <v>263.763936</v>
      </c>
      <c r="H645" s="17">
        <v>227.52</v>
      </c>
      <c r="I645" s="17" t="s">
        <v>115</v>
      </c>
    </row>
    <row r="646" spans="1:9" ht="15.6" x14ac:dyDescent="0.3">
      <c r="A646" s="17" t="s">
        <v>58</v>
      </c>
      <c r="B646" s="17" t="s">
        <v>203</v>
      </c>
      <c r="C646" s="17" t="s">
        <v>113</v>
      </c>
      <c r="D646" s="17" t="s">
        <v>114</v>
      </c>
      <c r="E646" s="17" t="s">
        <v>71</v>
      </c>
      <c r="F646" s="17" t="s">
        <v>71</v>
      </c>
      <c r="G646" s="17">
        <v>17.3836656</v>
      </c>
      <c r="H646" s="17">
        <v>14.868</v>
      </c>
      <c r="I646" s="17" t="s">
        <v>115</v>
      </c>
    </row>
    <row r="647" spans="1:9" ht="15.6" x14ac:dyDescent="0.3">
      <c r="A647" s="17" t="s">
        <v>58</v>
      </c>
      <c r="B647" s="17" t="s">
        <v>203</v>
      </c>
      <c r="C647" s="17" t="s">
        <v>113</v>
      </c>
      <c r="D647" s="17" t="s">
        <v>114</v>
      </c>
      <c r="E647" s="17" t="s">
        <v>72</v>
      </c>
      <c r="F647" s="17" t="s">
        <v>116</v>
      </c>
      <c r="G647" s="17">
        <v>40.176073784000003</v>
      </c>
      <c r="H647" s="17">
        <v>34.362020000000001</v>
      </c>
      <c r="I647" s="17" t="s">
        <v>115</v>
      </c>
    </row>
    <row r="648" spans="1:9" ht="15.6" x14ac:dyDescent="0.3">
      <c r="A648" s="17" t="s">
        <v>58</v>
      </c>
      <c r="B648" s="17" t="s">
        <v>203</v>
      </c>
      <c r="C648" s="17" t="s">
        <v>113</v>
      </c>
      <c r="D648" s="17" t="s">
        <v>114</v>
      </c>
      <c r="E648" s="17" t="s">
        <v>73</v>
      </c>
      <c r="F648" s="17" t="s">
        <v>117</v>
      </c>
      <c r="G648" s="17">
        <v>0</v>
      </c>
      <c r="H648" s="17">
        <v>0</v>
      </c>
      <c r="I648" s="17" t="s">
        <v>115</v>
      </c>
    </row>
    <row r="649" spans="1:9" ht="15.6" x14ac:dyDescent="0.3">
      <c r="A649" s="17" t="s">
        <v>58</v>
      </c>
      <c r="B649" s="17" t="s">
        <v>203</v>
      </c>
      <c r="C649" s="17" t="s">
        <v>113</v>
      </c>
      <c r="D649" s="17" t="s">
        <v>114</v>
      </c>
      <c r="E649" s="17" t="s">
        <v>73</v>
      </c>
      <c r="F649" s="17" t="s">
        <v>118</v>
      </c>
      <c r="G649" s="17">
        <v>116.97425088</v>
      </c>
      <c r="H649" s="17">
        <v>100.04640000000001</v>
      </c>
      <c r="I649" s="17" t="s">
        <v>115</v>
      </c>
    </row>
    <row r="650" spans="1:9" ht="15.6" x14ac:dyDescent="0.3">
      <c r="A650" s="17" t="s">
        <v>58</v>
      </c>
      <c r="B650" s="17" t="s">
        <v>203</v>
      </c>
      <c r="C650" s="17" t="s">
        <v>113</v>
      </c>
      <c r="D650" s="17" t="s">
        <v>114</v>
      </c>
      <c r="E650" s="17" t="s">
        <v>73</v>
      </c>
      <c r="F650" s="17" t="s">
        <v>119</v>
      </c>
      <c r="G650" s="17">
        <v>199.04460800000001</v>
      </c>
      <c r="H650" s="17">
        <v>170.24</v>
      </c>
      <c r="I650" s="17" t="s">
        <v>115</v>
      </c>
    </row>
    <row r="651" spans="1:9" ht="15.6" x14ac:dyDescent="0.3">
      <c r="A651" s="17" t="s">
        <v>58</v>
      </c>
      <c r="B651" s="17" t="s">
        <v>203</v>
      </c>
      <c r="C651" s="17" t="s">
        <v>113</v>
      </c>
      <c r="D651" s="17" t="s">
        <v>114</v>
      </c>
      <c r="E651" s="17" t="s">
        <v>73</v>
      </c>
      <c r="F651" s="17" t="s">
        <v>120</v>
      </c>
      <c r="G651" s="17">
        <v>7.7519305380821901</v>
      </c>
      <c r="H651" s="17">
        <v>6.6301150684931498</v>
      </c>
      <c r="I651" s="17" t="s">
        <v>115</v>
      </c>
    </row>
    <row r="652" spans="1:9" ht="15.6" x14ac:dyDescent="0.3">
      <c r="A652" s="17" t="s">
        <v>58</v>
      </c>
      <c r="B652" s="17" t="s">
        <v>203</v>
      </c>
      <c r="C652" s="17" t="s">
        <v>113</v>
      </c>
      <c r="D652" s="17" t="s">
        <v>114</v>
      </c>
      <c r="E652" s="17" t="s">
        <v>74</v>
      </c>
      <c r="F652" s="17" t="s">
        <v>121</v>
      </c>
      <c r="G652" s="17">
        <v>2.4488894000000001</v>
      </c>
      <c r="H652" s="17">
        <v>2.0945</v>
      </c>
      <c r="I652" s="17" t="s">
        <v>115</v>
      </c>
    </row>
    <row r="653" spans="1:9" ht="15.6" x14ac:dyDescent="0.3">
      <c r="A653" s="17" t="s">
        <v>58</v>
      </c>
      <c r="B653" s="17" t="s">
        <v>203</v>
      </c>
      <c r="C653" s="17" t="s">
        <v>113</v>
      </c>
      <c r="D653" s="17" t="s">
        <v>114</v>
      </c>
      <c r="E653" s="17" t="s">
        <v>76</v>
      </c>
      <c r="F653" s="17" t="s">
        <v>122</v>
      </c>
      <c r="G653" s="17">
        <v>31.811593599999998</v>
      </c>
      <c r="H653" s="17">
        <v>27.207999999999998</v>
      </c>
      <c r="I653" s="17" t="s">
        <v>115</v>
      </c>
    </row>
    <row r="654" spans="1:9" ht="15.6" x14ac:dyDescent="0.3">
      <c r="A654" s="17" t="s">
        <v>58</v>
      </c>
      <c r="B654" s="17" t="s">
        <v>203</v>
      </c>
      <c r="C654" s="17" t="s">
        <v>113</v>
      </c>
      <c r="D654" s="17" t="s">
        <v>114</v>
      </c>
      <c r="E654" s="17" t="s">
        <v>80</v>
      </c>
      <c r="F654" s="17" t="s">
        <v>80</v>
      </c>
      <c r="G654" s="17">
        <v>0.15007033976973799</v>
      </c>
      <c r="H654" s="17">
        <v>0.128353010408602</v>
      </c>
      <c r="I654" s="17" t="s">
        <v>115</v>
      </c>
    </row>
    <row r="655" spans="1:9" ht="15.6" x14ac:dyDescent="0.3">
      <c r="A655" s="17" t="s">
        <v>58</v>
      </c>
      <c r="B655" s="17" t="s">
        <v>203</v>
      </c>
      <c r="C655" s="17" t="s">
        <v>113</v>
      </c>
      <c r="D655" s="17" t="s">
        <v>114</v>
      </c>
      <c r="E655" s="17" t="s">
        <v>77</v>
      </c>
      <c r="F655" s="17" t="s">
        <v>77</v>
      </c>
      <c r="G655" s="17">
        <v>1.4486387999999999E-4</v>
      </c>
      <c r="H655" s="17">
        <v>1.239E-4</v>
      </c>
      <c r="I655" s="17" t="s">
        <v>115</v>
      </c>
    </row>
    <row r="656" spans="1:9" ht="15.6" x14ac:dyDescent="0.3">
      <c r="A656" s="17" t="s">
        <v>58</v>
      </c>
      <c r="B656" s="17" t="s">
        <v>203</v>
      </c>
      <c r="C656" s="17" t="s">
        <v>113</v>
      </c>
      <c r="D656" s="17" t="s">
        <v>114</v>
      </c>
      <c r="E656" s="17" t="s">
        <v>78</v>
      </c>
      <c r="F656" s="17" t="s">
        <v>123</v>
      </c>
      <c r="G656" s="17">
        <v>3.68133557677419</v>
      </c>
      <c r="H656" s="17">
        <v>3.1485935483871001</v>
      </c>
      <c r="I656" s="17" t="s">
        <v>115</v>
      </c>
    </row>
    <row r="657" spans="1:9" ht="15.6" x14ac:dyDescent="0.3">
      <c r="A657" s="17" t="s">
        <v>58</v>
      </c>
      <c r="B657" s="17" t="s">
        <v>203</v>
      </c>
      <c r="C657" s="17" t="s">
        <v>113</v>
      </c>
      <c r="D657" s="17" t="s">
        <v>114</v>
      </c>
      <c r="E657" s="17" t="s">
        <v>78</v>
      </c>
      <c r="F657" s="17" t="s">
        <v>124</v>
      </c>
      <c r="G657" s="17">
        <v>66.205950000000001</v>
      </c>
      <c r="H657" s="17">
        <v>56.625</v>
      </c>
      <c r="I657" s="17" t="s">
        <v>115</v>
      </c>
    </row>
    <row r="658" spans="1:9" ht="15.6" x14ac:dyDescent="0.3">
      <c r="A658" s="17" t="s">
        <v>58</v>
      </c>
      <c r="B658" s="17" t="s">
        <v>203</v>
      </c>
      <c r="C658" s="17" t="s">
        <v>113</v>
      </c>
      <c r="D658" s="17" t="s">
        <v>114</v>
      </c>
      <c r="E658" s="17" t="s">
        <v>78</v>
      </c>
      <c r="F658" s="17" t="s">
        <v>125</v>
      </c>
      <c r="G658" s="17">
        <v>42.301188320000001</v>
      </c>
      <c r="H658" s="17">
        <v>36.179600000000001</v>
      </c>
      <c r="I658" s="17" t="s">
        <v>115</v>
      </c>
    </row>
    <row r="659" spans="1:9" ht="15.6" x14ac:dyDescent="0.3">
      <c r="A659" s="17" t="s">
        <v>58</v>
      </c>
      <c r="B659" s="17" t="s">
        <v>203</v>
      </c>
      <c r="C659" s="17" t="s">
        <v>113</v>
      </c>
      <c r="D659" s="17" t="s">
        <v>114</v>
      </c>
      <c r="E659" s="17" t="s">
        <v>79</v>
      </c>
      <c r="F659" s="17" t="s">
        <v>126</v>
      </c>
      <c r="G659" s="17">
        <v>258.34577773854397</v>
      </c>
      <c r="H659" s="17">
        <v>220.95944041955599</v>
      </c>
      <c r="I659" s="17" t="s">
        <v>115</v>
      </c>
    </row>
    <row r="660" spans="1:9" ht="15.6" x14ac:dyDescent="0.3">
      <c r="A660" s="17" t="s">
        <v>58</v>
      </c>
      <c r="B660" s="17" t="s">
        <v>203</v>
      </c>
      <c r="C660" s="17" t="s">
        <v>113</v>
      </c>
      <c r="D660" s="17" t="s">
        <v>114</v>
      </c>
      <c r="E660" s="17" t="s">
        <v>79</v>
      </c>
      <c r="F660" s="17" t="s">
        <v>79</v>
      </c>
      <c r="G660" s="17">
        <v>434.84395804102201</v>
      </c>
      <c r="H660" s="17">
        <v>371.91580400361102</v>
      </c>
      <c r="I660" s="17" t="s">
        <v>115</v>
      </c>
    </row>
    <row r="661" spans="1:9" ht="15.6" x14ac:dyDescent="0.3">
      <c r="A661" s="17" t="s">
        <v>58</v>
      </c>
      <c r="B661" s="17" t="s">
        <v>203</v>
      </c>
      <c r="C661" s="17" t="s">
        <v>113</v>
      </c>
      <c r="D661" s="17" t="s">
        <v>114</v>
      </c>
      <c r="E661" s="17" t="s">
        <v>81</v>
      </c>
      <c r="F661" s="17" t="s">
        <v>81</v>
      </c>
      <c r="G661" s="17">
        <v>32.457292334609697</v>
      </c>
      <c r="H661" s="17">
        <v>27.760256871886501</v>
      </c>
      <c r="I661" s="17" t="s">
        <v>115</v>
      </c>
    </row>
    <row r="662" spans="1:9" ht="15.6" x14ac:dyDescent="0.3">
      <c r="A662" s="17" t="s">
        <v>58</v>
      </c>
      <c r="B662" s="17" t="s">
        <v>203</v>
      </c>
      <c r="C662" s="17" t="s">
        <v>113</v>
      </c>
      <c r="D662" s="17" t="s">
        <v>114</v>
      </c>
      <c r="E662" s="17" t="s">
        <v>82</v>
      </c>
      <c r="F662" s="17" t="s">
        <v>82</v>
      </c>
      <c r="G662" s="17">
        <v>29.683095736074002</v>
      </c>
      <c r="H662" s="17">
        <v>25.3875262881235</v>
      </c>
      <c r="I662" s="17" t="s">
        <v>115</v>
      </c>
    </row>
    <row r="663" spans="1:9" ht="15.6" x14ac:dyDescent="0.3">
      <c r="A663" s="17" t="s">
        <v>58</v>
      </c>
      <c r="B663" s="17" t="s">
        <v>203</v>
      </c>
      <c r="C663" s="17" t="s">
        <v>113</v>
      </c>
      <c r="D663" s="17" t="s">
        <v>114</v>
      </c>
      <c r="E663" s="17" t="s">
        <v>83</v>
      </c>
      <c r="F663" s="17" t="s">
        <v>127</v>
      </c>
      <c r="G663" s="17">
        <v>0.44631061620468199</v>
      </c>
      <c r="H663" s="17">
        <v>0.38172307236117198</v>
      </c>
      <c r="I663" s="17" t="s">
        <v>115</v>
      </c>
    </row>
    <row r="664" spans="1:9" ht="15.6" x14ac:dyDescent="0.3">
      <c r="A664" s="17" t="s">
        <v>58</v>
      </c>
      <c r="B664" s="17" t="s">
        <v>203</v>
      </c>
      <c r="C664" s="17" t="s">
        <v>113</v>
      </c>
      <c r="D664" s="17" t="s">
        <v>114</v>
      </c>
      <c r="E664" s="17" t="s">
        <v>83</v>
      </c>
      <c r="F664" s="17" t="s">
        <v>128</v>
      </c>
      <c r="G664" s="17">
        <v>0.423569226335688</v>
      </c>
      <c r="H664" s="17">
        <v>0.36227268759467002</v>
      </c>
      <c r="I664" s="17" t="s">
        <v>115</v>
      </c>
    </row>
    <row r="665" spans="1:9" ht="15.6" x14ac:dyDescent="0.3">
      <c r="A665" s="17" t="s">
        <v>58</v>
      </c>
      <c r="B665" s="17" t="s">
        <v>203</v>
      </c>
      <c r="C665" s="17" t="s">
        <v>113</v>
      </c>
      <c r="D665" s="17" t="s">
        <v>114</v>
      </c>
      <c r="E665" s="17" t="s">
        <v>84</v>
      </c>
      <c r="F665" s="17" t="s">
        <v>177</v>
      </c>
      <c r="G665" s="17">
        <v>72.425910225588296</v>
      </c>
      <c r="H665" s="17">
        <v>61.944842820380003</v>
      </c>
      <c r="I665" s="17" t="s">
        <v>115</v>
      </c>
    </row>
    <row r="666" spans="1:9" ht="15.6" x14ac:dyDescent="0.3">
      <c r="A666" s="17" t="s">
        <v>58</v>
      </c>
      <c r="B666" s="17" t="s">
        <v>203</v>
      </c>
      <c r="C666" s="17" t="s">
        <v>113</v>
      </c>
      <c r="D666" s="17" t="s">
        <v>114</v>
      </c>
      <c r="E666" s="17" t="s">
        <v>84</v>
      </c>
      <c r="F666" s="17" t="s">
        <v>129</v>
      </c>
      <c r="G666" s="17">
        <v>504.64316121627098</v>
      </c>
      <c r="H666" s="17">
        <v>431.614061936599</v>
      </c>
      <c r="I666" s="17" t="s">
        <v>115</v>
      </c>
    </row>
    <row r="667" spans="1:9" ht="15.6" x14ac:dyDescent="0.3">
      <c r="A667" s="17" t="s">
        <v>58</v>
      </c>
      <c r="B667" s="17" t="s">
        <v>203</v>
      </c>
      <c r="C667" s="17" t="s">
        <v>113</v>
      </c>
      <c r="D667" s="17" t="s">
        <v>114</v>
      </c>
      <c r="E667" s="17" t="s">
        <v>85</v>
      </c>
      <c r="F667" s="17" t="s">
        <v>85</v>
      </c>
      <c r="G667" s="17">
        <v>36.936105642597603</v>
      </c>
      <c r="H667" s="17">
        <v>31.5909216922662</v>
      </c>
      <c r="I667" s="17" t="s">
        <v>115</v>
      </c>
    </row>
    <row r="668" spans="1:9" ht="15.6" x14ac:dyDescent="0.3">
      <c r="A668" s="17" t="s">
        <v>58</v>
      </c>
      <c r="B668" s="17" t="s">
        <v>203</v>
      </c>
      <c r="C668" s="17" t="s">
        <v>113</v>
      </c>
      <c r="D668" s="17" t="s">
        <v>114</v>
      </c>
      <c r="E668" s="17" t="s">
        <v>86</v>
      </c>
      <c r="F668" s="17" t="s">
        <v>86</v>
      </c>
      <c r="G668" s="17">
        <v>4.6379654694416503E-2</v>
      </c>
      <c r="H668" s="17">
        <v>3.9667853826904298E-2</v>
      </c>
      <c r="I668" s="17" t="s">
        <v>115</v>
      </c>
    </row>
    <row r="669" spans="1:9" ht="15.6" x14ac:dyDescent="0.3">
      <c r="A669" s="17" t="s">
        <v>58</v>
      </c>
      <c r="B669" s="17" t="s">
        <v>203</v>
      </c>
      <c r="C669" s="17" t="s">
        <v>113</v>
      </c>
      <c r="D669" s="17" t="s">
        <v>114</v>
      </c>
      <c r="E669" s="17" t="s">
        <v>87</v>
      </c>
      <c r="F669" s="17" t="s">
        <v>87</v>
      </c>
      <c r="G669" s="17">
        <v>0.4443338668804</v>
      </c>
      <c r="H669" s="17">
        <v>0.38003238700000003</v>
      </c>
      <c r="I669" s="17" t="s">
        <v>115</v>
      </c>
    </row>
    <row r="670" spans="1:9" ht="15.6" x14ac:dyDescent="0.3">
      <c r="A670" s="17" t="s">
        <v>58</v>
      </c>
      <c r="B670" s="17" t="s">
        <v>203</v>
      </c>
      <c r="C670" s="17" t="s">
        <v>113</v>
      </c>
      <c r="D670" s="17" t="s">
        <v>114</v>
      </c>
      <c r="E670" s="17" t="s">
        <v>88</v>
      </c>
      <c r="F670" s="17" t="s">
        <v>88</v>
      </c>
      <c r="G670" s="17">
        <v>2.8470203283791999</v>
      </c>
      <c r="H670" s="17">
        <v>2.4350156759999999</v>
      </c>
      <c r="I670" s="17" t="s">
        <v>115</v>
      </c>
    </row>
    <row r="671" spans="1:9" ht="15.6" x14ac:dyDescent="0.3">
      <c r="A671" s="17" t="s">
        <v>58</v>
      </c>
      <c r="B671" s="17" t="s">
        <v>203</v>
      </c>
      <c r="C671" s="17" t="s">
        <v>113</v>
      </c>
      <c r="D671" s="17" t="s">
        <v>114</v>
      </c>
      <c r="E671" s="17" t="s">
        <v>89</v>
      </c>
      <c r="F671" s="17" t="s">
        <v>89</v>
      </c>
      <c r="G671" s="17">
        <v>63.995142130223996</v>
      </c>
      <c r="H671" s="17">
        <v>54.734127719999996</v>
      </c>
      <c r="I671" s="17" t="s">
        <v>115</v>
      </c>
    </row>
    <row r="672" spans="1:9" ht="15.6" x14ac:dyDescent="0.3">
      <c r="A672" s="17" t="s">
        <v>58</v>
      </c>
      <c r="B672" s="17" t="s">
        <v>203</v>
      </c>
      <c r="C672" s="17" t="s">
        <v>113</v>
      </c>
      <c r="D672" s="17" t="s">
        <v>114</v>
      </c>
      <c r="E672" s="17" t="s">
        <v>90</v>
      </c>
      <c r="F672" s="17" t="s">
        <v>90</v>
      </c>
      <c r="G672" s="17">
        <v>60.058495587368803</v>
      </c>
      <c r="H672" s="17">
        <v>51.367170362101298</v>
      </c>
      <c r="I672" s="17" t="s">
        <v>115</v>
      </c>
    </row>
    <row r="673" spans="1:9" ht="15.6" x14ac:dyDescent="0.3">
      <c r="A673" s="17" t="s">
        <v>58</v>
      </c>
      <c r="B673" s="17" t="s">
        <v>203</v>
      </c>
      <c r="C673" s="17" t="s">
        <v>113</v>
      </c>
      <c r="D673" s="17" t="s">
        <v>114</v>
      </c>
      <c r="E673" s="17" t="s">
        <v>91</v>
      </c>
      <c r="F673" s="17" t="s">
        <v>91</v>
      </c>
      <c r="G673" s="17">
        <v>3.7294501871050798</v>
      </c>
      <c r="H673" s="17">
        <v>3.1897452848999999</v>
      </c>
      <c r="I673" s="17" t="s">
        <v>115</v>
      </c>
    </row>
    <row r="674" spans="1:9" ht="15.6" x14ac:dyDescent="0.3">
      <c r="A674" s="17" t="s">
        <v>58</v>
      </c>
      <c r="B674" s="17" t="s">
        <v>203</v>
      </c>
      <c r="C674" s="17" t="s">
        <v>113</v>
      </c>
      <c r="D674" s="17" t="s">
        <v>114</v>
      </c>
      <c r="E674" s="17" t="s">
        <v>92</v>
      </c>
      <c r="F674" s="17" t="s">
        <v>92</v>
      </c>
      <c r="G674" s="17">
        <v>1.3822046154574199</v>
      </c>
      <c r="H674" s="17">
        <v>1.18217979426738</v>
      </c>
      <c r="I674" s="17" t="s">
        <v>115</v>
      </c>
    </row>
    <row r="675" spans="1:9" ht="15.6" x14ac:dyDescent="0.3">
      <c r="A675" s="17" t="s">
        <v>58</v>
      </c>
      <c r="B675" s="17" t="s">
        <v>203</v>
      </c>
      <c r="C675" s="17" t="s">
        <v>113</v>
      </c>
      <c r="D675" s="17" t="s">
        <v>114</v>
      </c>
      <c r="E675" s="17" t="s">
        <v>93</v>
      </c>
      <c r="F675" s="17" t="s">
        <v>130</v>
      </c>
      <c r="G675" s="17">
        <v>200.78162764160001</v>
      </c>
      <c r="H675" s="17">
        <v>171.72564800000001</v>
      </c>
      <c r="I675" s="17" t="s">
        <v>115</v>
      </c>
    </row>
    <row r="676" spans="1:9" ht="15.6" x14ac:dyDescent="0.3">
      <c r="A676" s="17" t="s">
        <v>58</v>
      </c>
      <c r="B676" s="17" t="s">
        <v>203</v>
      </c>
      <c r="C676" s="17" t="s">
        <v>113</v>
      </c>
      <c r="D676" s="17" t="s">
        <v>114</v>
      </c>
      <c r="E676" s="17" t="s">
        <v>93</v>
      </c>
      <c r="F676" s="17" t="s">
        <v>131</v>
      </c>
      <c r="G676" s="17">
        <v>24.650711279999999</v>
      </c>
      <c r="H676" s="17">
        <v>21.083400000000001</v>
      </c>
      <c r="I676" s="17" t="s">
        <v>115</v>
      </c>
    </row>
    <row r="677" spans="1:9" ht="15.6" x14ac:dyDescent="0.3">
      <c r="A677" s="17" t="s">
        <v>58</v>
      </c>
      <c r="B677" s="17" t="s">
        <v>203</v>
      </c>
      <c r="C677" s="17" t="s">
        <v>113</v>
      </c>
      <c r="D677" s="17" t="s">
        <v>114</v>
      </c>
      <c r="E677" s="17" t="s">
        <v>93</v>
      </c>
      <c r="F677" s="17" t="s">
        <v>132</v>
      </c>
      <c r="G677" s="17">
        <v>0.42759047039999998</v>
      </c>
      <c r="H677" s="17">
        <v>0.36571199999999998</v>
      </c>
      <c r="I677" s="17" t="s">
        <v>115</v>
      </c>
    </row>
    <row r="678" spans="1:9" ht="15.6" x14ac:dyDescent="0.3">
      <c r="A678" s="17" t="s">
        <v>58</v>
      </c>
      <c r="B678" s="17" t="s">
        <v>203</v>
      </c>
      <c r="C678" s="17" t="s">
        <v>113</v>
      </c>
      <c r="D678" s="17" t="s">
        <v>114</v>
      </c>
      <c r="E678" s="17" t="s">
        <v>93</v>
      </c>
      <c r="F678" s="17" t="s">
        <v>133</v>
      </c>
      <c r="G678" s="17">
        <v>6.3836905645161304</v>
      </c>
      <c r="H678" s="17">
        <v>5.4598790322580699</v>
      </c>
      <c r="I678" s="17" t="s">
        <v>115</v>
      </c>
    </row>
    <row r="679" spans="1:9" ht="15.6" x14ac:dyDescent="0.3">
      <c r="A679" s="17" t="s">
        <v>58</v>
      </c>
      <c r="B679" s="17" t="s">
        <v>203</v>
      </c>
      <c r="C679" s="17" t="s">
        <v>113</v>
      </c>
      <c r="D679" s="17" t="s">
        <v>114</v>
      </c>
      <c r="E679" s="17" t="s">
        <v>93</v>
      </c>
      <c r="F679" s="17" t="s">
        <v>134</v>
      </c>
      <c r="G679" s="17">
        <v>0.72789364440000004</v>
      </c>
      <c r="H679" s="17">
        <v>0.62255700000000003</v>
      </c>
      <c r="I679" s="17" t="s">
        <v>115</v>
      </c>
    </row>
    <row r="680" spans="1:9" ht="15.6" x14ac:dyDescent="0.3">
      <c r="A680" s="17" t="s">
        <v>58</v>
      </c>
      <c r="B680" s="17" t="s">
        <v>203</v>
      </c>
      <c r="C680" s="17" t="s">
        <v>113</v>
      </c>
      <c r="D680" s="17" t="s">
        <v>114</v>
      </c>
      <c r="E680" s="17" t="s">
        <v>93</v>
      </c>
      <c r="F680" s="17" t="s">
        <v>135</v>
      </c>
      <c r="G680" s="17">
        <v>5.7113534193548396</v>
      </c>
      <c r="H680" s="17">
        <v>4.8848387096774202</v>
      </c>
      <c r="I680" s="17" t="s">
        <v>115</v>
      </c>
    </row>
    <row r="681" spans="1:9" ht="15.6" x14ac:dyDescent="0.3">
      <c r="A681" s="17" t="s">
        <v>58</v>
      </c>
      <c r="B681" s="17" t="s">
        <v>203</v>
      </c>
      <c r="C681" s="17" t="s">
        <v>113</v>
      </c>
      <c r="D681" s="17" t="s">
        <v>114</v>
      </c>
      <c r="E681" s="17" t="s">
        <v>93</v>
      </c>
      <c r="F681" s="17" t="s">
        <v>136</v>
      </c>
      <c r="G681" s="17">
        <v>27.9796705469053</v>
      </c>
      <c r="H681" s="17">
        <v>23.930611141725301</v>
      </c>
      <c r="I681" s="17" t="s">
        <v>115</v>
      </c>
    </row>
    <row r="682" spans="1:9" ht="15.6" x14ac:dyDescent="0.3">
      <c r="A682" s="17" t="s">
        <v>58</v>
      </c>
      <c r="B682" s="17" t="s">
        <v>203</v>
      </c>
      <c r="C682" s="17" t="s">
        <v>113</v>
      </c>
      <c r="D682" s="17" t="s">
        <v>114</v>
      </c>
      <c r="E682" s="17" t="s">
        <v>93</v>
      </c>
      <c r="F682" s="17" t="s">
        <v>137</v>
      </c>
      <c r="G682" s="17">
        <v>36.201483611999997</v>
      </c>
      <c r="H682" s="17">
        <v>30.962610000000002</v>
      </c>
      <c r="I682" s="17" t="s">
        <v>115</v>
      </c>
    </row>
    <row r="683" spans="1:9" ht="15.6" x14ac:dyDescent="0.3">
      <c r="A683" s="17" t="s">
        <v>58</v>
      </c>
      <c r="B683" s="17" t="s">
        <v>203</v>
      </c>
      <c r="C683" s="17" t="s">
        <v>113</v>
      </c>
      <c r="D683" s="17" t="s">
        <v>114</v>
      </c>
      <c r="E683" s="17" t="s">
        <v>94</v>
      </c>
      <c r="F683" s="17" t="s">
        <v>94</v>
      </c>
      <c r="G683" s="17">
        <v>4.3051580879999998</v>
      </c>
      <c r="H683" s="17">
        <v>3.68214</v>
      </c>
      <c r="I683" s="17" t="s">
        <v>115</v>
      </c>
    </row>
    <row r="684" spans="1:9" ht="15.6" x14ac:dyDescent="0.3">
      <c r="A684" s="17" t="s">
        <v>58</v>
      </c>
      <c r="B684" s="17" t="s">
        <v>203</v>
      </c>
      <c r="C684" s="17" t="s">
        <v>113</v>
      </c>
      <c r="D684" s="17" t="s">
        <v>114</v>
      </c>
      <c r="E684" s="17" t="s">
        <v>95</v>
      </c>
      <c r="F684" s="17" t="s">
        <v>138</v>
      </c>
      <c r="G684" s="17">
        <v>100.83742015999999</v>
      </c>
      <c r="H684" s="17">
        <v>86.244799999999998</v>
      </c>
      <c r="I684" s="17" t="s">
        <v>115</v>
      </c>
    </row>
    <row r="685" spans="1:9" ht="15.6" x14ac:dyDescent="0.3">
      <c r="A685" s="17" t="s">
        <v>58</v>
      </c>
      <c r="B685" s="17" t="s">
        <v>203</v>
      </c>
      <c r="C685" s="17" t="s">
        <v>113</v>
      </c>
      <c r="D685" s="17" t="s">
        <v>114</v>
      </c>
      <c r="E685" s="17" t="s">
        <v>98</v>
      </c>
      <c r="F685" s="17" t="s">
        <v>139</v>
      </c>
      <c r="G685" s="17">
        <v>41.930434999999903</v>
      </c>
      <c r="H685" s="17">
        <v>35.862499999999898</v>
      </c>
      <c r="I685" s="17" t="s">
        <v>115</v>
      </c>
    </row>
    <row r="686" spans="1:9" ht="15.6" x14ac:dyDescent="0.3">
      <c r="A686" s="17" t="s">
        <v>58</v>
      </c>
      <c r="B686" s="17" t="s">
        <v>203</v>
      </c>
      <c r="C686" s="17" t="s">
        <v>113</v>
      </c>
      <c r="D686" s="17" t="s">
        <v>114</v>
      </c>
      <c r="E686" s="17" t="s">
        <v>98</v>
      </c>
      <c r="F686" s="17" t="s">
        <v>140</v>
      </c>
      <c r="G686" s="17">
        <v>2707.6026685000002</v>
      </c>
      <c r="H686" s="17">
        <v>2315.7737499999998</v>
      </c>
      <c r="I686" s="17" t="s">
        <v>115</v>
      </c>
    </row>
    <row r="687" spans="1:9" ht="15.6" x14ac:dyDescent="0.3">
      <c r="A687" s="17" t="s">
        <v>58</v>
      </c>
      <c r="B687" s="17" t="s">
        <v>203</v>
      </c>
      <c r="C687" s="17" t="s">
        <v>113</v>
      </c>
      <c r="D687" s="17" t="s">
        <v>114</v>
      </c>
      <c r="E687" s="17" t="s">
        <v>98</v>
      </c>
      <c r="F687" s="17" t="s">
        <v>141</v>
      </c>
      <c r="G687" s="17">
        <v>21.000812096774201</v>
      </c>
      <c r="H687" s="17">
        <v>17.9616935483871</v>
      </c>
      <c r="I687" s="17" t="s">
        <v>115</v>
      </c>
    </row>
    <row r="688" spans="1:9" ht="15.6" x14ac:dyDescent="0.3">
      <c r="A688" s="17" t="s">
        <v>58</v>
      </c>
      <c r="B688" s="17" t="s">
        <v>203</v>
      </c>
      <c r="C688" s="17" t="s">
        <v>113</v>
      </c>
      <c r="D688" s="17" t="s">
        <v>114</v>
      </c>
      <c r="E688" s="17" t="s">
        <v>96</v>
      </c>
      <c r="F688" s="17" t="s">
        <v>96</v>
      </c>
      <c r="G688" s="17">
        <v>1.4522710565964001</v>
      </c>
      <c r="H688" s="17">
        <v>1.2421066169999999</v>
      </c>
      <c r="I688" s="17" t="s">
        <v>115</v>
      </c>
    </row>
    <row r="689" spans="1:9" ht="15.6" x14ac:dyDescent="0.3">
      <c r="A689" s="17" t="s">
        <v>58</v>
      </c>
      <c r="B689" s="17" t="s">
        <v>203</v>
      </c>
      <c r="C689" s="17" t="s">
        <v>113</v>
      </c>
      <c r="D689" s="17" t="s">
        <v>114</v>
      </c>
      <c r="E689" s="17" t="s">
        <v>97</v>
      </c>
      <c r="F689" s="17" t="s">
        <v>97</v>
      </c>
      <c r="G689" s="17">
        <v>26.65776</v>
      </c>
      <c r="H689" s="17">
        <v>22.8</v>
      </c>
      <c r="I689" s="17" t="s">
        <v>115</v>
      </c>
    </row>
    <row r="690" spans="1:9" ht="15.6" x14ac:dyDescent="0.3">
      <c r="A690" s="17" t="s">
        <v>58</v>
      </c>
      <c r="B690" s="17" t="s">
        <v>203</v>
      </c>
      <c r="C690" s="17" t="s">
        <v>113</v>
      </c>
      <c r="D690" s="17" t="s">
        <v>114</v>
      </c>
      <c r="E690" s="17" t="s">
        <v>99</v>
      </c>
      <c r="F690" s="17" t="s">
        <v>142</v>
      </c>
      <c r="G690" s="17">
        <v>32.4458350159818</v>
      </c>
      <c r="H690" s="17">
        <v>27.750457591499998</v>
      </c>
      <c r="I690" s="17" t="s">
        <v>115</v>
      </c>
    </row>
    <row r="691" spans="1:9" ht="15.6" x14ac:dyDescent="0.3">
      <c r="A691" s="17" t="s">
        <v>58</v>
      </c>
      <c r="B691" s="17" t="s">
        <v>203</v>
      </c>
      <c r="C691" s="17" t="s">
        <v>113</v>
      </c>
      <c r="D691" s="17" t="s">
        <v>114</v>
      </c>
      <c r="E691" s="17" t="s">
        <v>99</v>
      </c>
      <c r="F691" s="17" t="s">
        <v>143</v>
      </c>
      <c r="G691" s="17">
        <v>4.4945870260401399</v>
      </c>
      <c r="H691" s="17">
        <v>3.8441558553199999</v>
      </c>
      <c r="I691" s="17" t="s">
        <v>115</v>
      </c>
    </row>
    <row r="692" spans="1:9" ht="15.6" x14ac:dyDescent="0.3">
      <c r="A692" s="17" t="s">
        <v>58</v>
      </c>
      <c r="B692" s="17" t="s">
        <v>203</v>
      </c>
      <c r="C692" s="17" t="s">
        <v>113</v>
      </c>
      <c r="D692" s="17" t="s">
        <v>114</v>
      </c>
      <c r="E692" s="17" t="s">
        <v>99</v>
      </c>
      <c r="F692" s="17" t="s">
        <v>144</v>
      </c>
      <c r="G692" s="17">
        <v>9.9243204307752801</v>
      </c>
      <c r="H692" s="17">
        <v>8.4881290033999992</v>
      </c>
      <c r="I692" s="17" t="s">
        <v>115</v>
      </c>
    </row>
    <row r="693" spans="1:9" ht="15.6" x14ac:dyDescent="0.3">
      <c r="A693" s="17" t="s">
        <v>58</v>
      </c>
      <c r="B693" s="17" t="s">
        <v>203</v>
      </c>
      <c r="C693" s="17" t="s">
        <v>113</v>
      </c>
      <c r="D693" s="17" t="s">
        <v>114</v>
      </c>
      <c r="E693" s="17" t="s">
        <v>99</v>
      </c>
      <c r="F693" s="17" t="s">
        <v>145</v>
      </c>
      <c r="G693" s="17">
        <v>1.7709872400000001E-5</v>
      </c>
      <c r="H693" s="17">
        <v>1.5147000000000001E-5</v>
      </c>
      <c r="I693" s="17" t="s">
        <v>115</v>
      </c>
    </row>
    <row r="694" spans="1:9" ht="15.6" x14ac:dyDescent="0.3">
      <c r="A694" s="17" t="s">
        <v>58</v>
      </c>
      <c r="B694" s="17" t="s">
        <v>203</v>
      </c>
      <c r="C694" s="17" t="s">
        <v>113</v>
      </c>
      <c r="D694" s="17" t="s">
        <v>114</v>
      </c>
      <c r="E694" s="17" t="s">
        <v>99</v>
      </c>
      <c r="F694" s="17" t="s">
        <v>146</v>
      </c>
      <c r="G694" s="17">
        <v>1.019218438064E-2</v>
      </c>
      <c r="H694" s="17">
        <v>8.7172291999999992E-3</v>
      </c>
      <c r="I694" s="17" t="s">
        <v>115</v>
      </c>
    </row>
    <row r="695" spans="1:9" ht="15.6" x14ac:dyDescent="0.3">
      <c r="A695" s="17" t="s">
        <v>58</v>
      </c>
      <c r="B695" s="17" t="s">
        <v>203</v>
      </c>
      <c r="C695" s="17" t="s">
        <v>113</v>
      </c>
      <c r="D695" s="17" t="s">
        <v>114</v>
      </c>
      <c r="E695" s="17" t="s">
        <v>99</v>
      </c>
      <c r="F695" s="17" t="s">
        <v>147</v>
      </c>
      <c r="G695" s="17">
        <v>0.88562007108455998</v>
      </c>
      <c r="H695" s="17">
        <v>0.75745815179999998</v>
      </c>
      <c r="I695" s="17" t="s">
        <v>115</v>
      </c>
    </row>
    <row r="696" spans="1:9" ht="15.6" x14ac:dyDescent="0.3">
      <c r="A696" s="17" t="s">
        <v>58</v>
      </c>
      <c r="B696" s="17" t="s">
        <v>203</v>
      </c>
      <c r="C696" s="17" t="s">
        <v>113</v>
      </c>
      <c r="D696" s="17" t="s">
        <v>114</v>
      </c>
      <c r="E696" s="17" t="s">
        <v>99</v>
      </c>
      <c r="F696" s="17" t="s">
        <v>148</v>
      </c>
      <c r="G696" s="17">
        <v>263.27210839604902</v>
      </c>
      <c r="H696" s="17">
        <v>225.17286041400001</v>
      </c>
      <c r="I696" s="17" t="s">
        <v>115</v>
      </c>
    </row>
    <row r="697" spans="1:9" ht="15.6" x14ac:dyDescent="0.3">
      <c r="A697" s="17" t="s">
        <v>58</v>
      </c>
      <c r="B697" s="17" t="s">
        <v>203</v>
      </c>
      <c r="C697" s="17" t="s">
        <v>113</v>
      </c>
      <c r="D697" s="17" t="s">
        <v>114</v>
      </c>
      <c r="E697" s="17" t="s">
        <v>99</v>
      </c>
      <c r="F697" s="17" t="s">
        <v>149</v>
      </c>
      <c r="G697" s="17">
        <v>8.9233343999999998E-7</v>
      </c>
      <c r="H697" s="17">
        <v>7.6319999999999995E-7</v>
      </c>
      <c r="I697" s="17" t="s">
        <v>115</v>
      </c>
    </row>
    <row r="698" spans="1:9" ht="15.6" x14ac:dyDescent="0.3">
      <c r="A698" s="17" t="s">
        <v>58</v>
      </c>
      <c r="B698" s="17" t="s">
        <v>203</v>
      </c>
      <c r="C698" s="17" t="s">
        <v>113</v>
      </c>
      <c r="D698" s="17" t="s">
        <v>114</v>
      </c>
      <c r="E698" s="17" t="s">
        <v>99</v>
      </c>
      <c r="F698" s="17" t="s">
        <v>150</v>
      </c>
      <c r="G698" s="17">
        <v>7.5002776959999997E-5</v>
      </c>
      <c r="H698" s="17">
        <v>6.4148799999999998E-5</v>
      </c>
      <c r="I698" s="17" t="s">
        <v>115</v>
      </c>
    </row>
    <row r="699" spans="1:9" ht="15.6" x14ac:dyDescent="0.3">
      <c r="A699" s="17" t="s">
        <v>58</v>
      </c>
      <c r="B699" s="17" t="s">
        <v>203</v>
      </c>
      <c r="C699" s="17" t="s">
        <v>113</v>
      </c>
      <c r="D699" s="17" t="s">
        <v>114</v>
      </c>
      <c r="E699" s="17" t="s">
        <v>99</v>
      </c>
      <c r="F699" s="17" t="s">
        <v>151</v>
      </c>
      <c r="G699" s="17">
        <v>2.1802632287788799</v>
      </c>
      <c r="H699" s="17">
        <v>1.8647478864</v>
      </c>
      <c r="I699" s="17" t="s">
        <v>115</v>
      </c>
    </row>
    <row r="700" spans="1:9" ht="15.6" x14ac:dyDescent="0.3">
      <c r="A700" s="17" t="s">
        <v>58</v>
      </c>
      <c r="B700" s="17" t="s">
        <v>203</v>
      </c>
      <c r="C700" s="17" t="s">
        <v>113</v>
      </c>
      <c r="D700" s="17" t="s">
        <v>114</v>
      </c>
      <c r="E700" s="17" t="s">
        <v>99</v>
      </c>
      <c r="F700" s="17" t="s">
        <v>152</v>
      </c>
      <c r="G700" s="17">
        <v>7.6884423280150003</v>
      </c>
      <c r="H700" s="17">
        <v>6.5758145125</v>
      </c>
      <c r="I700" s="17" t="s">
        <v>115</v>
      </c>
    </row>
    <row r="701" spans="1:9" ht="15.6" x14ac:dyDescent="0.3">
      <c r="A701" s="17" t="s">
        <v>58</v>
      </c>
      <c r="B701" s="17" t="s">
        <v>203</v>
      </c>
      <c r="C701" s="17" t="s">
        <v>113</v>
      </c>
      <c r="D701" s="17" t="s">
        <v>114</v>
      </c>
      <c r="E701" s="17" t="s">
        <v>99</v>
      </c>
      <c r="F701" s="17" t="s">
        <v>153</v>
      </c>
      <c r="G701" s="17">
        <v>0.46532073165072002</v>
      </c>
      <c r="H701" s="17">
        <v>0.3979821516</v>
      </c>
      <c r="I701" s="17" t="s">
        <v>115</v>
      </c>
    </row>
    <row r="702" spans="1:9" ht="15.6" x14ac:dyDescent="0.3">
      <c r="A702" s="17" t="s">
        <v>58</v>
      </c>
      <c r="B702" s="17" t="s">
        <v>203</v>
      </c>
      <c r="C702" s="17" t="s">
        <v>113</v>
      </c>
      <c r="D702" s="17" t="s">
        <v>114</v>
      </c>
      <c r="E702" s="17" t="s">
        <v>99</v>
      </c>
      <c r="F702" s="17" t="s">
        <v>154</v>
      </c>
      <c r="G702" s="17">
        <v>1.4724706035999999E-4</v>
      </c>
      <c r="H702" s="17">
        <v>1.2593829999999999E-4</v>
      </c>
      <c r="I702" s="17" t="s">
        <v>115</v>
      </c>
    </row>
    <row r="703" spans="1:9" ht="15.6" x14ac:dyDescent="0.3">
      <c r="A703" s="17" t="s">
        <v>58</v>
      </c>
      <c r="B703" s="17" t="s">
        <v>203</v>
      </c>
      <c r="C703" s="17" t="s">
        <v>113</v>
      </c>
      <c r="D703" s="17" t="s">
        <v>114</v>
      </c>
      <c r="E703" s="17" t="s">
        <v>101</v>
      </c>
      <c r="F703" s="17" t="s">
        <v>170</v>
      </c>
      <c r="G703" s="17">
        <v>16.1383717</v>
      </c>
      <c r="H703" s="17">
        <v>13.8029179781047</v>
      </c>
      <c r="I703" s="17" t="s">
        <v>115</v>
      </c>
    </row>
    <row r="704" spans="1:9" ht="15.6" x14ac:dyDescent="0.3">
      <c r="A704" s="17" t="s">
        <v>58</v>
      </c>
      <c r="B704" s="17" t="s">
        <v>203</v>
      </c>
      <c r="C704" s="17" t="s">
        <v>113</v>
      </c>
      <c r="D704" s="17" t="s">
        <v>114</v>
      </c>
      <c r="E704" s="17" t="s">
        <v>101</v>
      </c>
      <c r="F704" s="17" t="s">
        <v>155</v>
      </c>
      <c r="G704" s="17">
        <v>0.37361172788351998</v>
      </c>
      <c r="H704" s="17">
        <v>0.31954475528867599</v>
      </c>
      <c r="I704" s="17" t="s">
        <v>115</v>
      </c>
    </row>
    <row r="705" spans="1:9" ht="15.6" x14ac:dyDescent="0.3">
      <c r="A705" s="17" t="s">
        <v>58</v>
      </c>
      <c r="B705" s="17" t="s">
        <v>203</v>
      </c>
      <c r="C705" s="17" t="s">
        <v>113</v>
      </c>
      <c r="D705" s="17" t="s">
        <v>114</v>
      </c>
      <c r="E705" s="17" t="s">
        <v>101</v>
      </c>
      <c r="F705" s="17" t="s">
        <v>178</v>
      </c>
      <c r="G705" s="17">
        <v>43.721762483153299</v>
      </c>
      <c r="H705" s="17">
        <v>37.394596718400003</v>
      </c>
      <c r="I705" s="17" t="s">
        <v>115</v>
      </c>
    </row>
    <row r="706" spans="1:9" ht="15.6" x14ac:dyDescent="0.3">
      <c r="A706" s="17" t="s">
        <v>58</v>
      </c>
      <c r="B706" s="17" t="s">
        <v>203</v>
      </c>
      <c r="C706" s="17" t="s">
        <v>113</v>
      </c>
      <c r="D706" s="17" t="s">
        <v>114</v>
      </c>
      <c r="E706" s="17" t="s">
        <v>101</v>
      </c>
      <c r="F706" s="17" t="s">
        <v>157</v>
      </c>
      <c r="G706" s="17">
        <v>1388.5179000253499</v>
      </c>
      <c r="H706" s="17">
        <v>1187.57945606</v>
      </c>
      <c r="I706" s="17" t="s">
        <v>115</v>
      </c>
    </row>
    <row r="707" spans="1:9" ht="15.6" x14ac:dyDescent="0.3">
      <c r="A707" s="17" t="s">
        <v>58</v>
      </c>
      <c r="B707" s="17" t="s">
        <v>203</v>
      </c>
      <c r="C707" s="17" t="s">
        <v>113</v>
      </c>
      <c r="D707" s="17" t="s">
        <v>114</v>
      </c>
      <c r="E707" s="17" t="s">
        <v>101</v>
      </c>
      <c r="F707" s="17" t="s">
        <v>158</v>
      </c>
      <c r="G707" s="17">
        <v>95.777940999999998</v>
      </c>
      <c r="H707" s="17">
        <v>81.917500000000004</v>
      </c>
      <c r="I707" s="17" t="s">
        <v>115</v>
      </c>
    </row>
    <row r="708" spans="1:9" ht="15.6" x14ac:dyDescent="0.3">
      <c r="A708" s="17" t="s">
        <v>58</v>
      </c>
      <c r="B708" s="17" t="s">
        <v>203</v>
      </c>
      <c r="C708" s="17" t="s">
        <v>113</v>
      </c>
      <c r="D708" s="17" t="s">
        <v>114</v>
      </c>
      <c r="E708" s="17" t="s">
        <v>101</v>
      </c>
      <c r="F708" s="17" t="s">
        <v>159</v>
      </c>
      <c r="G708" s="17">
        <v>25.485034152295601</v>
      </c>
      <c r="H708" s="17">
        <v>21.796984392999999</v>
      </c>
      <c r="I708" s="17" t="s">
        <v>115</v>
      </c>
    </row>
    <row r="709" spans="1:9" ht="15.6" x14ac:dyDescent="0.3">
      <c r="A709" s="17" t="s">
        <v>58</v>
      </c>
      <c r="B709" s="17" t="s">
        <v>203</v>
      </c>
      <c r="C709" s="17" t="s">
        <v>113</v>
      </c>
      <c r="D709" s="17" t="s">
        <v>114</v>
      </c>
      <c r="E709" s="17" t="s">
        <v>101</v>
      </c>
      <c r="F709" s="17" t="s">
        <v>160</v>
      </c>
      <c r="G709" s="17">
        <v>94.147713650956405</v>
      </c>
      <c r="H709" s="17">
        <v>80.523189916999996</v>
      </c>
      <c r="I709" s="17" t="s">
        <v>115</v>
      </c>
    </row>
    <row r="710" spans="1:9" ht="15.6" x14ac:dyDescent="0.3">
      <c r="A710" s="17" t="s">
        <v>58</v>
      </c>
      <c r="B710" s="17" t="s">
        <v>203</v>
      </c>
      <c r="C710" s="17" t="s">
        <v>113</v>
      </c>
      <c r="D710" s="17" t="s">
        <v>114</v>
      </c>
      <c r="E710" s="17" t="s">
        <v>101</v>
      </c>
      <c r="F710" s="17" t="s">
        <v>162</v>
      </c>
      <c r="G710" s="17">
        <v>44.165681035105401</v>
      </c>
      <c r="H710" s="17">
        <v>37.774273892495202</v>
      </c>
      <c r="I710" s="17" t="s">
        <v>115</v>
      </c>
    </row>
    <row r="711" spans="1:9" ht="15.6" x14ac:dyDescent="0.3">
      <c r="A711" s="17" t="s">
        <v>58</v>
      </c>
      <c r="B711" s="17" t="s">
        <v>203</v>
      </c>
      <c r="C711" s="17" t="s">
        <v>113</v>
      </c>
      <c r="D711" s="17" t="s">
        <v>114</v>
      </c>
      <c r="E711" s="17" t="s">
        <v>101</v>
      </c>
      <c r="F711" s="17" t="s">
        <v>163</v>
      </c>
      <c r="G711" s="17">
        <v>60.026727999999999</v>
      </c>
      <c r="H711" s="17">
        <v>51.34</v>
      </c>
      <c r="I711" s="17" t="s">
        <v>115</v>
      </c>
    </row>
    <row r="712" spans="1:9" ht="15.6" x14ac:dyDescent="0.3">
      <c r="A712" s="17" t="s">
        <v>58</v>
      </c>
      <c r="B712" s="17" t="s">
        <v>203</v>
      </c>
      <c r="C712" s="17" t="s">
        <v>113</v>
      </c>
      <c r="D712" s="17" t="s">
        <v>114</v>
      </c>
      <c r="E712" s="17" t="s">
        <v>102</v>
      </c>
      <c r="F712" s="17" t="s">
        <v>165</v>
      </c>
      <c r="G712" s="17">
        <v>6.6367299600000003</v>
      </c>
      <c r="H712" s="17">
        <v>5.6763000000000003</v>
      </c>
      <c r="I712" s="17" t="s">
        <v>115</v>
      </c>
    </row>
    <row r="713" spans="1:9" ht="15.6" x14ac:dyDescent="0.3">
      <c r="A713" s="17" t="s">
        <v>58</v>
      </c>
      <c r="B713" s="17" t="s">
        <v>203</v>
      </c>
      <c r="C713" s="17" t="s">
        <v>113</v>
      </c>
      <c r="D713" s="17" t="s">
        <v>114</v>
      </c>
      <c r="E713" s="17" t="s">
        <v>102</v>
      </c>
      <c r="F713" s="17" t="s">
        <v>166</v>
      </c>
      <c r="G713" s="17">
        <v>104.09588524528699</v>
      </c>
      <c r="H713" s="17">
        <v>89.031718478692198</v>
      </c>
      <c r="I713" s="17" t="s">
        <v>115</v>
      </c>
    </row>
    <row r="714" spans="1:9" ht="15.6" x14ac:dyDescent="0.3">
      <c r="A714" s="17" t="s">
        <v>58</v>
      </c>
      <c r="B714" s="17" t="s">
        <v>203</v>
      </c>
      <c r="C714" s="17" t="s">
        <v>113</v>
      </c>
      <c r="D714" s="17" t="s">
        <v>114</v>
      </c>
      <c r="E714" s="17" t="s">
        <v>103</v>
      </c>
      <c r="F714" s="17" t="s">
        <v>103</v>
      </c>
      <c r="G714" s="17">
        <v>6.6574248000000003</v>
      </c>
      <c r="H714" s="17">
        <v>5.694</v>
      </c>
      <c r="I714" s="17" t="s">
        <v>115</v>
      </c>
    </row>
    <row r="715" spans="1:9" ht="15.6" x14ac:dyDescent="0.3">
      <c r="A715" s="17" t="s">
        <v>58</v>
      </c>
      <c r="B715" s="17" t="s">
        <v>203</v>
      </c>
      <c r="C715" s="17" t="s">
        <v>167</v>
      </c>
      <c r="D715" s="17" t="s">
        <v>168</v>
      </c>
      <c r="E715" s="17" t="s">
        <v>100</v>
      </c>
      <c r="F715" s="17" t="s">
        <v>100</v>
      </c>
      <c r="G715" s="17">
        <v>0</v>
      </c>
      <c r="H715" s="17">
        <v>0</v>
      </c>
      <c r="I715" s="17" t="s">
        <v>115</v>
      </c>
    </row>
    <row r="716" spans="1:9" ht="15.6" x14ac:dyDescent="0.3">
      <c r="A716" s="17" t="s">
        <v>58</v>
      </c>
      <c r="B716" s="17" t="s">
        <v>203</v>
      </c>
      <c r="C716" s="17" t="s">
        <v>167</v>
      </c>
      <c r="D716" s="17" t="s">
        <v>114</v>
      </c>
      <c r="E716" s="17" t="s">
        <v>100</v>
      </c>
      <c r="F716" s="17" t="s">
        <v>100</v>
      </c>
      <c r="G716" s="17">
        <v>56.159014399999997</v>
      </c>
      <c r="H716" s="17">
        <v>48.031999999999996</v>
      </c>
      <c r="I716" s="17" t="s">
        <v>115</v>
      </c>
    </row>
    <row r="717" spans="1:9" ht="15.6" x14ac:dyDescent="0.3">
      <c r="A717" s="17" t="s">
        <v>195</v>
      </c>
      <c r="B717" s="17" t="s">
        <v>61</v>
      </c>
      <c r="C717" s="17" t="s">
        <v>113</v>
      </c>
      <c r="D717" s="17" t="s">
        <v>114</v>
      </c>
      <c r="E717" s="17" t="s">
        <v>71</v>
      </c>
      <c r="F717" s="17" t="s">
        <v>71</v>
      </c>
      <c r="G717" s="17">
        <v>11.806608000000001</v>
      </c>
      <c r="H717" s="17">
        <v>11.327999999999999</v>
      </c>
      <c r="I717" s="17" t="s">
        <v>115</v>
      </c>
    </row>
    <row r="718" spans="1:9" ht="15.6" x14ac:dyDescent="0.3">
      <c r="A718" s="17" t="s">
        <v>195</v>
      </c>
      <c r="B718" s="17" t="s">
        <v>61</v>
      </c>
      <c r="C718" s="17" t="s">
        <v>113</v>
      </c>
      <c r="D718" s="17" t="s">
        <v>114</v>
      </c>
      <c r="E718" s="17" t="s">
        <v>72</v>
      </c>
      <c r="F718" s="17" t="s">
        <v>116</v>
      </c>
      <c r="G718" s="17">
        <v>92.908039561898605</v>
      </c>
      <c r="H718" s="17">
        <v>89.1417985722222</v>
      </c>
      <c r="I718" s="17" t="s">
        <v>115</v>
      </c>
    </row>
    <row r="719" spans="1:9" ht="15.6" x14ac:dyDescent="0.3">
      <c r="A719" s="17" t="s">
        <v>195</v>
      </c>
      <c r="B719" s="17" t="s">
        <v>61</v>
      </c>
      <c r="C719" s="17" t="s">
        <v>113</v>
      </c>
      <c r="D719" s="17" t="s">
        <v>114</v>
      </c>
      <c r="E719" s="17" t="s">
        <v>73</v>
      </c>
      <c r="F719" s="17" t="s">
        <v>117</v>
      </c>
      <c r="G719" s="17">
        <v>0</v>
      </c>
      <c r="H719" s="17">
        <v>0</v>
      </c>
      <c r="I719" s="17" t="s">
        <v>115</v>
      </c>
    </row>
    <row r="720" spans="1:9" ht="15.6" x14ac:dyDescent="0.3">
      <c r="A720" s="17" t="s">
        <v>195</v>
      </c>
      <c r="B720" s="17" t="s">
        <v>61</v>
      </c>
      <c r="C720" s="17" t="s">
        <v>113</v>
      </c>
      <c r="D720" s="17" t="s">
        <v>114</v>
      </c>
      <c r="E720" s="17" t="s">
        <v>73</v>
      </c>
      <c r="F720" s="17" t="s">
        <v>119</v>
      </c>
      <c r="G720" s="17">
        <v>93.351647914140003</v>
      </c>
      <c r="H720" s="17">
        <v>89.567424239999994</v>
      </c>
      <c r="I720" s="17" t="s">
        <v>115</v>
      </c>
    </row>
    <row r="721" spans="1:9" ht="15.6" x14ac:dyDescent="0.3">
      <c r="A721" s="17" t="s">
        <v>195</v>
      </c>
      <c r="B721" s="17" t="s">
        <v>61</v>
      </c>
      <c r="C721" s="17" t="s">
        <v>113</v>
      </c>
      <c r="D721" s="17" t="s">
        <v>114</v>
      </c>
      <c r="E721" s="17" t="s">
        <v>73</v>
      </c>
      <c r="F721" s="17" t="s">
        <v>120</v>
      </c>
      <c r="G721" s="17">
        <v>2.8413805222602702</v>
      </c>
      <c r="H721" s="17">
        <v>2.7261986301369898</v>
      </c>
      <c r="I721" s="17" t="s">
        <v>115</v>
      </c>
    </row>
    <row r="722" spans="1:9" ht="15.6" x14ac:dyDescent="0.3">
      <c r="A722" s="17" t="s">
        <v>195</v>
      </c>
      <c r="B722" s="17" t="s">
        <v>61</v>
      </c>
      <c r="C722" s="17" t="s">
        <v>113</v>
      </c>
      <c r="D722" s="17" t="s">
        <v>114</v>
      </c>
      <c r="E722" s="17" t="s">
        <v>75</v>
      </c>
      <c r="F722" s="17" t="s">
        <v>75</v>
      </c>
      <c r="G722" s="17">
        <v>56.847284158644797</v>
      </c>
      <c r="H722" s="17">
        <v>54.542848796972699</v>
      </c>
      <c r="I722" s="17" t="s">
        <v>115</v>
      </c>
    </row>
    <row r="723" spans="1:9" ht="15.6" x14ac:dyDescent="0.3">
      <c r="A723" s="17" t="s">
        <v>195</v>
      </c>
      <c r="B723" s="17" t="s">
        <v>61</v>
      </c>
      <c r="C723" s="17" t="s">
        <v>113</v>
      </c>
      <c r="D723" s="17" t="s">
        <v>114</v>
      </c>
      <c r="E723" s="17" t="s">
        <v>80</v>
      </c>
      <c r="F723" s="17" t="s">
        <v>80</v>
      </c>
      <c r="G723" s="17">
        <v>0.174366546464539</v>
      </c>
      <c r="H723" s="17">
        <v>0.16729819761529299</v>
      </c>
      <c r="I723" s="17" t="s">
        <v>115</v>
      </c>
    </row>
    <row r="724" spans="1:9" ht="15.6" x14ac:dyDescent="0.3">
      <c r="A724" s="17" t="s">
        <v>195</v>
      </c>
      <c r="B724" s="17" t="s">
        <v>61</v>
      </c>
      <c r="C724" s="17" t="s">
        <v>113</v>
      </c>
      <c r="D724" s="17" t="s">
        <v>114</v>
      </c>
      <c r="E724" s="17" t="s">
        <v>77</v>
      </c>
      <c r="F724" s="17" t="s">
        <v>77</v>
      </c>
      <c r="G724" s="17">
        <v>3.5050867499999999E-4</v>
      </c>
      <c r="H724" s="17">
        <v>3.3629999999999999E-4</v>
      </c>
      <c r="I724" s="17" t="s">
        <v>115</v>
      </c>
    </row>
    <row r="725" spans="1:9" ht="15.6" x14ac:dyDescent="0.3">
      <c r="A725" s="17" t="s">
        <v>195</v>
      </c>
      <c r="B725" s="17" t="s">
        <v>61</v>
      </c>
      <c r="C725" s="17" t="s">
        <v>113</v>
      </c>
      <c r="D725" s="17" t="s">
        <v>114</v>
      </c>
      <c r="E725" s="17" t="s">
        <v>78</v>
      </c>
      <c r="F725" s="17" t="s">
        <v>123</v>
      </c>
      <c r="G725" s="17">
        <v>1.86538094623656</v>
      </c>
      <c r="H725" s="17">
        <v>1.7897634408602201</v>
      </c>
      <c r="I725" s="17" t="s">
        <v>115</v>
      </c>
    </row>
    <row r="726" spans="1:9" ht="15.6" x14ac:dyDescent="0.3">
      <c r="A726" s="17" t="s">
        <v>195</v>
      </c>
      <c r="B726" s="17" t="s">
        <v>61</v>
      </c>
      <c r="C726" s="17" t="s">
        <v>113</v>
      </c>
      <c r="D726" s="17" t="s">
        <v>114</v>
      </c>
      <c r="E726" s="17" t="s">
        <v>78</v>
      </c>
      <c r="F726" s="17" t="s">
        <v>125</v>
      </c>
      <c r="G726" s="17">
        <v>128.60739649999999</v>
      </c>
      <c r="H726" s="17">
        <v>123.39400000000001</v>
      </c>
      <c r="I726" s="17" t="s">
        <v>115</v>
      </c>
    </row>
    <row r="727" spans="1:9" ht="15.6" x14ac:dyDescent="0.3">
      <c r="A727" s="17" t="s">
        <v>195</v>
      </c>
      <c r="B727" s="17" t="s">
        <v>61</v>
      </c>
      <c r="C727" s="17" t="s">
        <v>113</v>
      </c>
      <c r="D727" s="17" t="s">
        <v>114</v>
      </c>
      <c r="E727" s="17" t="s">
        <v>81</v>
      </c>
      <c r="F727" s="17" t="s">
        <v>81</v>
      </c>
      <c r="G727" s="17">
        <v>72.358412814848407</v>
      </c>
      <c r="H727" s="17">
        <v>69.425198191267398</v>
      </c>
      <c r="I727" s="17" t="s">
        <v>115</v>
      </c>
    </row>
    <row r="728" spans="1:9" ht="15.6" x14ac:dyDescent="0.3">
      <c r="A728" s="17" t="s">
        <v>195</v>
      </c>
      <c r="B728" s="17" t="s">
        <v>61</v>
      </c>
      <c r="C728" s="17" t="s">
        <v>113</v>
      </c>
      <c r="D728" s="17" t="s">
        <v>114</v>
      </c>
      <c r="E728" s="17" t="s">
        <v>83</v>
      </c>
      <c r="F728" s="17" t="s">
        <v>127</v>
      </c>
      <c r="G728" s="17">
        <v>6.1939231479464299E-2</v>
      </c>
      <c r="H728" s="17">
        <v>5.9428382326182999E-2</v>
      </c>
      <c r="I728" s="17" t="s">
        <v>115</v>
      </c>
    </row>
    <row r="729" spans="1:9" ht="15.6" x14ac:dyDescent="0.3">
      <c r="A729" s="17" t="s">
        <v>195</v>
      </c>
      <c r="B729" s="17" t="s">
        <v>61</v>
      </c>
      <c r="C729" s="17" t="s">
        <v>113</v>
      </c>
      <c r="D729" s="17" t="s">
        <v>114</v>
      </c>
      <c r="E729" s="17" t="s">
        <v>83</v>
      </c>
      <c r="F729" s="17" t="s">
        <v>128</v>
      </c>
      <c r="G729" s="17">
        <v>1.3771137211025001E-2</v>
      </c>
      <c r="H729" s="17">
        <v>1.32128925027825E-2</v>
      </c>
      <c r="I729" s="17" t="s">
        <v>115</v>
      </c>
    </row>
    <row r="730" spans="1:9" ht="15.6" x14ac:dyDescent="0.3">
      <c r="A730" s="17" t="s">
        <v>195</v>
      </c>
      <c r="B730" s="17" t="s">
        <v>61</v>
      </c>
      <c r="C730" s="17" t="s">
        <v>113</v>
      </c>
      <c r="D730" s="17" t="s">
        <v>114</v>
      </c>
      <c r="E730" s="17" t="s">
        <v>85</v>
      </c>
      <c r="F730" s="17" t="s">
        <v>85</v>
      </c>
      <c r="G730" s="17">
        <v>19.8193348855363</v>
      </c>
      <c r="H730" s="17">
        <v>19.015912579070601</v>
      </c>
      <c r="I730" s="17" t="s">
        <v>115</v>
      </c>
    </row>
    <row r="731" spans="1:9" ht="15.6" x14ac:dyDescent="0.3">
      <c r="A731" s="17" t="s">
        <v>195</v>
      </c>
      <c r="B731" s="17" t="s">
        <v>61</v>
      </c>
      <c r="C731" s="17" t="s">
        <v>113</v>
      </c>
      <c r="D731" s="17" t="s">
        <v>114</v>
      </c>
      <c r="E731" s="17" t="s">
        <v>87</v>
      </c>
      <c r="F731" s="17" t="s">
        <v>87</v>
      </c>
      <c r="G731" s="17">
        <v>7.5275255550000004E-4</v>
      </c>
      <c r="H731" s="17">
        <v>7.2223800000000005E-4</v>
      </c>
      <c r="I731" s="17" t="s">
        <v>115</v>
      </c>
    </row>
    <row r="732" spans="1:9" ht="15.6" x14ac:dyDescent="0.3">
      <c r="A732" s="17" t="s">
        <v>195</v>
      </c>
      <c r="B732" s="17" t="s">
        <v>61</v>
      </c>
      <c r="C732" s="17" t="s">
        <v>113</v>
      </c>
      <c r="D732" s="17" t="s">
        <v>114</v>
      </c>
      <c r="E732" s="17" t="s">
        <v>88</v>
      </c>
      <c r="F732" s="17" t="s">
        <v>88</v>
      </c>
      <c r="G732" s="17">
        <v>8.5344641249999995</v>
      </c>
      <c r="H732" s="17">
        <v>8.1884999999999994</v>
      </c>
      <c r="I732" s="17" t="s">
        <v>115</v>
      </c>
    </row>
    <row r="733" spans="1:9" ht="15.6" x14ac:dyDescent="0.3">
      <c r="A733" s="17" t="s">
        <v>195</v>
      </c>
      <c r="B733" s="17" t="s">
        <v>61</v>
      </c>
      <c r="C733" s="17" t="s">
        <v>113</v>
      </c>
      <c r="D733" s="17" t="s">
        <v>114</v>
      </c>
      <c r="E733" s="17" t="s">
        <v>89</v>
      </c>
      <c r="F733" s="17" t="s">
        <v>89</v>
      </c>
      <c r="G733" s="17">
        <v>2.3781091207500001E-2</v>
      </c>
      <c r="H733" s="17">
        <v>2.2817069999999998E-2</v>
      </c>
      <c r="I733" s="17" t="s">
        <v>115</v>
      </c>
    </row>
    <row r="734" spans="1:9" ht="15.6" x14ac:dyDescent="0.3">
      <c r="A734" s="17" t="s">
        <v>195</v>
      </c>
      <c r="B734" s="17" t="s">
        <v>61</v>
      </c>
      <c r="C734" s="17" t="s">
        <v>113</v>
      </c>
      <c r="D734" s="17" t="s">
        <v>114</v>
      </c>
      <c r="E734" s="17" t="s">
        <v>90</v>
      </c>
      <c r="F734" s="17" t="s">
        <v>90</v>
      </c>
      <c r="G734" s="17">
        <v>5.7899136331578704</v>
      </c>
      <c r="H734" s="17">
        <v>5.5552061723750201</v>
      </c>
      <c r="I734" s="17" t="s">
        <v>115</v>
      </c>
    </row>
    <row r="735" spans="1:9" ht="15.6" x14ac:dyDescent="0.3">
      <c r="A735" s="17" t="s">
        <v>195</v>
      </c>
      <c r="B735" s="17" t="s">
        <v>61</v>
      </c>
      <c r="C735" s="17" t="s">
        <v>113</v>
      </c>
      <c r="D735" s="17" t="s">
        <v>114</v>
      </c>
      <c r="E735" s="17" t="s">
        <v>93</v>
      </c>
      <c r="F735" s="17" t="s">
        <v>130</v>
      </c>
      <c r="G735" s="17">
        <v>33.418272508500003</v>
      </c>
      <c r="H735" s="17">
        <v>32.063586000000001</v>
      </c>
      <c r="I735" s="17" t="s">
        <v>115</v>
      </c>
    </row>
    <row r="736" spans="1:9" ht="15.6" x14ac:dyDescent="0.3">
      <c r="A736" s="17" t="s">
        <v>195</v>
      </c>
      <c r="B736" s="17" t="s">
        <v>61</v>
      </c>
      <c r="C736" s="17" t="s">
        <v>113</v>
      </c>
      <c r="D736" s="17" t="s">
        <v>114</v>
      </c>
      <c r="E736" s="17" t="s">
        <v>93</v>
      </c>
      <c r="F736" s="17" t="s">
        <v>131</v>
      </c>
      <c r="G736" s="17">
        <v>8.8272321500000004</v>
      </c>
      <c r="H736" s="17">
        <v>8.4694000000000003</v>
      </c>
      <c r="I736" s="17" t="s">
        <v>115</v>
      </c>
    </row>
    <row r="737" spans="1:9" ht="15.6" x14ac:dyDescent="0.3">
      <c r="A737" s="17" t="s">
        <v>195</v>
      </c>
      <c r="B737" s="17" t="s">
        <v>61</v>
      </c>
      <c r="C737" s="17" t="s">
        <v>113</v>
      </c>
      <c r="D737" s="17" t="s">
        <v>114</v>
      </c>
      <c r="E737" s="17" t="s">
        <v>93</v>
      </c>
      <c r="F737" s="17" t="s">
        <v>132</v>
      </c>
      <c r="G737" s="17">
        <v>0.220882479125</v>
      </c>
      <c r="H737" s="17">
        <v>0.21192849999999999</v>
      </c>
      <c r="I737" s="17" t="s">
        <v>115</v>
      </c>
    </row>
    <row r="738" spans="1:9" ht="15.6" x14ac:dyDescent="0.3">
      <c r="A738" s="17" t="s">
        <v>195</v>
      </c>
      <c r="B738" s="17" t="s">
        <v>61</v>
      </c>
      <c r="C738" s="17" t="s">
        <v>113</v>
      </c>
      <c r="D738" s="17" t="s">
        <v>114</v>
      </c>
      <c r="E738" s="17" t="s">
        <v>93</v>
      </c>
      <c r="F738" s="17" t="s">
        <v>133</v>
      </c>
      <c r="G738" s="17">
        <v>0</v>
      </c>
      <c r="H738" s="17">
        <v>0</v>
      </c>
      <c r="I738" s="17" t="s">
        <v>115</v>
      </c>
    </row>
    <row r="739" spans="1:9" ht="15.6" x14ac:dyDescent="0.3">
      <c r="A739" s="17" t="s">
        <v>195</v>
      </c>
      <c r="B739" s="17" t="s">
        <v>61</v>
      </c>
      <c r="C739" s="17" t="s">
        <v>113</v>
      </c>
      <c r="D739" s="17" t="s">
        <v>114</v>
      </c>
      <c r="E739" s="17" t="s">
        <v>93</v>
      </c>
      <c r="F739" s="17" t="s">
        <v>134</v>
      </c>
      <c r="G739" s="17">
        <v>3.1552409460000002</v>
      </c>
      <c r="H739" s="17">
        <v>3.027336</v>
      </c>
      <c r="I739" s="17" t="s">
        <v>115</v>
      </c>
    </row>
    <row r="740" spans="1:9" ht="15.6" x14ac:dyDescent="0.3">
      <c r="A740" s="17" t="s">
        <v>195</v>
      </c>
      <c r="B740" s="17" t="s">
        <v>61</v>
      </c>
      <c r="C740" s="17" t="s">
        <v>113</v>
      </c>
      <c r="D740" s="17" t="s">
        <v>114</v>
      </c>
      <c r="E740" s="17" t="s">
        <v>93</v>
      </c>
      <c r="F740" s="17" t="s">
        <v>135</v>
      </c>
      <c r="G740" s="17">
        <v>0</v>
      </c>
      <c r="H740" s="17">
        <v>0</v>
      </c>
      <c r="I740" s="17" t="s">
        <v>115</v>
      </c>
    </row>
    <row r="741" spans="1:9" ht="15.6" x14ac:dyDescent="0.3">
      <c r="A741" s="17" t="s">
        <v>195</v>
      </c>
      <c r="B741" s="17" t="s">
        <v>61</v>
      </c>
      <c r="C741" s="17" t="s">
        <v>113</v>
      </c>
      <c r="D741" s="17" t="s">
        <v>114</v>
      </c>
      <c r="E741" s="17" t="s">
        <v>93</v>
      </c>
      <c r="F741" s="17" t="s">
        <v>136</v>
      </c>
      <c r="G741" s="17">
        <v>10.047790279999999</v>
      </c>
      <c r="H741" s="17">
        <v>9.6404800000000002</v>
      </c>
      <c r="I741" s="17" t="s">
        <v>115</v>
      </c>
    </row>
    <row r="742" spans="1:9" ht="15.6" x14ac:dyDescent="0.3">
      <c r="A742" s="17" t="s">
        <v>195</v>
      </c>
      <c r="B742" s="17" t="s">
        <v>61</v>
      </c>
      <c r="C742" s="17" t="s">
        <v>113</v>
      </c>
      <c r="D742" s="17" t="s">
        <v>114</v>
      </c>
      <c r="E742" s="17" t="s">
        <v>93</v>
      </c>
      <c r="F742" s="17" t="s">
        <v>137</v>
      </c>
      <c r="G742" s="17">
        <v>18.543753689999999</v>
      </c>
      <c r="H742" s="17">
        <v>17.79204</v>
      </c>
      <c r="I742" s="17" t="s">
        <v>115</v>
      </c>
    </row>
    <row r="743" spans="1:9" ht="15.6" x14ac:dyDescent="0.3">
      <c r="A743" s="17" t="s">
        <v>195</v>
      </c>
      <c r="B743" s="17" t="s">
        <v>61</v>
      </c>
      <c r="C743" s="17" t="s">
        <v>113</v>
      </c>
      <c r="D743" s="17" t="s">
        <v>114</v>
      </c>
      <c r="E743" s="17" t="s">
        <v>98</v>
      </c>
      <c r="F743" s="17" t="s">
        <v>139</v>
      </c>
      <c r="G743" s="17">
        <v>13.614390625</v>
      </c>
      <c r="H743" s="17">
        <v>13.0625</v>
      </c>
      <c r="I743" s="17" t="s">
        <v>115</v>
      </c>
    </row>
    <row r="744" spans="1:9" ht="15.6" x14ac:dyDescent="0.3">
      <c r="A744" s="17" t="s">
        <v>195</v>
      </c>
      <c r="B744" s="17" t="s">
        <v>61</v>
      </c>
      <c r="C744" s="17" t="s">
        <v>113</v>
      </c>
      <c r="D744" s="17" t="s">
        <v>114</v>
      </c>
      <c r="E744" s="17" t="s">
        <v>98</v>
      </c>
      <c r="F744" s="17" t="s">
        <v>141</v>
      </c>
      <c r="G744" s="17">
        <v>6.81875252016129</v>
      </c>
      <c r="H744" s="17">
        <v>6.5423387096774199</v>
      </c>
      <c r="I744" s="17" t="s">
        <v>115</v>
      </c>
    </row>
    <row r="745" spans="1:9" ht="15.6" x14ac:dyDescent="0.3">
      <c r="A745" s="17" t="s">
        <v>195</v>
      </c>
      <c r="B745" s="17" t="s">
        <v>61</v>
      </c>
      <c r="C745" s="17" t="s">
        <v>113</v>
      </c>
      <c r="D745" s="17" t="s">
        <v>114</v>
      </c>
      <c r="E745" s="17" t="s">
        <v>96</v>
      </c>
      <c r="F745" s="17" t="s">
        <v>96</v>
      </c>
      <c r="G745" s="17">
        <v>1.3499743124999999E-4</v>
      </c>
      <c r="H745" s="17">
        <v>1.2952499999999999E-4</v>
      </c>
      <c r="I745" s="17" t="s">
        <v>115</v>
      </c>
    </row>
    <row r="746" spans="1:9" ht="15.6" x14ac:dyDescent="0.3">
      <c r="A746" s="17" t="s">
        <v>195</v>
      </c>
      <c r="B746" s="17" t="s">
        <v>61</v>
      </c>
      <c r="C746" s="17" t="s">
        <v>113</v>
      </c>
      <c r="D746" s="17" t="s">
        <v>114</v>
      </c>
      <c r="E746" s="17" t="s">
        <v>99</v>
      </c>
      <c r="F746" s="17" t="s">
        <v>142</v>
      </c>
      <c r="G746" s="17">
        <v>3.564027550875E-2</v>
      </c>
      <c r="H746" s="17">
        <v>3.4195515000000003E-2</v>
      </c>
      <c r="I746" s="17" t="s">
        <v>115</v>
      </c>
    </row>
    <row r="747" spans="1:9" ht="15.6" x14ac:dyDescent="0.3">
      <c r="A747" s="17" t="s">
        <v>195</v>
      </c>
      <c r="B747" s="17" t="s">
        <v>61</v>
      </c>
      <c r="C747" s="17" t="s">
        <v>113</v>
      </c>
      <c r="D747" s="17" t="s">
        <v>114</v>
      </c>
      <c r="E747" s="17" t="s">
        <v>99</v>
      </c>
      <c r="F747" s="17" t="s">
        <v>143</v>
      </c>
      <c r="G747" s="17">
        <v>0.1877119519429</v>
      </c>
      <c r="H747" s="17">
        <v>0.1801026164</v>
      </c>
      <c r="I747" s="17" t="s">
        <v>115</v>
      </c>
    </row>
    <row r="748" spans="1:9" ht="15.6" x14ac:dyDescent="0.3">
      <c r="A748" s="17" t="s">
        <v>195</v>
      </c>
      <c r="B748" s="17" t="s">
        <v>61</v>
      </c>
      <c r="C748" s="17" t="s">
        <v>113</v>
      </c>
      <c r="D748" s="17" t="s">
        <v>114</v>
      </c>
      <c r="E748" s="17" t="s">
        <v>99</v>
      </c>
      <c r="F748" s="17" t="s">
        <v>144</v>
      </c>
      <c r="G748" s="17">
        <v>7.1269159225000002E-4</v>
      </c>
      <c r="H748" s="17">
        <v>6.8380100000000005E-4</v>
      </c>
      <c r="I748" s="17" t="s">
        <v>115</v>
      </c>
    </row>
    <row r="749" spans="1:9" ht="15.6" x14ac:dyDescent="0.3">
      <c r="A749" s="17" t="s">
        <v>195</v>
      </c>
      <c r="B749" s="17" t="s">
        <v>61</v>
      </c>
      <c r="C749" s="17" t="s">
        <v>113</v>
      </c>
      <c r="D749" s="17" t="s">
        <v>114</v>
      </c>
      <c r="E749" s="17" t="s">
        <v>99</v>
      </c>
      <c r="F749" s="17" t="s">
        <v>147</v>
      </c>
      <c r="G749" s="17">
        <v>1.799386780125E-3</v>
      </c>
      <c r="H749" s="17">
        <v>1.7264444999999999E-3</v>
      </c>
      <c r="I749" s="17" t="s">
        <v>115</v>
      </c>
    </row>
    <row r="750" spans="1:9" ht="15.6" x14ac:dyDescent="0.3">
      <c r="A750" s="17" t="s">
        <v>195</v>
      </c>
      <c r="B750" s="17" t="s">
        <v>61</v>
      </c>
      <c r="C750" s="17" t="s">
        <v>113</v>
      </c>
      <c r="D750" s="17" t="s">
        <v>114</v>
      </c>
      <c r="E750" s="17" t="s">
        <v>99</v>
      </c>
      <c r="F750" s="17" t="s">
        <v>148</v>
      </c>
      <c r="G750" s="17">
        <v>36.540053268949997</v>
      </c>
      <c r="H750" s="17">
        <v>35.058818199999997</v>
      </c>
      <c r="I750" s="17" t="s">
        <v>115</v>
      </c>
    </row>
    <row r="751" spans="1:9" ht="15.6" x14ac:dyDescent="0.3">
      <c r="A751" s="17" t="s">
        <v>195</v>
      </c>
      <c r="B751" s="17" t="s">
        <v>61</v>
      </c>
      <c r="C751" s="17" t="s">
        <v>113</v>
      </c>
      <c r="D751" s="17" t="s">
        <v>114</v>
      </c>
      <c r="E751" s="17" t="s">
        <v>99</v>
      </c>
      <c r="F751" s="17" t="s">
        <v>150</v>
      </c>
      <c r="G751" s="17">
        <v>3.158930511E-3</v>
      </c>
      <c r="H751" s="17">
        <v>3.0308760000000001E-3</v>
      </c>
      <c r="I751" s="17" t="s">
        <v>115</v>
      </c>
    </row>
    <row r="752" spans="1:9" ht="15.6" x14ac:dyDescent="0.3">
      <c r="A752" s="17" t="s">
        <v>195</v>
      </c>
      <c r="B752" s="17" t="s">
        <v>61</v>
      </c>
      <c r="C752" s="17" t="s">
        <v>113</v>
      </c>
      <c r="D752" s="17" t="s">
        <v>114</v>
      </c>
      <c r="E752" s="17" t="s">
        <v>99</v>
      </c>
      <c r="F752" s="17" t="s">
        <v>152</v>
      </c>
      <c r="G752" s="17">
        <v>2.4284876909177502</v>
      </c>
      <c r="H752" s="17">
        <v>2.3300433589999998</v>
      </c>
      <c r="I752" s="17" t="s">
        <v>115</v>
      </c>
    </row>
    <row r="753" spans="1:9" ht="15.6" x14ac:dyDescent="0.3">
      <c r="A753" s="17" t="s">
        <v>195</v>
      </c>
      <c r="B753" s="17" t="s">
        <v>61</v>
      </c>
      <c r="C753" s="17" t="s">
        <v>113</v>
      </c>
      <c r="D753" s="17" t="s">
        <v>114</v>
      </c>
      <c r="E753" s="17" t="s">
        <v>99</v>
      </c>
      <c r="F753" s="17" t="s">
        <v>153</v>
      </c>
      <c r="G753" s="17">
        <v>8.8382799999999994E-8</v>
      </c>
      <c r="H753" s="17">
        <v>8.4800000000000005E-8</v>
      </c>
      <c r="I753" s="17" t="s">
        <v>115</v>
      </c>
    </row>
    <row r="754" spans="1:9" ht="15.6" x14ac:dyDescent="0.3">
      <c r="A754" s="17" t="s">
        <v>195</v>
      </c>
      <c r="B754" s="17" t="s">
        <v>61</v>
      </c>
      <c r="C754" s="17" t="s">
        <v>113</v>
      </c>
      <c r="D754" s="17" t="s">
        <v>114</v>
      </c>
      <c r="E754" s="17" t="s">
        <v>99</v>
      </c>
      <c r="F754" s="17" t="s">
        <v>154</v>
      </c>
      <c r="G754" s="17">
        <v>1.744984978E-3</v>
      </c>
      <c r="H754" s="17">
        <v>1.6742479999999999E-3</v>
      </c>
      <c r="I754" s="17" t="s">
        <v>115</v>
      </c>
    </row>
    <row r="755" spans="1:9" ht="15.6" x14ac:dyDescent="0.3">
      <c r="A755" s="17" t="s">
        <v>195</v>
      </c>
      <c r="B755" s="17" t="s">
        <v>61</v>
      </c>
      <c r="C755" s="17" t="s">
        <v>113</v>
      </c>
      <c r="D755" s="17" t="s">
        <v>114</v>
      </c>
      <c r="E755" s="17" t="s">
        <v>101</v>
      </c>
      <c r="F755" s="17" t="s">
        <v>157</v>
      </c>
      <c r="G755" s="17">
        <v>250.42446774121299</v>
      </c>
      <c r="H755" s="17">
        <v>240.27293618729999</v>
      </c>
      <c r="I755" s="17" t="s">
        <v>115</v>
      </c>
    </row>
    <row r="756" spans="1:9" ht="15.6" x14ac:dyDescent="0.3">
      <c r="A756" s="17" t="s">
        <v>195</v>
      </c>
      <c r="B756" s="17" t="s">
        <v>61</v>
      </c>
      <c r="C756" s="17" t="s">
        <v>113</v>
      </c>
      <c r="D756" s="17" t="s">
        <v>114</v>
      </c>
      <c r="E756" s="17" t="s">
        <v>101</v>
      </c>
      <c r="F756" s="17" t="s">
        <v>158</v>
      </c>
      <c r="G756" s="17">
        <v>52.522606320168599</v>
      </c>
      <c r="H756" s="17">
        <v>50.393481717599997</v>
      </c>
      <c r="I756" s="17" t="s">
        <v>115</v>
      </c>
    </row>
    <row r="757" spans="1:9" ht="15.6" x14ac:dyDescent="0.3">
      <c r="A757" s="17" t="s">
        <v>195</v>
      </c>
      <c r="B757" s="17" t="s">
        <v>61</v>
      </c>
      <c r="C757" s="17" t="s">
        <v>113</v>
      </c>
      <c r="D757" s="17" t="s">
        <v>114</v>
      </c>
      <c r="E757" s="17" t="s">
        <v>101</v>
      </c>
      <c r="F757" s="17" t="s">
        <v>160</v>
      </c>
      <c r="G757" s="17">
        <v>77.385559392063996</v>
      </c>
      <c r="H757" s="17">
        <v>74.248557824000002</v>
      </c>
      <c r="I757" s="17" t="s">
        <v>115</v>
      </c>
    </row>
    <row r="758" spans="1:9" ht="15.6" x14ac:dyDescent="0.3">
      <c r="A758" s="17" t="s">
        <v>195</v>
      </c>
      <c r="B758" s="17" t="s">
        <v>61</v>
      </c>
      <c r="C758" s="17" t="s">
        <v>113</v>
      </c>
      <c r="D758" s="17" t="s">
        <v>114</v>
      </c>
      <c r="E758" s="17" t="s">
        <v>102</v>
      </c>
      <c r="F758" s="17" t="s">
        <v>165</v>
      </c>
      <c r="G758" s="17">
        <v>6.91980089999306</v>
      </c>
      <c r="H758" s="17">
        <v>6.6392908611111103</v>
      </c>
      <c r="I758" s="17" t="s">
        <v>115</v>
      </c>
    </row>
    <row r="759" spans="1:9" ht="15.6" x14ac:dyDescent="0.3">
      <c r="A759" s="17" t="s">
        <v>195</v>
      </c>
      <c r="B759" s="17" t="s">
        <v>61</v>
      </c>
      <c r="C759" s="17" t="s">
        <v>113</v>
      </c>
      <c r="D759" s="17" t="s">
        <v>114</v>
      </c>
      <c r="E759" s="17" t="s">
        <v>102</v>
      </c>
      <c r="F759" s="17" t="s">
        <v>166</v>
      </c>
      <c r="G759" s="17">
        <v>62.271460693966802</v>
      </c>
      <c r="H759" s="17">
        <v>59.747143865643402</v>
      </c>
      <c r="I759" s="17" t="s">
        <v>115</v>
      </c>
    </row>
    <row r="760" spans="1:9" ht="15.6" x14ac:dyDescent="0.3">
      <c r="A760" s="17" t="s">
        <v>195</v>
      </c>
      <c r="B760" s="17" t="s">
        <v>61</v>
      </c>
      <c r="C760" s="17" t="s">
        <v>113</v>
      </c>
      <c r="D760" s="17" t="s">
        <v>114</v>
      </c>
      <c r="E760" s="17" t="s">
        <v>103</v>
      </c>
      <c r="F760" s="17" t="s">
        <v>103</v>
      </c>
      <c r="G760" s="17">
        <v>15.3015944809364</v>
      </c>
      <c r="H760" s="17">
        <v>14.681309168564599</v>
      </c>
      <c r="I760" s="17" t="s">
        <v>115</v>
      </c>
    </row>
    <row r="761" spans="1:9" ht="15.6" x14ac:dyDescent="0.3">
      <c r="A761" s="17" t="s">
        <v>195</v>
      </c>
      <c r="B761" s="17" t="s">
        <v>62</v>
      </c>
      <c r="C761" s="17" t="s">
        <v>113</v>
      </c>
      <c r="D761" s="17" t="s">
        <v>114</v>
      </c>
      <c r="E761" s="17" t="s">
        <v>71</v>
      </c>
      <c r="F761" s="17" t="s">
        <v>71</v>
      </c>
      <c r="G761" s="17">
        <v>20.656607999999999</v>
      </c>
      <c r="H761" s="17">
        <v>19.824000000000002</v>
      </c>
      <c r="I761" s="17" t="s">
        <v>115</v>
      </c>
    </row>
    <row r="762" spans="1:9" ht="15.6" x14ac:dyDescent="0.3">
      <c r="A762" s="17" t="s">
        <v>195</v>
      </c>
      <c r="B762" s="17" t="s">
        <v>62</v>
      </c>
      <c r="C762" s="17" t="s">
        <v>113</v>
      </c>
      <c r="D762" s="17" t="s">
        <v>114</v>
      </c>
      <c r="E762" s="17" t="s">
        <v>72</v>
      </c>
      <c r="F762" s="17" t="s">
        <v>116</v>
      </c>
      <c r="G762" s="17">
        <v>156.24098111999999</v>
      </c>
      <c r="H762" s="17">
        <v>149.94336000000001</v>
      </c>
      <c r="I762" s="17" t="s">
        <v>115</v>
      </c>
    </row>
    <row r="763" spans="1:9" ht="15.6" x14ac:dyDescent="0.3">
      <c r="A763" s="17" t="s">
        <v>195</v>
      </c>
      <c r="B763" s="17" t="s">
        <v>62</v>
      </c>
      <c r="C763" s="17" t="s">
        <v>113</v>
      </c>
      <c r="D763" s="17" t="s">
        <v>114</v>
      </c>
      <c r="E763" s="17" t="s">
        <v>73</v>
      </c>
      <c r="F763" s="17" t="s">
        <v>169</v>
      </c>
      <c r="G763" s="17">
        <v>0</v>
      </c>
      <c r="H763" s="17">
        <v>0</v>
      </c>
      <c r="I763" s="17" t="s">
        <v>115</v>
      </c>
    </row>
    <row r="764" spans="1:9" ht="15.6" x14ac:dyDescent="0.3">
      <c r="A764" s="17" t="s">
        <v>195</v>
      </c>
      <c r="B764" s="17" t="s">
        <v>62</v>
      </c>
      <c r="C764" s="17" t="s">
        <v>113</v>
      </c>
      <c r="D764" s="17" t="s">
        <v>114</v>
      </c>
      <c r="E764" s="17" t="s">
        <v>73</v>
      </c>
      <c r="F764" s="17" t="s">
        <v>117</v>
      </c>
      <c r="G764" s="17">
        <v>0</v>
      </c>
      <c r="H764" s="17">
        <v>0</v>
      </c>
      <c r="I764" s="17" t="s">
        <v>115</v>
      </c>
    </row>
    <row r="765" spans="1:9" ht="15.6" x14ac:dyDescent="0.3">
      <c r="A765" s="17" t="s">
        <v>195</v>
      </c>
      <c r="B765" s="17" t="s">
        <v>62</v>
      </c>
      <c r="C765" s="17" t="s">
        <v>113</v>
      </c>
      <c r="D765" s="17" t="s">
        <v>114</v>
      </c>
      <c r="E765" s="17" t="s">
        <v>73</v>
      </c>
      <c r="F765" s="17" t="s">
        <v>118</v>
      </c>
      <c r="G765" s="17">
        <v>112.425407964578</v>
      </c>
      <c r="H765" s="17">
        <v>107.893865609</v>
      </c>
      <c r="I765" s="17" t="s">
        <v>115</v>
      </c>
    </row>
    <row r="766" spans="1:9" ht="15.6" x14ac:dyDescent="0.3">
      <c r="A766" s="17" t="s">
        <v>195</v>
      </c>
      <c r="B766" s="17" t="s">
        <v>62</v>
      </c>
      <c r="C766" s="17" t="s">
        <v>113</v>
      </c>
      <c r="D766" s="17" t="s">
        <v>114</v>
      </c>
      <c r="E766" s="17" t="s">
        <v>73</v>
      </c>
      <c r="F766" s="17" t="s">
        <v>119</v>
      </c>
      <c r="G766" s="17">
        <v>113.28255848896001</v>
      </c>
      <c r="H766" s="17">
        <v>108.71646688</v>
      </c>
      <c r="I766" s="17" t="s">
        <v>115</v>
      </c>
    </row>
    <row r="767" spans="1:9" ht="15.6" x14ac:dyDescent="0.3">
      <c r="A767" s="17" t="s">
        <v>195</v>
      </c>
      <c r="B767" s="17" t="s">
        <v>62</v>
      </c>
      <c r="C767" s="17" t="s">
        <v>113</v>
      </c>
      <c r="D767" s="17" t="s">
        <v>114</v>
      </c>
      <c r="E767" s="17" t="s">
        <v>73</v>
      </c>
      <c r="F767" s="17" t="s">
        <v>120</v>
      </c>
      <c r="G767" s="17">
        <v>5.0905325589041102</v>
      </c>
      <c r="H767" s="17">
        <v>4.8853479452054804</v>
      </c>
      <c r="I767" s="17" t="s">
        <v>115</v>
      </c>
    </row>
    <row r="768" spans="1:9" ht="15.6" x14ac:dyDescent="0.3">
      <c r="A768" s="17" t="s">
        <v>195</v>
      </c>
      <c r="B768" s="17" t="s">
        <v>62</v>
      </c>
      <c r="C768" s="17" t="s">
        <v>113</v>
      </c>
      <c r="D768" s="17" t="s">
        <v>114</v>
      </c>
      <c r="E768" s="17" t="s">
        <v>75</v>
      </c>
      <c r="F768" s="17" t="s">
        <v>75</v>
      </c>
      <c r="G768" s="17">
        <v>54.032174361916297</v>
      </c>
      <c r="H768" s="17">
        <v>51.8542940133553</v>
      </c>
      <c r="I768" s="17" t="s">
        <v>115</v>
      </c>
    </row>
    <row r="769" spans="1:9" ht="15.6" x14ac:dyDescent="0.3">
      <c r="A769" s="17" t="s">
        <v>195</v>
      </c>
      <c r="B769" s="17" t="s">
        <v>62</v>
      </c>
      <c r="C769" s="17" t="s">
        <v>113</v>
      </c>
      <c r="D769" s="17" t="s">
        <v>114</v>
      </c>
      <c r="E769" s="17" t="s">
        <v>80</v>
      </c>
      <c r="F769" s="17" t="s">
        <v>80</v>
      </c>
      <c r="G769" s="17">
        <v>0.28395489577316102</v>
      </c>
      <c r="H769" s="17">
        <v>0.27250949690322601</v>
      </c>
      <c r="I769" s="17" t="s">
        <v>115</v>
      </c>
    </row>
    <row r="770" spans="1:9" ht="15.6" x14ac:dyDescent="0.3">
      <c r="A770" s="17" t="s">
        <v>195</v>
      </c>
      <c r="B770" s="17" t="s">
        <v>62</v>
      </c>
      <c r="C770" s="17" t="s">
        <v>113</v>
      </c>
      <c r="D770" s="17" t="s">
        <v>114</v>
      </c>
      <c r="E770" s="17" t="s">
        <v>77</v>
      </c>
      <c r="F770" s="17" t="s">
        <v>77</v>
      </c>
      <c r="G770" s="17">
        <v>1.475472E-4</v>
      </c>
      <c r="H770" s="17">
        <v>1.416E-4</v>
      </c>
      <c r="I770" s="17" t="s">
        <v>115</v>
      </c>
    </row>
    <row r="771" spans="1:9" ht="15.6" x14ac:dyDescent="0.3">
      <c r="A771" s="17" t="s">
        <v>195</v>
      </c>
      <c r="B771" s="17" t="s">
        <v>62</v>
      </c>
      <c r="C771" s="17" t="s">
        <v>113</v>
      </c>
      <c r="D771" s="17" t="s">
        <v>114</v>
      </c>
      <c r="E771" s="17" t="s">
        <v>78</v>
      </c>
      <c r="F771" s="17" t="s">
        <v>123</v>
      </c>
      <c r="G771" s="17">
        <v>2.4334666322580598</v>
      </c>
      <c r="H771" s="17">
        <v>2.33538064516129</v>
      </c>
      <c r="I771" s="17" t="s">
        <v>115</v>
      </c>
    </row>
    <row r="772" spans="1:9" ht="15.6" x14ac:dyDescent="0.3">
      <c r="A772" s="17" t="s">
        <v>195</v>
      </c>
      <c r="B772" s="17" t="s">
        <v>62</v>
      </c>
      <c r="C772" s="17" t="s">
        <v>113</v>
      </c>
      <c r="D772" s="17" t="s">
        <v>114</v>
      </c>
      <c r="E772" s="17" t="s">
        <v>78</v>
      </c>
      <c r="F772" s="17" t="s">
        <v>125</v>
      </c>
      <c r="G772" s="17">
        <v>167.77367039999999</v>
      </c>
      <c r="H772" s="17">
        <v>161.0112</v>
      </c>
      <c r="I772" s="17" t="s">
        <v>115</v>
      </c>
    </row>
    <row r="773" spans="1:9" ht="15.6" x14ac:dyDescent="0.3">
      <c r="A773" s="17" t="s">
        <v>195</v>
      </c>
      <c r="B773" s="17" t="s">
        <v>62</v>
      </c>
      <c r="C773" s="17" t="s">
        <v>113</v>
      </c>
      <c r="D773" s="17" t="s">
        <v>114</v>
      </c>
      <c r="E773" s="17" t="s">
        <v>81</v>
      </c>
      <c r="F773" s="17" t="s">
        <v>81</v>
      </c>
      <c r="G773" s="17">
        <v>65.244480870897405</v>
      </c>
      <c r="H773" s="17">
        <v>62.6146649432796</v>
      </c>
      <c r="I773" s="17" t="s">
        <v>115</v>
      </c>
    </row>
    <row r="774" spans="1:9" ht="15.6" x14ac:dyDescent="0.3">
      <c r="A774" s="17" t="s">
        <v>195</v>
      </c>
      <c r="B774" s="17" t="s">
        <v>62</v>
      </c>
      <c r="C774" s="17" t="s">
        <v>113</v>
      </c>
      <c r="D774" s="17" t="s">
        <v>114</v>
      </c>
      <c r="E774" s="17" t="s">
        <v>83</v>
      </c>
      <c r="F774" s="17" t="s">
        <v>127</v>
      </c>
      <c r="G774" s="17">
        <v>8.0237481067575903E-2</v>
      </c>
      <c r="H774" s="17">
        <v>7.7003340755830998E-2</v>
      </c>
      <c r="I774" s="17" t="s">
        <v>115</v>
      </c>
    </row>
    <row r="775" spans="1:9" ht="15.6" x14ac:dyDescent="0.3">
      <c r="A775" s="17" t="s">
        <v>195</v>
      </c>
      <c r="B775" s="17" t="s">
        <v>62</v>
      </c>
      <c r="C775" s="17" t="s">
        <v>113</v>
      </c>
      <c r="D775" s="17" t="s">
        <v>114</v>
      </c>
      <c r="E775" s="17" t="s">
        <v>83</v>
      </c>
      <c r="F775" s="17" t="s">
        <v>128</v>
      </c>
      <c r="G775" s="17">
        <v>0.17044526871985</v>
      </c>
      <c r="H775" s="17">
        <v>0.16357511393459701</v>
      </c>
      <c r="I775" s="17" t="s">
        <v>115</v>
      </c>
    </row>
    <row r="776" spans="1:9" ht="15.6" x14ac:dyDescent="0.3">
      <c r="A776" s="17" t="s">
        <v>195</v>
      </c>
      <c r="B776" s="17" t="s">
        <v>62</v>
      </c>
      <c r="C776" s="17" t="s">
        <v>113</v>
      </c>
      <c r="D776" s="17" t="s">
        <v>114</v>
      </c>
      <c r="E776" s="17" t="s">
        <v>85</v>
      </c>
      <c r="F776" s="17" t="s">
        <v>85</v>
      </c>
      <c r="G776" s="17">
        <v>25.830691879961901</v>
      </c>
      <c r="H776" s="17">
        <v>24.789531554665899</v>
      </c>
      <c r="I776" s="17" t="s">
        <v>115</v>
      </c>
    </row>
    <row r="777" spans="1:9" ht="15.6" x14ac:dyDescent="0.3">
      <c r="A777" s="17" t="s">
        <v>195</v>
      </c>
      <c r="B777" s="17" t="s">
        <v>62</v>
      </c>
      <c r="C777" s="17" t="s">
        <v>113</v>
      </c>
      <c r="D777" s="17" t="s">
        <v>114</v>
      </c>
      <c r="E777" s="17" t="s">
        <v>87</v>
      </c>
      <c r="F777" s="17" t="s">
        <v>87</v>
      </c>
      <c r="G777" s="17">
        <v>9.90923244E-4</v>
      </c>
      <c r="H777" s="17">
        <v>9.5098199999999996E-4</v>
      </c>
      <c r="I777" s="17" t="s">
        <v>115</v>
      </c>
    </row>
    <row r="778" spans="1:9" ht="15.6" x14ac:dyDescent="0.3">
      <c r="A778" s="17" t="s">
        <v>195</v>
      </c>
      <c r="B778" s="17" t="s">
        <v>62</v>
      </c>
      <c r="C778" s="17" t="s">
        <v>113</v>
      </c>
      <c r="D778" s="17" t="s">
        <v>114</v>
      </c>
      <c r="E778" s="17" t="s">
        <v>88</v>
      </c>
      <c r="F778" s="17" t="s">
        <v>88</v>
      </c>
      <c r="G778" s="17">
        <v>11.1335616</v>
      </c>
      <c r="H778" s="17">
        <v>10.684799999999999</v>
      </c>
      <c r="I778" s="17" t="s">
        <v>115</v>
      </c>
    </row>
    <row r="779" spans="1:9" ht="15.6" x14ac:dyDescent="0.3">
      <c r="A779" s="17" t="s">
        <v>195</v>
      </c>
      <c r="B779" s="17" t="s">
        <v>62</v>
      </c>
      <c r="C779" s="17" t="s">
        <v>113</v>
      </c>
      <c r="D779" s="17" t="s">
        <v>114</v>
      </c>
      <c r="E779" s="17" t="s">
        <v>89</v>
      </c>
      <c r="F779" s="17" t="s">
        <v>89</v>
      </c>
      <c r="G779" s="17">
        <v>2.6757684720000001E-2</v>
      </c>
      <c r="H779" s="17">
        <v>2.5679159999999999E-2</v>
      </c>
      <c r="I779" s="17" t="s">
        <v>115</v>
      </c>
    </row>
    <row r="780" spans="1:9" ht="15.6" x14ac:dyDescent="0.3">
      <c r="A780" s="17" t="s">
        <v>195</v>
      </c>
      <c r="B780" s="17" t="s">
        <v>62</v>
      </c>
      <c r="C780" s="17" t="s">
        <v>113</v>
      </c>
      <c r="D780" s="17" t="s">
        <v>114</v>
      </c>
      <c r="E780" s="17" t="s">
        <v>90</v>
      </c>
      <c r="F780" s="17" t="s">
        <v>90</v>
      </c>
      <c r="G780" s="17">
        <v>9.4036087535558792</v>
      </c>
      <c r="H780" s="17">
        <v>9.02457653892119</v>
      </c>
      <c r="I780" s="17" t="s">
        <v>115</v>
      </c>
    </row>
    <row r="781" spans="1:9" ht="15.6" x14ac:dyDescent="0.3">
      <c r="A781" s="17" t="s">
        <v>195</v>
      </c>
      <c r="B781" s="17" t="s">
        <v>62</v>
      </c>
      <c r="C781" s="17" t="s">
        <v>113</v>
      </c>
      <c r="D781" s="17" t="s">
        <v>114</v>
      </c>
      <c r="E781" s="17" t="s">
        <v>91</v>
      </c>
      <c r="F781" s="17" t="s">
        <v>91</v>
      </c>
      <c r="G781" s="17">
        <v>2.1864740616243199</v>
      </c>
      <c r="H781" s="17">
        <v>2.09834362919801</v>
      </c>
      <c r="I781" s="17" t="s">
        <v>115</v>
      </c>
    </row>
    <row r="782" spans="1:9" ht="15.6" x14ac:dyDescent="0.3">
      <c r="A782" s="17" t="s">
        <v>195</v>
      </c>
      <c r="B782" s="17" t="s">
        <v>62</v>
      </c>
      <c r="C782" s="17" t="s">
        <v>113</v>
      </c>
      <c r="D782" s="17" t="s">
        <v>114</v>
      </c>
      <c r="E782" s="17" t="s">
        <v>93</v>
      </c>
      <c r="F782" s="17" t="s">
        <v>130</v>
      </c>
      <c r="G782" s="17">
        <v>62.997138051999997</v>
      </c>
      <c r="H782" s="17">
        <v>60.457906000000001</v>
      </c>
      <c r="I782" s="17" t="s">
        <v>115</v>
      </c>
    </row>
    <row r="783" spans="1:9" ht="15.6" x14ac:dyDescent="0.3">
      <c r="A783" s="17" t="s">
        <v>195</v>
      </c>
      <c r="B783" s="17" t="s">
        <v>62</v>
      </c>
      <c r="C783" s="17" t="s">
        <v>113</v>
      </c>
      <c r="D783" s="17" t="s">
        <v>114</v>
      </c>
      <c r="E783" s="17" t="s">
        <v>93</v>
      </c>
      <c r="F783" s="17" t="s">
        <v>131</v>
      </c>
      <c r="G783" s="17">
        <v>25.569638000000001</v>
      </c>
      <c r="H783" s="17">
        <v>24.539000000000001</v>
      </c>
      <c r="I783" s="17" t="s">
        <v>115</v>
      </c>
    </row>
    <row r="784" spans="1:9" ht="15.6" x14ac:dyDescent="0.3">
      <c r="A784" s="17" t="s">
        <v>195</v>
      </c>
      <c r="B784" s="17" t="s">
        <v>62</v>
      </c>
      <c r="C784" s="17" t="s">
        <v>113</v>
      </c>
      <c r="D784" s="17" t="s">
        <v>114</v>
      </c>
      <c r="E784" s="17" t="s">
        <v>93</v>
      </c>
      <c r="F784" s="17" t="s">
        <v>132</v>
      </c>
      <c r="G784" s="17">
        <v>0.28078982400000002</v>
      </c>
      <c r="H784" s="17">
        <v>0.26947199999999999</v>
      </c>
      <c r="I784" s="17" t="s">
        <v>115</v>
      </c>
    </row>
    <row r="785" spans="1:9" ht="15.6" x14ac:dyDescent="0.3">
      <c r="A785" s="17" t="s">
        <v>195</v>
      </c>
      <c r="B785" s="17" t="s">
        <v>62</v>
      </c>
      <c r="C785" s="17" t="s">
        <v>113</v>
      </c>
      <c r="D785" s="17" t="s">
        <v>114</v>
      </c>
      <c r="E785" s="17" t="s">
        <v>93</v>
      </c>
      <c r="F785" s="17" t="s">
        <v>133</v>
      </c>
      <c r="G785" s="17">
        <v>5.77595725806452</v>
      </c>
      <c r="H785" s="17">
        <v>5.5431451612903198</v>
      </c>
      <c r="I785" s="17" t="s">
        <v>115</v>
      </c>
    </row>
    <row r="786" spans="1:9" ht="15.6" x14ac:dyDescent="0.3">
      <c r="A786" s="17" t="s">
        <v>195</v>
      </c>
      <c r="B786" s="17" t="s">
        <v>62</v>
      </c>
      <c r="C786" s="17" t="s">
        <v>113</v>
      </c>
      <c r="D786" s="17" t="s">
        <v>114</v>
      </c>
      <c r="E786" s="17" t="s">
        <v>93</v>
      </c>
      <c r="F786" s="17" t="s">
        <v>134</v>
      </c>
      <c r="G786" s="17">
        <v>2.8492114559999999</v>
      </c>
      <c r="H786" s="17">
        <v>2.7343679999999999</v>
      </c>
      <c r="I786" s="17" t="s">
        <v>115</v>
      </c>
    </row>
    <row r="787" spans="1:9" ht="15.6" x14ac:dyDescent="0.3">
      <c r="A787" s="17" t="s">
        <v>195</v>
      </c>
      <c r="B787" s="17" t="s">
        <v>62</v>
      </c>
      <c r="C787" s="17" t="s">
        <v>113</v>
      </c>
      <c r="D787" s="17" t="s">
        <v>114</v>
      </c>
      <c r="E787" s="17" t="s">
        <v>93</v>
      </c>
      <c r="F787" s="17" t="s">
        <v>136</v>
      </c>
      <c r="G787" s="17">
        <v>17.553448834870299</v>
      </c>
      <c r="H787" s="17">
        <v>16.845920187015601</v>
      </c>
      <c r="I787" s="17" t="s">
        <v>115</v>
      </c>
    </row>
    <row r="788" spans="1:9" ht="15.6" x14ac:dyDescent="0.3">
      <c r="A788" s="17" t="s">
        <v>195</v>
      </c>
      <c r="B788" s="17" t="s">
        <v>62</v>
      </c>
      <c r="C788" s="17" t="s">
        <v>113</v>
      </c>
      <c r="D788" s="17" t="s">
        <v>114</v>
      </c>
      <c r="E788" s="17" t="s">
        <v>93</v>
      </c>
      <c r="F788" s="17" t="s">
        <v>137</v>
      </c>
      <c r="G788" s="17">
        <v>27.559357840000001</v>
      </c>
      <c r="H788" s="17">
        <v>26.448519999999998</v>
      </c>
      <c r="I788" s="17" t="s">
        <v>115</v>
      </c>
    </row>
    <row r="789" spans="1:9" ht="15.6" x14ac:dyDescent="0.3">
      <c r="A789" s="17" t="s">
        <v>195</v>
      </c>
      <c r="B789" s="17" t="s">
        <v>62</v>
      </c>
      <c r="C789" s="17" t="s">
        <v>113</v>
      </c>
      <c r="D789" s="17" t="s">
        <v>114</v>
      </c>
      <c r="E789" s="17" t="s">
        <v>96</v>
      </c>
      <c r="F789" s="17" t="s">
        <v>96</v>
      </c>
      <c r="G789" s="17">
        <v>2.5422507599999998E-4</v>
      </c>
      <c r="H789" s="17">
        <v>2.43978E-4</v>
      </c>
      <c r="I789" s="17" t="s">
        <v>115</v>
      </c>
    </row>
    <row r="790" spans="1:9" ht="15.6" x14ac:dyDescent="0.3">
      <c r="A790" s="17" t="s">
        <v>195</v>
      </c>
      <c r="B790" s="17" t="s">
        <v>62</v>
      </c>
      <c r="C790" s="17" t="s">
        <v>113</v>
      </c>
      <c r="D790" s="17" t="s">
        <v>114</v>
      </c>
      <c r="E790" s="17" t="s">
        <v>99</v>
      </c>
      <c r="F790" s="17" t="s">
        <v>142</v>
      </c>
      <c r="G790" s="17">
        <v>3.5212190338E-2</v>
      </c>
      <c r="H790" s="17">
        <v>3.3792889E-2</v>
      </c>
      <c r="I790" s="17" t="s">
        <v>115</v>
      </c>
    </row>
    <row r="791" spans="1:9" ht="15.6" x14ac:dyDescent="0.3">
      <c r="A791" s="17" t="s">
        <v>195</v>
      </c>
      <c r="B791" s="17" t="s">
        <v>62</v>
      </c>
      <c r="C791" s="17" t="s">
        <v>113</v>
      </c>
      <c r="D791" s="17" t="s">
        <v>114</v>
      </c>
      <c r="E791" s="17" t="s">
        <v>99</v>
      </c>
      <c r="F791" s="17" t="s">
        <v>143</v>
      </c>
      <c r="G791" s="17">
        <v>0.57784985550919998</v>
      </c>
      <c r="H791" s="17">
        <v>0.5545584026</v>
      </c>
      <c r="I791" s="17" t="s">
        <v>115</v>
      </c>
    </row>
    <row r="792" spans="1:9" ht="15.6" x14ac:dyDescent="0.3">
      <c r="A792" s="17" t="s">
        <v>195</v>
      </c>
      <c r="B792" s="17" t="s">
        <v>62</v>
      </c>
      <c r="C792" s="17" t="s">
        <v>113</v>
      </c>
      <c r="D792" s="17" t="s">
        <v>114</v>
      </c>
      <c r="E792" s="17" t="s">
        <v>99</v>
      </c>
      <c r="F792" s="17" t="s">
        <v>144</v>
      </c>
      <c r="G792" s="17">
        <v>8.8124128200000001E-4</v>
      </c>
      <c r="H792" s="17">
        <v>8.4572100000000002E-4</v>
      </c>
      <c r="I792" s="17" t="s">
        <v>115</v>
      </c>
    </row>
    <row r="793" spans="1:9" ht="15.6" x14ac:dyDescent="0.3">
      <c r="A793" s="17" t="s">
        <v>195</v>
      </c>
      <c r="B793" s="17" t="s">
        <v>62</v>
      </c>
      <c r="C793" s="17" t="s">
        <v>113</v>
      </c>
      <c r="D793" s="17" t="s">
        <v>114</v>
      </c>
      <c r="E793" s="17" t="s">
        <v>99</v>
      </c>
      <c r="F793" s="17" t="s">
        <v>147</v>
      </c>
      <c r="G793" s="17">
        <v>2.2896544342000001E-3</v>
      </c>
      <c r="H793" s="17">
        <v>2.1973651000000002E-3</v>
      </c>
      <c r="I793" s="17" t="s">
        <v>115</v>
      </c>
    </row>
    <row r="794" spans="1:9" ht="15.6" x14ac:dyDescent="0.3">
      <c r="A794" s="17" t="s">
        <v>195</v>
      </c>
      <c r="B794" s="17" t="s">
        <v>62</v>
      </c>
      <c r="C794" s="17" t="s">
        <v>113</v>
      </c>
      <c r="D794" s="17" t="s">
        <v>114</v>
      </c>
      <c r="E794" s="17" t="s">
        <v>99</v>
      </c>
      <c r="F794" s="17" t="s">
        <v>148</v>
      </c>
      <c r="G794" s="17">
        <v>69.013735882820001</v>
      </c>
      <c r="H794" s="17">
        <v>66.231992210000001</v>
      </c>
      <c r="I794" s="17" t="s">
        <v>115</v>
      </c>
    </row>
    <row r="795" spans="1:9" ht="15.6" x14ac:dyDescent="0.3">
      <c r="A795" s="17" t="s">
        <v>195</v>
      </c>
      <c r="B795" s="17" t="s">
        <v>62</v>
      </c>
      <c r="C795" s="17" t="s">
        <v>113</v>
      </c>
      <c r="D795" s="17" t="s">
        <v>114</v>
      </c>
      <c r="E795" s="17" t="s">
        <v>99</v>
      </c>
      <c r="F795" s="17" t="s">
        <v>150</v>
      </c>
      <c r="G795" s="17">
        <v>5.024618822E-3</v>
      </c>
      <c r="H795" s="17">
        <v>4.8220909999999997E-3</v>
      </c>
      <c r="I795" s="17" t="s">
        <v>115</v>
      </c>
    </row>
    <row r="796" spans="1:9" ht="15.6" x14ac:dyDescent="0.3">
      <c r="A796" s="17" t="s">
        <v>195</v>
      </c>
      <c r="B796" s="17" t="s">
        <v>62</v>
      </c>
      <c r="C796" s="17" t="s">
        <v>113</v>
      </c>
      <c r="D796" s="17" t="s">
        <v>114</v>
      </c>
      <c r="E796" s="17" t="s">
        <v>99</v>
      </c>
      <c r="F796" s="17" t="s">
        <v>152</v>
      </c>
      <c r="G796" s="17">
        <v>4.6064778529229997</v>
      </c>
      <c r="H796" s="17">
        <v>4.4208040815</v>
      </c>
      <c r="I796" s="17" t="s">
        <v>115</v>
      </c>
    </row>
    <row r="797" spans="1:9" ht="15.6" x14ac:dyDescent="0.3">
      <c r="A797" s="17" t="s">
        <v>195</v>
      </c>
      <c r="B797" s="17" t="s">
        <v>62</v>
      </c>
      <c r="C797" s="17" t="s">
        <v>113</v>
      </c>
      <c r="D797" s="17" t="s">
        <v>114</v>
      </c>
      <c r="E797" s="17" t="s">
        <v>99</v>
      </c>
      <c r="F797" s="17" t="s">
        <v>153</v>
      </c>
      <c r="G797" s="17">
        <v>0</v>
      </c>
      <c r="H797" s="17">
        <v>0</v>
      </c>
      <c r="I797" s="17" t="s">
        <v>115</v>
      </c>
    </row>
    <row r="798" spans="1:9" ht="15.6" x14ac:dyDescent="0.3">
      <c r="A798" s="17" t="s">
        <v>195</v>
      </c>
      <c r="B798" s="17" t="s">
        <v>62</v>
      </c>
      <c r="C798" s="17" t="s">
        <v>113</v>
      </c>
      <c r="D798" s="17" t="s">
        <v>114</v>
      </c>
      <c r="E798" s="17" t="s">
        <v>99</v>
      </c>
      <c r="F798" s="17" t="s">
        <v>154</v>
      </c>
      <c r="G798" s="17">
        <v>3.8737953637999999E-3</v>
      </c>
      <c r="H798" s="17">
        <v>3.7176538999999999E-3</v>
      </c>
      <c r="I798" s="17" t="s">
        <v>115</v>
      </c>
    </row>
    <row r="799" spans="1:9" ht="15.6" x14ac:dyDescent="0.3">
      <c r="A799" s="17" t="s">
        <v>195</v>
      </c>
      <c r="B799" s="17" t="s">
        <v>62</v>
      </c>
      <c r="C799" s="17" t="s">
        <v>113</v>
      </c>
      <c r="D799" s="17" t="s">
        <v>114</v>
      </c>
      <c r="E799" s="17" t="s">
        <v>101</v>
      </c>
      <c r="F799" s="17" t="s">
        <v>157</v>
      </c>
      <c r="G799" s="17">
        <v>474.85723998488601</v>
      </c>
      <c r="H799" s="17">
        <v>455.71712090680001</v>
      </c>
      <c r="I799" s="17" t="s">
        <v>115</v>
      </c>
    </row>
    <row r="800" spans="1:9" ht="15.6" x14ac:dyDescent="0.3">
      <c r="A800" s="17" t="s">
        <v>195</v>
      </c>
      <c r="B800" s="17" t="s">
        <v>62</v>
      </c>
      <c r="C800" s="17" t="s">
        <v>113</v>
      </c>
      <c r="D800" s="17" t="s">
        <v>114</v>
      </c>
      <c r="E800" s="17" t="s">
        <v>101</v>
      </c>
      <c r="F800" s="17" t="s">
        <v>158</v>
      </c>
      <c r="G800" s="17">
        <v>94.9103878584</v>
      </c>
      <c r="H800" s="17">
        <v>91.084825199999997</v>
      </c>
      <c r="I800" s="17" t="s">
        <v>115</v>
      </c>
    </row>
    <row r="801" spans="1:9" ht="15.6" x14ac:dyDescent="0.3">
      <c r="A801" s="17" t="s">
        <v>195</v>
      </c>
      <c r="B801" s="17" t="s">
        <v>62</v>
      </c>
      <c r="C801" s="17" t="s">
        <v>113</v>
      </c>
      <c r="D801" s="17" t="s">
        <v>114</v>
      </c>
      <c r="E801" s="17" t="s">
        <v>101</v>
      </c>
      <c r="F801" s="17" t="s">
        <v>160</v>
      </c>
      <c r="G801" s="17">
        <v>89.639796225279994</v>
      </c>
      <c r="H801" s="17">
        <v>86.026675839999996</v>
      </c>
      <c r="I801" s="17" t="s">
        <v>115</v>
      </c>
    </row>
    <row r="802" spans="1:9" ht="15.6" x14ac:dyDescent="0.3">
      <c r="A802" s="17" t="s">
        <v>195</v>
      </c>
      <c r="B802" s="17" t="s">
        <v>62</v>
      </c>
      <c r="C802" s="17" t="s">
        <v>113</v>
      </c>
      <c r="D802" s="17" t="s">
        <v>114</v>
      </c>
      <c r="E802" s="17" t="s">
        <v>102</v>
      </c>
      <c r="F802" s="17" t="s">
        <v>165</v>
      </c>
      <c r="G802" s="17">
        <v>11.1335616</v>
      </c>
      <c r="H802" s="17">
        <v>10.684799999999999</v>
      </c>
      <c r="I802" s="17" t="s">
        <v>115</v>
      </c>
    </row>
    <row r="803" spans="1:9" ht="15.6" x14ac:dyDescent="0.3">
      <c r="A803" s="17" t="s">
        <v>195</v>
      </c>
      <c r="B803" s="17" t="s">
        <v>62</v>
      </c>
      <c r="C803" s="17" t="s">
        <v>113</v>
      </c>
      <c r="D803" s="17" t="s">
        <v>114</v>
      </c>
      <c r="E803" s="17" t="s">
        <v>102</v>
      </c>
      <c r="F803" s="17" t="s">
        <v>166</v>
      </c>
      <c r="G803" s="17">
        <v>85.513480254468405</v>
      </c>
      <c r="H803" s="17">
        <v>82.066679706783503</v>
      </c>
      <c r="I803" s="17" t="s">
        <v>115</v>
      </c>
    </row>
    <row r="804" spans="1:9" ht="15.6" x14ac:dyDescent="0.3">
      <c r="A804" s="17" t="s">
        <v>195</v>
      </c>
      <c r="B804" s="17" t="s">
        <v>62</v>
      </c>
      <c r="C804" s="17" t="s">
        <v>113</v>
      </c>
      <c r="D804" s="17" t="s">
        <v>114</v>
      </c>
      <c r="E804" s="17" t="s">
        <v>103</v>
      </c>
      <c r="F804" s="17" t="s">
        <v>103</v>
      </c>
      <c r="G804" s="17">
        <v>27.688023999999999</v>
      </c>
      <c r="H804" s="17">
        <v>26.571999999999999</v>
      </c>
      <c r="I804" s="17" t="s">
        <v>115</v>
      </c>
    </row>
    <row r="805" spans="1:9" ht="15.6" x14ac:dyDescent="0.3">
      <c r="A805" s="17" t="s">
        <v>195</v>
      </c>
      <c r="B805" s="17" t="s">
        <v>63</v>
      </c>
      <c r="C805" s="17" t="s">
        <v>113</v>
      </c>
      <c r="D805" s="17" t="s">
        <v>114</v>
      </c>
      <c r="E805" s="17" t="s">
        <v>71</v>
      </c>
      <c r="F805" s="17" t="s">
        <v>71</v>
      </c>
      <c r="G805" s="17">
        <v>23.059666199999999</v>
      </c>
      <c r="H805" s="17">
        <v>21.948</v>
      </c>
      <c r="I805" s="17" t="s">
        <v>115</v>
      </c>
    </row>
    <row r="806" spans="1:9" ht="15.6" x14ac:dyDescent="0.3">
      <c r="A806" s="17" t="s">
        <v>195</v>
      </c>
      <c r="B806" s="17" t="s">
        <v>63</v>
      </c>
      <c r="C806" s="17" t="s">
        <v>113</v>
      </c>
      <c r="D806" s="17" t="s">
        <v>114</v>
      </c>
      <c r="E806" s="17" t="s">
        <v>72</v>
      </c>
      <c r="F806" s="17" t="s">
        <v>116</v>
      </c>
      <c r="G806" s="17">
        <v>174.417061668</v>
      </c>
      <c r="H806" s="17">
        <v>166.00872000000001</v>
      </c>
      <c r="I806" s="17" t="s">
        <v>115</v>
      </c>
    </row>
    <row r="807" spans="1:9" ht="15.6" x14ac:dyDescent="0.3">
      <c r="A807" s="17" t="s">
        <v>195</v>
      </c>
      <c r="B807" s="17" t="s">
        <v>63</v>
      </c>
      <c r="C807" s="17" t="s">
        <v>113</v>
      </c>
      <c r="D807" s="17" t="s">
        <v>114</v>
      </c>
      <c r="E807" s="17" t="s">
        <v>73</v>
      </c>
      <c r="F807" s="17" t="s">
        <v>117</v>
      </c>
      <c r="G807" s="17">
        <v>0</v>
      </c>
      <c r="H807" s="17">
        <v>0</v>
      </c>
      <c r="I807" s="17" t="s">
        <v>115</v>
      </c>
    </row>
    <row r="808" spans="1:9" ht="15.6" x14ac:dyDescent="0.3">
      <c r="A808" s="17" t="s">
        <v>195</v>
      </c>
      <c r="B808" s="17" t="s">
        <v>63</v>
      </c>
      <c r="C808" s="17" t="s">
        <v>113</v>
      </c>
      <c r="D808" s="17" t="s">
        <v>114</v>
      </c>
      <c r="E808" s="17" t="s">
        <v>73</v>
      </c>
      <c r="F808" s="17" t="s">
        <v>118</v>
      </c>
      <c r="G808" s="17">
        <v>626.91024719999996</v>
      </c>
      <c r="H808" s="17">
        <v>596.68799999999999</v>
      </c>
      <c r="I808" s="17" t="s">
        <v>115</v>
      </c>
    </row>
    <row r="809" spans="1:9" ht="15.6" x14ac:dyDescent="0.3">
      <c r="A809" s="17" t="s">
        <v>195</v>
      </c>
      <c r="B809" s="17" t="s">
        <v>63</v>
      </c>
      <c r="C809" s="17" t="s">
        <v>113</v>
      </c>
      <c r="D809" s="17" t="s">
        <v>114</v>
      </c>
      <c r="E809" s="17" t="s">
        <v>73</v>
      </c>
      <c r="F809" s="17" t="s">
        <v>119</v>
      </c>
      <c r="G809" s="17">
        <v>87.548563200000004</v>
      </c>
      <c r="H809" s="17">
        <v>83.328000000000003</v>
      </c>
      <c r="I809" s="17" t="s">
        <v>115</v>
      </c>
    </row>
    <row r="810" spans="1:9" ht="15.6" x14ac:dyDescent="0.3">
      <c r="A810" s="17" t="s">
        <v>195</v>
      </c>
      <c r="B810" s="17" t="s">
        <v>63</v>
      </c>
      <c r="C810" s="17" t="s">
        <v>113</v>
      </c>
      <c r="D810" s="17" t="s">
        <v>114</v>
      </c>
      <c r="E810" s="17" t="s">
        <v>73</v>
      </c>
      <c r="F810" s="17" t="s">
        <v>120</v>
      </c>
      <c r="G810" s="17">
        <v>5.6827326920547998</v>
      </c>
      <c r="H810" s="17">
        <v>5.4087780821917804</v>
      </c>
      <c r="I810" s="17" t="s">
        <v>115</v>
      </c>
    </row>
    <row r="811" spans="1:9" ht="15.6" x14ac:dyDescent="0.3">
      <c r="A811" s="17" t="s">
        <v>195</v>
      </c>
      <c r="B811" s="17" t="s">
        <v>63</v>
      </c>
      <c r="C811" s="17" t="s">
        <v>113</v>
      </c>
      <c r="D811" s="17" t="s">
        <v>114</v>
      </c>
      <c r="E811" s="17" t="s">
        <v>80</v>
      </c>
      <c r="F811" s="17" t="s">
        <v>80</v>
      </c>
      <c r="G811" s="17">
        <v>0.31702949793899998</v>
      </c>
      <c r="H811" s="17">
        <v>0.30174605999999998</v>
      </c>
      <c r="I811" s="17" t="s">
        <v>115</v>
      </c>
    </row>
    <row r="812" spans="1:9" ht="15.6" x14ac:dyDescent="0.3">
      <c r="A812" s="17" t="s">
        <v>195</v>
      </c>
      <c r="B812" s="17" t="s">
        <v>63</v>
      </c>
      <c r="C812" s="17" t="s">
        <v>113</v>
      </c>
      <c r="D812" s="17" t="s">
        <v>114</v>
      </c>
      <c r="E812" s="17" t="s">
        <v>77</v>
      </c>
      <c r="F812" s="17" t="s">
        <v>77</v>
      </c>
      <c r="G812" s="17">
        <v>1.42573205E-4</v>
      </c>
      <c r="H812" s="17">
        <v>1.3569999999999999E-4</v>
      </c>
      <c r="I812" s="17" t="s">
        <v>115</v>
      </c>
    </row>
    <row r="813" spans="1:9" ht="15.6" x14ac:dyDescent="0.3">
      <c r="A813" s="17" t="s">
        <v>195</v>
      </c>
      <c r="B813" s="17" t="s">
        <v>63</v>
      </c>
      <c r="C813" s="17" t="s">
        <v>113</v>
      </c>
      <c r="D813" s="17" t="s">
        <v>114</v>
      </c>
      <c r="E813" s="17" t="s">
        <v>78</v>
      </c>
      <c r="F813" s="17" t="s">
        <v>123</v>
      </c>
      <c r="G813" s="17">
        <v>2.71656064</v>
      </c>
      <c r="H813" s="17">
        <v>2.5855999999999999</v>
      </c>
      <c r="I813" s="17" t="s">
        <v>115</v>
      </c>
    </row>
    <row r="814" spans="1:9" ht="15.6" x14ac:dyDescent="0.3">
      <c r="A814" s="17" t="s">
        <v>195</v>
      </c>
      <c r="B814" s="17" t="s">
        <v>63</v>
      </c>
      <c r="C814" s="17" t="s">
        <v>113</v>
      </c>
      <c r="D814" s="17" t="s">
        <v>114</v>
      </c>
      <c r="E814" s="17" t="s">
        <v>78</v>
      </c>
      <c r="F814" s="17" t="s">
        <v>125</v>
      </c>
      <c r="G814" s="17">
        <v>187.29139056</v>
      </c>
      <c r="H814" s="17">
        <v>178.26240000000001</v>
      </c>
      <c r="I814" s="17" t="s">
        <v>115</v>
      </c>
    </row>
    <row r="815" spans="1:9" ht="15.6" x14ac:dyDescent="0.3">
      <c r="A815" s="17" t="s">
        <v>195</v>
      </c>
      <c r="B815" s="17" t="s">
        <v>63</v>
      </c>
      <c r="C815" s="17" t="s">
        <v>113</v>
      </c>
      <c r="D815" s="17" t="s">
        <v>114</v>
      </c>
      <c r="E815" s="17" t="s">
        <v>81</v>
      </c>
      <c r="F815" s="17" t="s">
        <v>81</v>
      </c>
      <c r="G815" s="17">
        <v>67.385269492943294</v>
      </c>
      <c r="H815" s="17">
        <v>64.136743437817799</v>
      </c>
      <c r="I815" s="17" t="s">
        <v>115</v>
      </c>
    </row>
    <row r="816" spans="1:9" ht="15.6" x14ac:dyDescent="0.3">
      <c r="A816" s="17" t="s">
        <v>195</v>
      </c>
      <c r="B816" s="17" t="s">
        <v>63</v>
      </c>
      <c r="C816" s="17" t="s">
        <v>113</v>
      </c>
      <c r="D816" s="17" t="s">
        <v>114</v>
      </c>
      <c r="E816" s="17" t="s">
        <v>83</v>
      </c>
      <c r="F816" s="17" t="s">
        <v>127</v>
      </c>
      <c r="G816" s="17">
        <v>9.0897462195066198E-2</v>
      </c>
      <c r="H816" s="17">
        <v>8.6515454428274102E-2</v>
      </c>
      <c r="I816" s="17" t="s">
        <v>115</v>
      </c>
    </row>
    <row r="817" spans="1:9" ht="15.6" x14ac:dyDescent="0.3">
      <c r="A817" s="17" t="s">
        <v>195</v>
      </c>
      <c r="B817" s="17" t="s">
        <v>63</v>
      </c>
      <c r="C817" s="17" t="s">
        <v>113</v>
      </c>
      <c r="D817" s="17" t="s">
        <v>114</v>
      </c>
      <c r="E817" s="17" t="s">
        <v>83</v>
      </c>
      <c r="F817" s="17" t="s">
        <v>128</v>
      </c>
      <c r="G817" s="17">
        <v>0.18862574619897801</v>
      </c>
      <c r="H817" s="17">
        <v>0.179532428686031</v>
      </c>
      <c r="I817" s="17" t="s">
        <v>115</v>
      </c>
    </row>
    <row r="818" spans="1:9" ht="15.6" x14ac:dyDescent="0.3">
      <c r="A818" s="17" t="s">
        <v>195</v>
      </c>
      <c r="B818" s="17" t="s">
        <v>63</v>
      </c>
      <c r="C818" s="17" t="s">
        <v>113</v>
      </c>
      <c r="D818" s="17" t="s">
        <v>114</v>
      </c>
      <c r="E818" s="17" t="s">
        <v>85</v>
      </c>
      <c r="F818" s="17" t="s">
        <v>85</v>
      </c>
      <c r="G818" s="17">
        <v>28.835670041614399</v>
      </c>
      <c r="H818" s="17">
        <v>27.445552792665801</v>
      </c>
      <c r="I818" s="17" t="s">
        <v>115</v>
      </c>
    </row>
    <row r="819" spans="1:9" ht="15.6" x14ac:dyDescent="0.3">
      <c r="A819" s="17" t="s">
        <v>195</v>
      </c>
      <c r="B819" s="17" t="s">
        <v>63</v>
      </c>
      <c r="C819" s="17" t="s">
        <v>113</v>
      </c>
      <c r="D819" s="17" t="s">
        <v>114</v>
      </c>
      <c r="E819" s="17" t="s">
        <v>87</v>
      </c>
      <c r="F819" s="17" t="s">
        <v>87</v>
      </c>
      <c r="G819" s="17">
        <v>1.1022537253999999E-3</v>
      </c>
      <c r="H819" s="17">
        <v>1.0491159999999999E-3</v>
      </c>
      <c r="I819" s="17" t="s">
        <v>115</v>
      </c>
    </row>
    <row r="820" spans="1:9" ht="15.6" x14ac:dyDescent="0.3">
      <c r="A820" s="17" t="s">
        <v>195</v>
      </c>
      <c r="B820" s="17" t="s">
        <v>63</v>
      </c>
      <c r="C820" s="17" t="s">
        <v>113</v>
      </c>
      <c r="D820" s="17" t="s">
        <v>114</v>
      </c>
      <c r="E820" s="17" t="s">
        <v>88</v>
      </c>
      <c r="F820" s="17" t="s">
        <v>88</v>
      </c>
      <c r="G820" s="17">
        <v>12.428769239999999</v>
      </c>
      <c r="H820" s="17">
        <v>11.829599999999999</v>
      </c>
      <c r="I820" s="17" t="s">
        <v>115</v>
      </c>
    </row>
    <row r="821" spans="1:9" ht="15.6" x14ac:dyDescent="0.3">
      <c r="A821" s="17" t="s">
        <v>195</v>
      </c>
      <c r="B821" s="17" t="s">
        <v>63</v>
      </c>
      <c r="C821" s="17" t="s">
        <v>113</v>
      </c>
      <c r="D821" s="17" t="s">
        <v>114</v>
      </c>
      <c r="E821" s="17" t="s">
        <v>89</v>
      </c>
      <c r="F821" s="17" t="s">
        <v>89</v>
      </c>
      <c r="G821" s="17">
        <v>2.2198648018500002E-2</v>
      </c>
      <c r="H821" s="17">
        <v>2.112849E-2</v>
      </c>
      <c r="I821" s="17" t="s">
        <v>115</v>
      </c>
    </row>
    <row r="822" spans="1:9" ht="15.6" x14ac:dyDescent="0.3">
      <c r="A822" s="17" t="s">
        <v>195</v>
      </c>
      <c r="B822" s="17" t="s">
        <v>63</v>
      </c>
      <c r="C822" s="17" t="s">
        <v>113</v>
      </c>
      <c r="D822" s="17" t="s">
        <v>114</v>
      </c>
      <c r="E822" s="17" t="s">
        <v>90</v>
      </c>
      <c r="F822" s="17" t="s">
        <v>90</v>
      </c>
      <c r="G822" s="17">
        <v>10.4965226749247</v>
      </c>
      <c r="H822" s="17">
        <v>9.9905036643265799</v>
      </c>
      <c r="I822" s="17" t="s">
        <v>115</v>
      </c>
    </row>
    <row r="823" spans="1:9" ht="15.6" x14ac:dyDescent="0.3">
      <c r="A823" s="17" t="s">
        <v>195</v>
      </c>
      <c r="B823" s="17" t="s">
        <v>63</v>
      </c>
      <c r="C823" s="17" t="s">
        <v>113</v>
      </c>
      <c r="D823" s="17" t="s">
        <v>114</v>
      </c>
      <c r="E823" s="17" t="s">
        <v>91</v>
      </c>
      <c r="F823" s="17" t="s">
        <v>91</v>
      </c>
      <c r="G823" s="17">
        <v>11.4454779167613</v>
      </c>
      <c r="H823" s="17">
        <v>10.8937114326953</v>
      </c>
      <c r="I823" s="17" t="s">
        <v>115</v>
      </c>
    </row>
    <row r="824" spans="1:9" ht="15.6" x14ac:dyDescent="0.3">
      <c r="A824" s="17" t="s">
        <v>195</v>
      </c>
      <c r="B824" s="17" t="s">
        <v>63</v>
      </c>
      <c r="C824" s="17" t="s">
        <v>113</v>
      </c>
      <c r="D824" s="17" t="s">
        <v>114</v>
      </c>
      <c r="E824" s="17" t="s">
        <v>93</v>
      </c>
      <c r="F824" s="17" t="s">
        <v>130</v>
      </c>
      <c r="G824" s="17">
        <v>70.326949296500004</v>
      </c>
      <c r="H824" s="17">
        <v>66.936610000000002</v>
      </c>
      <c r="I824" s="17" t="s">
        <v>115</v>
      </c>
    </row>
    <row r="825" spans="1:9" ht="15.6" x14ac:dyDescent="0.3">
      <c r="A825" s="17" t="s">
        <v>195</v>
      </c>
      <c r="B825" s="17" t="s">
        <v>63</v>
      </c>
      <c r="C825" s="17" t="s">
        <v>113</v>
      </c>
      <c r="D825" s="17" t="s">
        <v>114</v>
      </c>
      <c r="E825" s="17" t="s">
        <v>93</v>
      </c>
      <c r="F825" s="17" t="s">
        <v>131</v>
      </c>
      <c r="G825" s="17">
        <v>91.144307760000004</v>
      </c>
      <c r="H825" s="17">
        <v>86.750399999999999</v>
      </c>
      <c r="I825" s="17" t="s">
        <v>115</v>
      </c>
    </row>
    <row r="826" spans="1:9" ht="15.6" x14ac:dyDescent="0.3">
      <c r="A826" s="17" t="s">
        <v>195</v>
      </c>
      <c r="B826" s="17" t="s">
        <v>63</v>
      </c>
      <c r="C826" s="17" t="s">
        <v>113</v>
      </c>
      <c r="D826" s="17" t="s">
        <v>114</v>
      </c>
      <c r="E826" s="17" t="s">
        <v>93</v>
      </c>
      <c r="F826" s="17" t="s">
        <v>132</v>
      </c>
      <c r="G826" s="17">
        <v>0.3134551236</v>
      </c>
      <c r="H826" s="17">
        <v>0.298344</v>
      </c>
      <c r="I826" s="17" t="s">
        <v>115</v>
      </c>
    </row>
    <row r="827" spans="1:9" ht="15.6" x14ac:dyDescent="0.3">
      <c r="A827" s="17" t="s">
        <v>195</v>
      </c>
      <c r="B827" s="17" t="s">
        <v>63</v>
      </c>
      <c r="C827" s="17" t="s">
        <v>113</v>
      </c>
      <c r="D827" s="17" t="s">
        <v>114</v>
      </c>
      <c r="E827" s="17" t="s">
        <v>93</v>
      </c>
      <c r="F827" s="17" t="s">
        <v>133</v>
      </c>
      <c r="G827" s="17">
        <v>9.2982525000000003</v>
      </c>
      <c r="H827" s="17">
        <v>8.85</v>
      </c>
      <c r="I827" s="17" t="s">
        <v>115</v>
      </c>
    </row>
    <row r="828" spans="1:9" ht="15.6" x14ac:dyDescent="0.3">
      <c r="A828" s="17" t="s">
        <v>195</v>
      </c>
      <c r="B828" s="17" t="s">
        <v>63</v>
      </c>
      <c r="C828" s="17" t="s">
        <v>113</v>
      </c>
      <c r="D828" s="17" t="s">
        <v>114</v>
      </c>
      <c r="E828" s="17" t="s">
        <v>93</v>
      </c>
      <c r="F828" s="17" t="s">
        <v>134</v>
      </c>
      <c r="G828" s="17">
        <v>3.1806705684000001</v>
      </c>
      <c r="H828" s="17">
        <v>3.027336</v>
      </c>
      <c r="I828" s="17" t="s">
        <v>115</v>
      </c>
    </row>
    <row r="829" spans="1:9" ht="15.6" x14ac:dyDescent="0.3">
      <c r="A829" s="17" t="s">
        <v>195</v>
      </c>
      <c r="B829" s="17" t="s">
        <v>63</v>
      </c>
      <c r="C829" s="17" t="s">
        <v>113</v>
      </c>
      <c r="D829" s="17" t="s">
        <v>114</v>
      </c>
      <c r="E829" s="17" t="s">
        <v>93</v>
      </c>
      <c r="F829" s="17" t="s">
        <v>136</v>
      </c>
      <c r="G829" s="17">
        <v>22.262348928000002</v>
      </c>
      <c r="H829" s="17">
        <v>21.189119999999999</v>
      </c>
      <c r="I829" s="17" t="s">
        <v>115</v>
      </c>
    </row>
    <row r="830" spans="1:9" ht="15.6" x14ac:dyDescent="0.3">
      <c r="A830" s="17" t="s">
        <v>195</v>
      </c>
      <c r="B830" s="17" t="s">
        <v>63</v>
      </c>
      <c r="C830" s="17" t="s">
        <v>113</v>
      </c>
      <c r="D830" s="17" t="s">
        <v>114</v>
      </c>
      <c r="E830" s="17" t="s">
        <v>93</v>
      </c>
      <c r="F830" s="17" t="s">
        <v>137</v>
      </c>
      <c r="G830" s="17">
        <v>32.28353268</v>
      </c>
      <c r="H830" s="17">
        <v>30.7272</v>
      </c>
      <c r="I830" s="17" t="s">
        <v>115</v>
      </c>
    </row>
    <row r="831" spans="1:9" ht="15.6" x14ac:dyDescent="0.3">
      <c r="A831" s="17" t="s">
        <v>195</v>
      </c>
      <c r="B831" s="17" t="s">
        <v>63</v>
      </c>
      <c r="C831" s="17" t="s">
        <v>113</v>
      </c>
      <c r="D831" s="17" t="s">
        <v>114</v>
      </c>
      <c r="E831" s="17" t="s">
        <v>96</v>
      </c>
      <c r="F831" s="17" t="s">
        <v>96</v>
      </c>
      <c r="G831" s="17">
        <v>2.8652171084999999E-4</v>
      </c>
      <c r="H831" s="17">
        <v>2.7270899999999999E-4</v>
      </c>
      <c r="I831" s="17" t="s">
        <v>115</v>
      </c>
    </row>
    <row r="832" spans="1:9" ht="15.6" x14ac:dyDescent="0.3">
      <c r="A832" s="17" t="s">
        <v>195</v>
      </c>
      <c r="B832" s="17" t="s">
        <v>63</v>
      </c>
      <c r="C832" s="17" t="s">
        <v>113</v>
      </c>
      <c r="D832" s="17" t="s">
        <v>114</v>
      </c>
      <c r="E832" s="17" t="s">
        <v>99</v>
      </c>
      <c r="F832" s="17" t="s">
        <v>142</v>
      </c>
      <c r="G832" s="17">
        <v>3.0508334477650001E-2</v>
      </c>
      <c r="H832" s="17">
        <v>2.9037581E-2</v>
      </c>
      <c r="I832" s="17" t="s">
        <v>115</v>
      </c>
    </row>
    <row r="833" spans="1:9" ht="15.6" x14ac:dyDescent="0.3">
      <c r="A833" s="17" t="s">
        <v>195</v>
      </c>
      <c r="B833" s="17" t="s">
        <v>63</v>
      </c>
      <c r="C833" s="17" t="s">
        <v>113</v>
      </c>
      <c r="D833" s="17" t="s">
        <v>114</v>
      </c>
      <c r="E833" s="17" t="s">
        <v>99</v>
      </c>
      <c r="F833" s="17" t="s">
        <v>143</v>
      </c>
      <c r="G833" s="17">
        <v>1.7200387239113399</v>
      </c>
      <c r="H833" s="17">
        <v>1.6371186635999999</v>
      </c>
      <c r="I833" s="17" t="s">
        <v>115</v>
      </c>
    </row>
    <row r="834" spans="1:9" ht="15.6" x14ac:dyDescent="0.3">
      <c r="A834" s="17" t="s">
        <v>195</v>
      </c>
      <c r="B834" s="17" t="s">
        <v>63</v>
      </c>
      <c r="C834" s="17" t="s">
        <v>113</v>
      </c>
      <c r="D834" s="17" t="s">
        <v>114</v>
      </c>
      <c r="E834" s="17" t="s">
        <v>99</v>
      </c>
      <c r="F834" s="17" t="s">
        <v>144</v>
      </c>
      <c r="G834" s="17">
        <v>5.7144958564999998E-4</v>
      </c>
      <c r="H834" s="17">
        <v>5.4390099999999995E-4</v>
      </c>
      <c r="I834" s="17" t="s">
        <v>115</v>
      </c>
    </row>
    <row r="835" spans="1:9" ht="15.6" x14ac:dyDescent="0.3">
      <c r="A835" s="17" t="s">
        <v>195</v>
      </c>
      <c r="B835" s="17" t="s">
        <v>63</v>
      </c>
      <c r="C835" s="17" t="s">
        <v>113</v>
      </c>
      <c r="D835" s="17" t="s">
        <v>114</v>
      </c>
      <c r="E835" s="17" t="s">
        <v>99</v>
      </c>
      <c r="F835" s="17" t="s">
        <v>147</v>
      </c>
      <c r="G835" s="17">
        <v>2.0156635147349999E-3</v>
      </c>
      <c r="H835" s="17">
        <v>1.9184918999999999E-3</v>
      </c>
      <c r="I835" s="17" t="s">
        <v>115</v>
      </c>
    </row>
    <row r="836" spans="1:9" ht="15.6" x14ac:dyDescent="0.3">
      <c r="A836" s="17" t="s">
        <v>195</v>
      </c>
      <c r="B836" s="17" t="s">
        <v>63</v>
      </c>
      <c r="C836" s="17" t="s">
        <v>113</v>
      </c>
      <c r="D836" s="17" t="s">
        <v>114</v>
      </c>
      <c r="E836" s="17" t="s">
        <v>99</v>
      </c>
      <c r="F836" s="17" t="s">
        <v>148</v>
      </c>
      <c r="G836" s="17">
        <v>68.830824631578494</v>
      </c>
      <c r="H836" s="17">
        <v>65.512610890000005</v>
      </c>
      <c r="I836" s="17" t="s">
        <v>115</v>
      </c>
    </row>
    <row r="837" spans="1:9" ht="15.6" x14ac:dyDescent="0.3">
      <c r="A837" s="17" t="s">
        <v>195</v>
      </c>
      <c r="B837" s="17" t="s">
        <v>63</v>
      </c>
      <c r="C837" s="17" t="s">
        <v>113</v>
      </c>
      <c r="D837" s="17" t="s">
        <v>114</v>
      </c>
      <c r="E837" s="17" t="s">
        <v>99</v>
      </c>
      <c r="F837" s="17" t="s">
        <v>150</v>
      </c>
      <c r="G837" s="17">
        <v>4.7921365254000002E-3</v>
      </c>
      <c r="H837" s="17">
        <v>4.5611159999999996E-3</v>
      </c>
      <c r="I837" s="17" t="s">
        <v>115</v>
      </c>
    </row>
    <row r="838" spans="1:9" ht="15.6" x14ac:dyDescent="0.3">
      <c r="A838" s="17" t="s">
        <v>195</v>
      </c>
      <c r="B838" s="17" t="s">
        <v>63</v>
      </c>
      <c r="C838" s="17" t="s">
        <v>113</v>
      </c>
      <c r="D838" s="17" t="s">
        <v>114</v>
      </c>
      <c r="E838" s="17" t="s">
        <v>99</v>
      </c>
      <c r="F838" s="17" t="s">
        <v>152</v>
      </c>
      <c r="G838" s="17">
        <v>4.6905315212520797</v>
      </c>
      <c r="H838" s="17">
        <v>4.4644091955</v>
      </c>
      <c r="I838" s="17" t="s">
        <v>115</v>
      </c>
    </row>
    <row r="839" spans="1:9" ht="15.6" x14ac:dyDescent="0.3">
      <c r="A839" s="17" t="s">
        <v>195</v>
      </c>
      <c r="B839" s="17" t="s">
        <v>63</v>
      </c>
      <c r="C839" s="17" t="s">
        <v>113</v>
      </c>
      <c r="D839" s="17" t="s">
        <v>114</v>
      </c>
      <c r="E839" s="17" t="s">
        <v>99</v>
      </c>
      <c r="F839" s="17" t="s">
        <v>153</v>
      </c>
      <c r="G839" s="17">
        <v>0</v>
      </c>
      <c r="H839" s="17">
        <v>0</v>
      </c>
      <c r="I839" s="17" t="s">
        <v>115</v>
      </c>
    </row>
    <row r="840" spans="1:9" ht="15.6" x14ac:dyDescent="0.3">
      <c r="A840" s="17" t="s">
        <v>195</v>
      </c>
      <c r="B840" s="17" t="s">
        <v>63</v>
      </c>
      <c r="C840" s="17" t="s">
        <v>113</v>
      </c>
      <c r="D840" s="17" t="s">
        <v>114</v>
      </c>
      <c r="E840" s="17" t="s">
        <v>99</v>
      </c>
      <c r="F840" s="17" t="s">
        <v>154</v>
      </c>
      <c r="G840" s="17">
        <v>8.842487359225E-3</v>
      </c>
      <c r="H840" s="17">
        <v>8.4162065000000005E-3</v>
      </c>
      <c r="I840" s="17" t="s">
        <v>115</v>
      </c>
    </row>
    <row r="841" spans="1:9" ht="15.6" x14ac:dyDescent="0.3">
      <c r="A841" s="17" t="s">
        <v>195</v>
      </c>
      <c r="B841" s="17" t="s">
        <v>63</v>
      </c>
      <c r="C841" s="17" t="s">
        <v>113</v>
      </c>
      <c r="D841" s="17" t="s">
        <v>114</v>
      </c>
      <c r="E841" s="17" t="s">
        <v>101</v>
      </c>
      <c r="F841" s="17" t="s">
        <v>157</v>
      </c>
      <c r="G841" s="17">
        <v>530.05016074247703</v>
      </c>
      <c r="H841" s="17">
        <v>504.49736900250002</v>
      </c>
      <c r="I841" s="17" t="s">
        <v>115</v>
      </c>
    </row>
    <row r="842" spans="1:9" ht="15.6" x14ac:dyDescent="0.3">
      <c r="A842" s="17" t="s">
        <v>195</v>
      </c>
      <c r="B842" s="17" t="s">
        <v>63</v>
      </c>
      <c r="C842" s="17" t="s">
        <v>113</v>
      </c>
      <c r="D842" s="17" t="s">
        <v>114</v>
      </c>
      <c r="E842" s="17" t="s">
        <v>101</v>
      </c>
      <c r="F842" s="17" t="s">
        <v>158</v>
      </c>
      <c r="G842" s="17">
        <v>105.99155282574699</v>
      </c>
      <c r="H842" s="17">
        <v>100.8818853336</v>
      </c>
      <c r="I842" s="17" t="s">
        <v>115</v>
      </c>
    </row>
    <row r="843" spans="1:9" ht="15.6" x14ac:dyDescent="0.3">
      <c r="A843" s="17" t="s">
        <v>195</v>
      </c>
      <c r="B843" s="17" t="s">
        <v>63</v>
      </c>
      <c r="C843" s="17" t="s">
        <v>113</v>
      </c>
      <c r="D843" s="17" t="s">
        <v>114</v>
      </c>
      <c r="E843" s="17" t="s">
        <v>101</v>
      </c>
      <c r="F843" s="17" t="s">
        <v>160</v>
      </c>
      <c r="G843" s="17">
        <v>100.056628239907</v>
      </c>
      <c r="H843" s="17">
        <v>95.233073087999998</v>
      </c>
      <c r="I843" s="17" t="s">
        <v>115</v>
      </c>
    </row>
    <row r="844" spans="1:9" ht="15.6" x14ac:dyDescent="0.3">
      <c r="A844" s="17" t="s">
        <v>195</v>
      </c>
      <c r="B844" s="17" t="s">
        <v>63</v>
      </c>
      <c r="C844" s="17" t="s">
        <v>113</v>
      </c>
      <c r="D844" s="17" t="s">
        <v>114</v>
      </c>
      <c r="E844" s="17" t="s">
        <v>102</v>
      </c>
      <c r="F844" s="17" t="s">
        <v>165</v>
      </c>
      <c r="G844" s="17">
        <v>12.428769239999999</v>
      </c>
      <c r="H844" s="17">
        <v>11.829599999999999</v>
      </c>
      <c r="I844" s="17" t="s">
        <v>115</v>
      </c>
    </row>
    <row r="845" spans="1:9" ht="15.6" x14ac:dyDescent="0.3">
      <c r="A845" s="17" t="s">
        <v>195</v>
      </c>
      <c r="B845" s="17" t="s">
        <v>63</v>
      </c>
      <c r="C845" s="17" t="s">
        <v>113</v>
      </c>
      <c r="D845" s="17" t="s">
        <v>114</v>
      </c>
      <c r="E845" s="17" t="s">
        <v>102</v>
      </c>
      <c r="F845" s="17" t="s">
        <v>166</v>
      </c>
      <c r="G845" s="17">
        <v>95.466743598381797</v>
      </c>
      <c r="H845" s="17">
        <v>90.864458762082407</v>
      </c>
      <c r="I845" s="17" t="s">
        <v>115</v>
      </c>
    </row>
    <row r="846" spans="1:9" ht="15.6" x14ac:dyDescent="0.3">
      <c r="A846" s="17" t="s">
        <v>195</v>
      </c>
      <c r="B846" s="17" t="s">
        <v>63</v>
      </c>
      <c r="C846" s="17" t="s">
        <v>113</v>
      </c>
      <c r="D846" s="17" t="s">
        <v>114</v>
      </c>
      <c r="E846" s="17" t="s">
        <v>103</v>
      </c>
      <c r="F846" s="17" t="s">
        <v>103</v>
      </c>
      <c r="G846" s="17">
        <v>30.909072349999999</v>
      </c>
      <c r="H846" s="17">
        <v>29.419</v>
      </c>
      <c r="I846" s="17" t="s">
        <v>115</v>
      </c>
    </row>
    <row r="847" spans="1:9" ht="15.6" x14ac:dyDescent="0.3">
      <c r="A847" s="17" t="s">
        <v>195</v>
      </c>
      <c r="B847" s="17" t="s">
        <v>64</v>
      </c>
      <c r="C847" s="17" t="s">
        <v>113</v>
      </c>
      <c r="D847" s="17" t="s">
        <v>114</v>
      </c>
      <c r="E847" s="17" t="s">
        <v>71</v>
      </c>
      <c r="F847" s="17" t="s">
        <v>71</v>
      </c>
      <c r="G847" s="17">
        <v>22.934951999999999</v>
      </c>
      <c r="H847" s="17">
        <v>21.24</v>
      </c>
      <c r="I847" s="17" t="s">
        <v>115</v>
      </c>
    </row>
    <row r="848" spans="1:9" ht="15.6" x14ac:dyDescent="0.3">
      <c r="A848" s="17" t="s">
        <v>195</v>
      </c>
      <c r="B848" s="17" t="s">
        <v>64</v>
      </c>
      <c r="C848" s="17" t="s">
        <v>113</v>
      </c>
      <c r="D848" s="17" t="s">
        <v>114</v>
      </c>
      <c r="E848" s="17" t="s">
        <v>72</v>
      </c>
      <c r="F848" s="17" t="s">
        <v>116</v>
      </c>
      <c r="G848" s="17">
        <v>173.47375728</v>
      </c>
      <c r="H848" s="17">
        <v>160.65360000000001</v>
      </c>
      <c r="I848" s="17" t="s">
        <v>115</v>
      </c>
    </row>
    <row r="849" spans="1:9" ht="15.6" x14ac:dyDescent="0.3">
      <c r="A849" s="17" t="s">
        <v>195</v>
      </c>
      <c r="B849" s="17" t="s">
        <v>64</v>
      </c>
      <c r="C849" s="17" t="s">
        <v>113</v>
      </c>
      <c r="D849" s="17" t="s">
        <v>114</v>
      </c>
      <c r="E849" s="17" t="s">
        <v>73</v>
      </c>
      <c r="F849" s="17" t="s">
        <v>117</v>
      </c>
      <c r="G849" s="17">
        <v>0</v>
      </c>
      <c r="H849" s="17">
        <v>0</v>
      </c>
      <c r="I849" s="17" t="s">
        <v>115</v>
      </c>
    </row>
    <row r="850" spans="1:9" ht="15.6" x14ac:dyDescent="0.3">
      <c r="A850" s="17" t="s">
        <v>195</v>
      </c>
      <c r="B850" s="17" t="s">
        <v>64</v>
      </c>
      <c r="C850" s="17" t="s">
        <v>113</v>
      </c>
      <c r="D850" s="17" t="s">
        <v>114</v>
      </c>
      <c r="E850" s="17" t="s">
        <v>73</v>
      </c>
      <c r="F850" s="17" t="s">
        <v>118</v>
      </c>
      <c r="G850" s="17">
        <v>623.51971200000003</v>
      </c>
      <c r="H850" s="17">
        <v>577.44000000000005</v>
      </c>
      <c r="I850" s="17" t="s">
        <v>115</v>
      </c>
    </row>
    <row r="851" spans="1:9" ht="15.6" x14ac:dyDescent="0.3">
      <c r="A851" s="17" t="s">
        <v>195</v>
      </c>
      <c r="B851" s="17" t="s">
        <v>64</v>
      </c>
      <c r="C851" s="17" t="s">
        <v>113</v>
      </c>
      <c r="D851" s="17" t="s">
        <v>114</v>
      </c>
      <c r="E851" s="17" t="s">
        <v>73</v>
      </c>
      <c r="F851" s="17" t="s">
        <v>119</v>
      </c>
      <c r="G851" s="17">
        <v>87.075072000000006</v>
      </c>
      <c r="H851" s="17">
        <v>80.64</v>
      </c>
      <c r="I851" s="17" t="s">
        <v>115</v>
      </c>
    </row>
    <row r="852" spans="1:9" ht="15.6" x14ac:dyDescent="0.3">
      <c r="A852" s="17" t="s">
        <v>195</v>
      </c>
      <c r="B852" s="17" t="s">
        <v>64</v>
      </c>
      <c r="C852" s="17" t="s">
        <v>113</v>
      </c>
      <c r="D852" s="17" t="s">
        <v>114</v>
      </c>
      <c r="E852" s="17" t="s">
        <v>73</v>
      </c>
      <c r="F852" s="17" t="s">
        <v>120</v>
      </c>
      <c r="G852" s="17">
        <v>5.6362986230137002</v>
      </c>
      <c r="H852" s="17">
        <v>5.2197616438356196</v>
      </c>
      <c r="I852" s="17" t="s">
        <v>115</v>
      </c>
    </row>
    <row r="853" spans="1:9" ht="15.6" x14ac:dyDescent="0.3">
      <c r="A853" s="17" t="s">
        <v>195</v>
      </c>
      <c r="B853" s="17" t="s">
        <v>64</v>
      </c>
      <c r="C853" s="17" t="s">
        <v>113</v>
      </c>
      <c r="D853" s="17" t="s">
        <v>114</v>
      </c>
      <c r="E853" s="17" t="s">
        <v>80</v>
      </c>
      <c r="F853" s="17" t="s">
        <v>80</v>
      </c>
      <c r="G853" s="17">
        <v>0.31532690075896802</v>
      </c>
      <c r="H853" s="17">
        <v>0.29202343096774203</v>
      </c>
      <c r="I853" s="17" t="s">
        <v>115</v>
      </c>
    </row>
    <row r="854" spans="1:9" ht="15.6" x14ac:dyDescent="0.3">
      <c r="A854" s="17" t="s">
        <v>195</v>
      </c>
      <c r="B854" s="17" t="s">
        <v>64</v>
      </c>
      <c r="C854" s="17" t="s">
        <v>113</v>
      </c>
      <c r="D854" s="17" t="s">
        <v>114</v>
      </c>
      <c r="E854" s="17" t="s">
        <v>77</v>
      </c>
      <c r="F854" s="17" t="s">
        <v>77</v>
      </c>
      <c r="G854" s="17">
        <v>1.5289968000000001E-4</v>
      </c>
      <c r="H854" s="17">
        <v>1.416E-4</v>
      </c>
      <c r="I854" s="17" t="s">
        <v>115</v>
      </c>
    </row>
    <row r="855" spans="1:9" ht="15.6" x14ac:dyDescent="0.3">
      <c r="A855" s="17" t="s">
        <v>195</v>
      </c>
      <c r="B855" s="17" t="s">
        <v>64</v>
      </c>
      <c r="C855" s="17" t="s">
        <v>113</v>
      </c>
      <c r="D855" s="17" t="s">
        <v>114</v>
      </c>
      <c r="E855" s="17" t="s">
        <v>78</v>
      </c>
      <c r="F855" s="17" t="s">
        <v>123</v>
      </c>
      <c r="G855" s="17">
        <v>2.6981159982795702</v>
      </c>
      <c r="H855" s="17">
        <v>2.4987182795698901</v>
      </c>
      <c r="I855" s="17" t="s">
        <v>115</v>
      </c>
    </row>
    <row r="856" spans="1:9" ht="15.6" x14ac:dyDescent="0.3">
      <c r="A856" s="17" t="s">
        <v>195</v>
      </c>
      <c r="B856" s="17" t="s">
        <v>64</v>
      </c>
      <c r="C856" s="17" t="s">
        <v>113</v>
      </c>
      <c r="D856" s="17" t="s">
        <v>114</v>
      </c>
      <c r="E856" s="17" t="s">
        <v>78</v>
      </c>
      <c r="F856" s="17" t="s">
        <v>125</v>
      </c>
      <c r="G856" s="17">
        <v>186.01973752000001</v>
      </c>
      <c r="H856" s="17">
        <v>172.2724</v>
      </c>
      <c r="I856" s="17" t="s">
        <v>115</v>
      </c>
    </row>
    <row r="857" spans="1:9" ht="15.6" x14ac:dyDescent="0.3">
      <c r="A857" s="17" t="s">
        <v>195</v>
      </c>
      <c r="B857" s="17" t="s">
        <v>64</v>
      </c>
      <c r="C857" s="17" t="s">
        <v>113</v>
      </c>
      <c r="D857" s="17" t="s">
        <v>114</v>
      </c>
      <c r="E857" s="17" t="s">
        <v>81</v>
      </c>
      <c r="F857" s="17" t="s">
        <v>81</v>
      </c>
      <c r="G857" s="17">
        <v>39.691548945771501</v>
      </c>
      <c r="H857" s="17">
        <v>36.758241290768197</v>
      </c>
      <c r="I857" s="17" t="s">
        <v>115</v>
      </c>
    </row>
    <row r="858" spans="1:9" ht="15.6" x14ac:dyDescent="0.3">
      <c r="A858" s="17" t="s">
        <v>195</v>
      </c>
      <c r="B858" s="17" t="s">
        <v>64</v>
      </c>
      <c r="C858" s="17" t="s">
        <v>113</v>
      </c>
      <c r="D858" s="17" t="s">
        <v>114</v>
      </c>
      <c r="E858" s="17" t="s">
        <v>83</v>
      </c>
      <c r="F858" s="17" t="s">
        <v>127</v>
      </c>
      <c r="G858" s="17">
        <v>9.0561451045145902E-2</v>
      </c>
      <c r="H858" s="17">
        <v>8.3868726657849599E-2</v>
      </c>
      <c r="I858" s="17" t="s">
        <v>115</v>
      </c>
    </row>
    <row r="859" spans="1:9" ht="15.6" x14ac:dyDescent="0.3">
      <c r="A859" s="17" t="s">
        <v>195</v>
      </c>
      <c r="B859" s="17" t="s">
        <v>64</v>
      </c>
      <c r="C859" s="17" t="s">
        <v>113</v>
      </c>
      <c r="D859" s="17" t="s">
        <v>114</v>
      </c>
      <c r="E859" s="17" t="s">
        <v>83</v>
      </c>
      <c r="F859" s="17" t="s">
        <v>128</v>
      </c>
      <c r="G859" s="17">
        <v>0.23296830357208601</v>
      </c>
      <c r="H859" s="17">
        <v>0.215751346149367</v>
      </c>
      <c r="I859" s="17" t="s">
        <v>115</v>
      </c>
    </row>
    <row r="860" spans="1:9" ht="15.6" x14ac:dyDescent="0.3">
      <c r="A860" s="17" t="s">
        <v>195</v>
      </c>
      <c r="B860" s="17" t="s">
        <v>64</v>
      </c>
      <c r="C860" s="17" t="s">
        <v>113</v>
      </c>
      <c r="D860" s="17" t="s">
        <v>114</v>
      </c>
      <c r="E860" s="17" t="s">
        <v>85</v>
      </c>
      <c r="F860" s="17" t="s">
        <v>85</v>
      </c>
      <c r="G860" s="17">
        <v>28.6797173279231</v>
      </c>
      <c r="H860" s="17">
        <v>26.5602123799992</v>
      </c>
      <c r="I860" s="17" t="s">
        <v>115</v>
      </c>
    </row>
    <row r="861" spans="1:9" ht="15.6" x14ac:dyDescent="0.3">
      <c r="A861" s="17" t="s">
        <v>195</v>
      </c>
      <c r="B861" s="17" t="s">
        <v>64</v>
      </c>
      <c r="C861" s="17" t="s">
        <v>113</v>
      </c>
      <c r="D861" s="17" t="s">
        <v>114</v>
      </c>
      <c r="E861" s="17" t="s">
        <v>87</v>
      </c>
      <c r="F861" s="17" t="s">
        <v>87</v>
      </c>
      <c r="G861" s="17">
        <v>1.0924315003999999E-3</v>
      </c>
      <c r="H861" s="17">
        <v>1.0116979999999999E-3</v>
      </c>
      <c r="I861" s="17" t="s">
        <v>115</v>
      </c>
    </row>
    <row r="862" spans="1:9" ht="15.6" x14ac:dyDescent="0.3">
      <c r="A862" s="17" t="s">
        <v>195</v>
      </c>
      <c r="B862" s="17" t="s">
        <v>64</v>
      </c>
      <c r="C862" s="17" t="s">
        <v>113</v>
      </c>
      <c r="D862" s="17" t="s">
        <v>114</v>
      </c>
      <c r="E862" s="17" t="s">
        <v>88</v>
      </c>
      <c r="F862" s="17" t="s">
        <v>88</v>
      </c>
      <c r="G862" s="17">
        <v>12.3615504</v>
      </c>
      <c r="H862" s="17">
        <v>11.448</v>
      </c>
      <c r="I862" s="17" t="s">
        <v>115</v>
      </c>
    </row>
    <row r="863" spans="1:9" ht="15.6" x14ac:dyDescent="0.3">
      <c r="A863" s="17" t="s">
        <v>195</v>
      </c>
      <c r="B863" s="17" t="s">
        <v>64</v>
      </c>
      <c r="C863" s="17" t="s">
        <v>113</v>
      </c>
      <c r="D863" s="17" t="s">
        <v>114</v>
      </c>
      <c r="E863" s="17" t="s">
        <v>89</v>
      </c>
      <c r="F863" s="17" t="s">
        <v>89</v>
      </c>
      <c r="G863" s="17">
        <v>0.110483397522</v>
      </c>
      <c r="H863" s="17">
        <v>0.10231839</v>
      </c>
      <c r="I863" s="17" t="s">
        <v>115</v>
      </c>
    </row>
    <row r="864" spans="1:9" ht="15.6" x14ac:dyDescent="0.3">
      <c r="A864" s="17" t="s">
        <v>195</v>
      </c>
      <c r="B864" s="17" t="s">
        <v>64</v>
      </c>
      <c r="C864" s="17" t="s">
        <v>113</v>
      </c>
      <c r="D864" s="17" t="s">
        <v>114</v>
      </c>
      <c r="E864" s="17" t="s">
        <v>90</v>
      </c>
      <c r="F864" s="17" t="s">
        <v>90</v>
      </c>
      <c r="G864" s="17">
        <v>10.4419077564872</v>
      </c>
      <c r="H864" s="17">
        <v>9.67022389006042</v>
      </c>
      <c r="I864" s="17" t="s">
        <v>115</v>
      </c>
    </row>
    <row r="865" spans="1:9" ht="15.6" x14ac:dyDescent="0.3">
      <c r="A865" s="17" t="s">
        <v>195</v>
      </c>
      <c r="B865" s="17" t="s">
        <v>64</v>
      </c>
      <c r="C865" s="17" t="s">
        <v>113</v>
      </c>
      <c r="D865" s="17" t="s">
        <v>114</v>
      </c>
      <c r="E865" s="17" t="s">
        <v>91</v>
      </c>
      <c r="F865" s="17" t="s">
        <v>91</v>
      </c>
      <c r="G865" s="17">
        <v>11.0746732559364</v>
      </c>
      <c r="H865" s="17">
        <v>10.2562263900133</v>
      </c>
      <c r="I865" s="17" t="s">
        <v>115</v>
      </c>
    </row>
    <row r="866" spans="1:9" ht="15.6" x14ac:dyDescent="0.3">
      <c r="A866" s="17" t="s">
        <v>195</v>
      </c>
      <c r="B866" s="17" t="s">
        <v>64</v>
      </c>
      <c r="C866" s="17" t="s">
        <v>113</v>
      </c>
      <c r="D866" s="17" t="s">
        <v>114</v>
      </c>
      <c r="E866" s="17" t="s">
        <v>93</v>
      </c>
      <c r="F866" s="17" t="s">
        <v>130</v>
      </c>
      <c r="G866" s="17">
        <v>69.957045792000002</v>
      </c>
      <c r="H866" s="17">
        <v>64.787040000000005</v>
      </c>
      <c r="I866" s="17" t="s">
        <v>115</v>
      </c>
    </row>
    <row r="867" spans="1:9" ht="15.6" x14ac:dyDescent="0.3">
      <c r="A867" s="17" t="s">
        <v>195</v>
      </c>
      <c r="B867" s="17" t="s">
        <v>64</v>
      </c>
      <c r="C867" s="17" t="s">
        <v>113</v>
      </c>
      <c r="D867" s="17" t="s">
        <v>114</v>
      </c>
      <c r="E867" s="17" t="s">
        <v>93</v>
      </c>
      <c r="F867" s="17" t="s">
        <v>131</v>
      </c>
      <c r="G867" s="17">
        <v>90.651369599999995</v>
      </c>
      <c r="H867" s="17">
        <v>83.951999999999998</v>
      </c>
      <c r="I867" s="17" t="s">
        <v>115</v>
      </c>
    </row>
    <row r="868" spans="1:9" ht="15.6" x14ac:dyDescent="0.3">
      <c r="A868" s="17" t="s">
        <v>195</v>
      </c>
      <c r="B868" s="17" t="s">
        <v>64</v>
      </c>
      <c r="C868" s="17" t="s">
        <v>113</v>
      </c>
      <c r="D868" s="17" t="s">
        <v>114</v>
      </c>
      <c r="E868" s="17" t="s">
        <v>93</v>
      </c>
      <c r="F868" s="17" t="s">
        <v>132</v>
      </c>
      <c r="G868" s="17">
        <v>0.3113268562</v>
      </c>
      <c r="H868" s="17">
        <v>0.28831899999999999</v>
      </c>
      <c r="I868" s="17" t="s">
        <v>115</v>
      </c>
    </row>
    <row r="869" spans="1:9" ht="15.6" x14ac:dyDescent="0.3">
      <c r="A869" s="17" t="s">
        <v>195</v>
      </c>
      <c r="B869" s="17" t="s">
        <v>64</v>
      </c>
      <c r="C869" s="17" t="s">
        <v>113</v>
      </c>
      <c r="D869" s="17" t="s">
        <v>114</v>
      </c>
      <c r="E869" s="17" t="s">
        <v>93</v>
      </c>
      <c r="F869" s="17" t="s">
        <v>133</v>
      </c>
      <c r="G869" s="17">
        <v>9.2351201209677392</v>
      </c>
      <c r="H869" s="17">
        <v>8.5526209677419391</v>
      </c>
      <c r="I869" s="17" t="s">
        <v>115</v>
      </c>
    </row>
    <row r="870" spans="1:9" ht="15.6" x14ac:dyDescent="0.3">
      <c r="A870" s="17" t="s">
        <v>195</v>
      </c>
      <c r="B870" s="17" t="s">
        <v>64</v>
      </c>
      <c r="C870" s="17" t="s">
        <v>113</v>
      </c>
      <c r="D870" s="17" t="s">
        <v>114</v>
      </c>
      <c r="E870" s="17" t="s">
        <v>93</v>
      </c>
      <c r="F870" s="17" t="s">
        <v>134</v>
      </c>
      <c r="G870" s="17">
        <v>3.1634684640000001</v>
      </c>
      <c r="H870" s="17">
        <v>2.9296799999999998</v>
      </c>
      <c r="I870" s="17" t="s">
        <v>115</v>
      </c>
    </row>
    <row r="871" spans="1:9" ht="15.6" x14ac:dyDescent="0.3">
      <c r="A871" s="17" t="s">
        <v>195</v>
      </c>
      <c r="B871" s="17" t="s">
        <v>64</v>
      </c>
      <c r="C871" s="17" t="s">
        <v>113</v>
      </c>
      <c r="D871" s="17" t="s">
        <v>114</v>
      </c>
      <c r="E871" s="17" t="s">
        <v>93</v>
      </c>
      <c r="F871" s="17" t="s">
        <v>136</v>
      </c>
      <c r="G871" s="17">
        <v>22.111194176000001</v>
      </c>
      <c r="H871" s="17">
        <v>20.477119999999999</v>
      </c>
      <c r="I871" s="17" t="s">
        <v>115</v>
      </c>
    </row>
    <row r="872" spans="1:9" ht="15.6" x14ac:dyDescent="0.3">
      <c r="A872" s="17" t="s">
        <v>195</v>
      </c>
      <c r="B872" s="17" t="s">
        <v>64</v>
      </c>
      <c r="C872" s="17" t="s">
        <v>113</v>
      </c>
      <c r="D872" s="17" t="s">
        <v>114</v>
      </c>
      <c r="E872" s="17" t="s">
        <v>93</v>
      </c>
      <c r="F872" s="17" t="s">
        <v>137</v>
      </c>
      <c r="G872" s="17">
        <v>32.113392374</v>
      </c>
      <c r="H872" s="17">
        <v>29.740130000000001</v>
      </c>
      <c r="I872" s="17" t="s">
        <v>115</v>
      </c>
    </row>
    <row r="873" spans="1:9" ht="15.6" x14ac:dyDescent="0.3">
      <c r="A873" s="17" t="s">
        <v>195</v>
      </c>
      <c r="B873" s="17" t="s">
        <v>64</v>
      </c>
      <c r="C873" s="17" t="s">
        <v>113</v>
      </c>
      <c r="D873" s="17" t="s">
        <v>114</v>
      </c>
      <c r="E873" s="17" t="s">
        <v>96</v>
      </c>
      <c r="F873" s="17" t="s">
        <v>96</v>
      </c>
      <c r="G873" s="17">
        <v>2.7768784680000001E-4</v>
      </c>
      <c r="H873" s="17">
        <v>2.5716600000000002E-4</v>
      </c>
      <c r="I873" s="17" t="s">
        <v>115</v>
      </c>
    </row>
    <row r="874" spans="1:9" ht="15.6" x14ac:dyDescent="0.3">
      <c r="A874" s="17" t="s">
        <v>195</v>
      </c>
      <c r="B874" s="17" t="s">
        <v>64</v>
      </c>
      <c r="C874" s="17" t="s">
        <v>113</v>
      </c>
      <c r="D874" s="17" t="s">
        <v>114</v>
      </c>
      <c r="E874" s="17" t="s">
        <v>99</v>
      </c>
      <c r="F874" s="17" t="s">
        <v>142</v>
      </c>
      <c r="G874" s="17">
        <v>3.5153925608000002E-3</v>
      </c>
      <c r="H874" s="17">
        <v>3.2555959999999999E-3</v>
      </c>
      <c r="I874" s="17" t="s">
        <v>115</v>
      </c>
    </row>
    <row r="875" spans="1:9" ht="15.6" x14ac:dyDescent="0.3">
      <c r="A875" s="17" t="s">
        <v>195</v>
      </c>
      <c r="B875" s="17" t="s">
        <v>64</v>
      </c>
      <c r="C875" s="17" t="s">
        <v>113</v>
      </c>
      <c r="D875" s="17" t="s">
        <v>114</v>
      </c>
      <c r="E875" s="17" t="s">
        <v>99</v>
      </c>
      <c r="F875" s="17" t="s">
        <v>143</v>
      </c>
      <c r="G875" s="17">
        <v>1.67271483391576</v>
      </c>
      <c r="H875" s="17">
        <v>1.5490969012</v>
      </c>
      <c r="I875" s="17" t="s">
        <v>115</v>
      </c>
    </row>
    <row r="876" spans="1:9" ht="15.6" x14ac:dyDescent="0.3">
      <c r="A876" s="17" t="s">
        <v>195</v>
      </c>
      <c r="B876" s="17" t="s">
        <v>64</v>
      </c>
      <c r="C876" s="17" t="s">
        <v>113</v>
      </c>
      <c r="D876" s="17" t="s">
        <v>114</v>
      </c>
      <c r="E876" s="17" t="s">
        <v>99</v>
      </c>
      <c r="F876" s="17" t="s">
        <v>144</v>
      </c>
      <c r="G876" s="17">
        <v>5.1969046320000001E-4</v>
      </c>
      <c r="H876" s="17">
        <v>4.8128400000000001E-4</v>
      </c>
      <c r="I876" s="17" t="s">
        <v>115</v>
      </c>
    </row>
    <row r="877" spans="1:9" ht="15.6" x14ac:dyDescent="0.3">
      <c r="A877" s="17" t="s">
        <v>195</v>
      </c>
      <c r="B877" s="17" t="s">
        <v>64</v>
      </c>
      <c r="C877" s="17" t="s">
        <v>113</v>
      </c>
      <c r="D877" s="17" t="s">
        <v>114</v>
      </c>
      <c r="E877" s="17" t="s">
        <v>99</v>
      </c>
      <c r="F877" s="17" t="s">
        <v>147</v>
      </c>
      <c r="G877" s="17">
        <v>3.1794149504000001E-4</v>
      </c>
      <c r="H877" s="17">
        <v>2.9444479999999999E-4</v>
      </c>
      <c r="I877" s="17" t="s">
        <v>115</v>
      </c>
    </row>
    <row r="878" spans="1:9" ht="15.6" x14ac:dyDescent="0.3">
      <c r="A878" s="17" t="s">
        <v>195</v>
      </c>
      <c r="B878" s="17" t="s">
        <v>64</v>
      </c>
      <c r="C878" s="17" t="s">
        <v>113</v>
      </c>
      <c r="D878" s="17" t="s">
        <v>114</v>
      </c>
      <c r="E878" s="17" t="s">
        <v>99</v>
      </c>
      <c r="F878" s="17" t="s">
        <v>148</v>
      </c>
      <c r="G878" s="17">
        <v>65.043162970446005</v>
      </c>
      <c r="H878" s="17">
        <v>60.236305770000001</v>
      </c>
      <c r="I878" s="17" t="s">
        <v>115</v>
      </c>
    </row>
    <row r="879" spans="1:9" ht="15.6" x14ac:dyDescent="0.3">
      <c r="A879" s="17" t="s">
        <v>195</v>
      </c>
      <c r="B879" s="17" t="s">
        <v>64</v>
      </c>
      <c r="C879" s="17" t="s">
        <v>113</v>
      </c>
      <c r="D879" s="17" t="s">
        <v>114</v>
      </c>
      <c r="E879" s="17" t="s">
        <v>99</v>
      </c>
      <c r="F879" s="17" t="s">
        <v>150</v>
      </c>
      <c r="G879" s="17">
        <v>2.3339661039999999E-4</v>
      </c>
      <c r="H879" s="17">
        <v>2.1614799999999999E-4</v>
      </c>
      <c r="I879" s="17" t="s">
        <v>115</v>
      </c>
    </row>
    <row r="880" spans="1:9" ht="15.6" x14ac:dyDescent="0.3">
      <c r="A880" s="17" t="s">
        <v>195</v>
      </c>
      <c r="B880" s="17" t="s">
        <v>64</v>
      </c>
      <c r="C880" s="17" t="s">
        <v>113</v>
      </c>
      <c r="D880" s="17" t="s">
        <v>114</v>
      </c>
      <c r="E880" s="17" t="s">
        <v>99</v>
      </c>
      <c r="F880" s="17" t="s">
        <v>152</v>
      </c>
      <c r="G880" s="17">
        <v>4.901826563008</v>
      </c>
      <c r="H880" s="17">
        <v>4.5395689600000004</v>
      </c>
      <c r="I880" s="17" t="s">
        <v>115</v>
      </c>
    </row>
    <row r="881" spans="1:9" ht="15.6" x14ac:dyDescent="0.3">
      <c r="A881" s="17" t="s">
        <v>195</v>
      </c>
      <c r="B881" s="17" t="s">
        <v>64</v>
      </c>
      <c r="C881" s="17" t="s">
        <v>113</v>
      </c>
      <c r="D881" s="17" t="s">
        <v>114</v>
      </c>
      <c r="E881" s="17" t="s">
        <v>99</v>
      </c>
      <c r="F881" s="17" t="s">
        <v>153</v>
      </c>
      <c r="G881" s="17">
        <v>0</v>
      </c>
      <c r="H881" s="17">
        <v>0</v>
      </c>
      <c r="I881" s="17" t="s">
        <v>115</v>
      </c>
    </row>
    <row r="882" spans="1:9" ht="15.6" x14ac:dyDescent="0.3">
      <c r="A882" s="17" t="s">
        <v>195</v>
      </c>
      <c r="B882" s="17" t="s">
        <v>64</v>
      </c>
      <c r="C882" s="17" t="s">
        <v>113</v>
      </c>
      <c r="D882" s="17" t="s">
        <v>114</v>
      </c>
      <c r="E882" s="17" t="s">
        <v>99</v>
      </c>
      <c r="F882" s="17" t="s">
        <v>154</v>
      </c>
      <c r="G882" s="17">
        <v>7.9589881123200007E-3</v>
      </c>
      <c r="H882" s="17">
        <v>7.3707983999999997E-3</v>
      </c>
      <c r="I882" s="17" t="s">
        <v>115</v>
      </c>
    </row>
    <row r="883" spans="1:9" ht="15.6" x14ac:dyDescent="0.3">
      <c r="A883" s="17" t="s">
        <v>195</v>
      </c>
      <c r="B883" s="17" t="s">
        <v>64</v>
      </c>
      <c r="C883" s="17" t="s">
        <v>113</v>
      </c>
      <c r="D883" s="17" t="s">
        <v>114</v>
      </c>
      <c r="E883" s="17" t="s">
        <v>101</v>
      </c>
      <c r="F883" s="17" t="s">
        <v>157</v>
      </c>
      <c r="G883" s="17">
        <v>527.23686731370401</v>
      </c>
      <c r="H883" s="17">
        <v>488.2727054211</v>
      </c>
      <c r="I883" s="17" t="s">
        <v>115</v>
      </c>
    </row>
    <row r="884" spans="1:9" ht="15.6" x14ac:dyDescent="0.3">
      <c r="A884" s="17" t="s">
        <v>195</v>
      </c>
      <c r="B884" s="17" t="s">
        <v>64</v>
      </c>
      <c r="C884" s="17" t="s">
        <v>113</v>
      </c>
      <c r="D884" s="17" t="s">
        <v>114</v>
      </c>
      <c r="E884" s="17" t="s">
        <v>101</v>
      </c>
      <c r="F884" s="17" t="s">
        <v>158</v>
      </c>
      <c r="G884" s="17">
        <v>105.42059613161101</v>
      </c>
      <c r="H884" s="17">
        <v>97.629742666799999</v>
      </c>
      <c r="I884" s="17" t="s">
        <v>115</v>
      </c>
    </row>
    <row r="885" spans="1:9" ht="15.6" x14ac:dyDescent="0.3">
      <c r="A885" s="17" t="s">
        <v>195</v>
      </c>
      <c r="B885" s="17" t="s">
        <v>64</v>
      </c>
      <c r="C885" s="17" t="s">
        <v>113</v>
      </c>
      <c r="D885" s="17" t="s">
        <v>114</v>
      </c>
      <c r="E885" s="17" t="s">
        <v>101</v>
      </c>
      <c r="F885" s="17" t="s">
        <v>160</v>
      </c>
      <c r="G885" s="17">
        <v>99.522437578636797</v>
      </c>
      <c r="H885" s="17">
        <v>92.167473216000005</v>
      </c>
      <c r="I885" s="17" t="s">
        <v>115</v>
      </c>
    </row>
    <row r="886" spans="1:9" ht="15.6" x14ac:dyDescent="0.3">
      <c r="A886" s="17" t="s">
        <v>195</v>
      </c>
      <c r="B886" s="17" t="s">
        <v>64</v>
      </c>
      <c r="C886" s="17" t="s">
        <v>113</v>
      </c>
      <c r="D886" s="17" t="s">
        <v>114</v>
      </c>
      <c r="E886" s="17" t="s">
        <v>102</v>
      </c>
      <c r="F886" s="17" t="s">
        <v>165</v>
      </c>
      <c r="G886" s="17">
        <v>12.3615504</v>
      </c>
      <c r="H886" s="17">
        <v>11.448</v>
      </c>
      <c r="I886" s="17" t="s">
        <v>115</v>
      </c>
    </row>
    <row r="887" spans="1:9" ht="15.6" x14ac:dyDescent="0.3">
      <c r="A887" s="17" t="s">
        <v>195</v>
      </c>
      <c r="B887" s="17" t="s">
        <v>64</v>
      </c>
      <c r="C887" s="17" t="s">
        <v>113</v>
      </c>
      <c r="D887" s="17" t="s">
        <v>114</v>
      </c>
      <c r="E887" s="17" t="s">
        <v>102</v>
      </c>
      <c r="F887" s="17" t="s">
        <v>166</v>
      </c>
      <c r="G887" s="17">
        <v>94.966103149833302</v>
      </c>
      <c r="H887" s="17">
        <v>87.947863631999695</v>
      </c>
      <c r="I887" s="17" t="s">
        <v>115</v>
      </c>
    </row>
    <row r="888" spans="1:9" ht="15.6" x14ac:dyDescent="0.3">
      <c r="A888" s="17" t="s">
        <v>195</v>
      </c>
      <c r="B888" s="17" t="s">
        <v>64</v>
      </c>
      <c r="C888" s="17" t="s">
        <v>113</v>
      </c>
      <c r="D888" s="17" t="s">
        <v>114</v>
      </c>
      <c r="E888" s="17" t="s">
        <v>103</v>
      </c>
      <c r="F888" s="17" t="s">
        <v>103</v>
      </c>
      <c r="G888" s="17">
        <v>30.741906</v>
      </c>
      <c r="H888" s="17">
        <v>28.47</v>
      </c>
      <c r="I888" s="17" t="s">
        <v>115</v>
      </c>
    </row>
    <row r="889" spans="1:9" ht="15.6" x14ac:dyDescent="0.3">
      <c r="A889" s="17" t="s">
        <v>195</v>
      </c>
      <c r="B889" s="17" t="s">
        <v>65</v>
      </c>
      <c r="C889" s="17" t="s">
        <v>113</v>
      </c>
      <c r="D889" s="17" t="s">
        <v>114</v>
      </c>
      <c r="E889" s="17" t="s">
        <v>71</v>
      </c>
      <c r="F889" s="17" t="s">
        <v>71</v>
      </c>
      <c r="G889" s="17">
        <v>24.974629199999999</v>
      </c>
      <c r="H889" s="17">
        <v>21.948</v>
      </c>
      <c r="I889" s="17" t="s">
        <v>115</v>
      </c>
    </row>
    <row r="890" spans="1:9" ht="15.6" x14ac:dyDescent="0.3">
      <c r="A890" s="17" t="s">
        <v>195</v>
      </c>
      <c r="B890" s="17" t="s">
        <v>65</v>
      </c>
      <c r="C890" s="17" t="s">
        <v>113</v>
      </c>
      <c r="D890" s="17" t="s">
        <v>114</v>
      </c>
      <c r="E890" s="17" t="s">
        <v>72</v>
      </c>
      <c r="F890" s="17" t="s">
        <v>116</v>
      </c>
      <c r="G890" s="17">
        <v>188.90132248800001</v>
      </c>
      <c r="H890" s="17">
        <v>166.00872000000001</v>
      </c>
      <c r="I890" s="17" t="s">
        <v>115</v>
      </c>
    </row>
    <row r="891" spans="1:9" ht="15.6" x14ac:dyDescent="0.3">
      <c r="A891" s="17" t="s">
        <v>195</v>
      </c>
      <c r="B891" s="17" t="s">
        <v>65</v>
      </c>
      <c r="C891" s="17" t="s">
        <v>113</v>
      </c>
      <c r="D891" s="17" t="s">
        <v>114</v>
      </c>
      <c r="E891" s="17" t="s">
        <v>73</v>
      </c>
      <c r="F891" s="17" t="s">
        <v>117</v>
      </c>
      <c r="G891" s="17">
        <v>0</v>
      </c>
      <c r="H891" s="17">
        <v>0</v>
      </c>
      <c r="I891" s="17" t="s">
        <v>115</v>
      </c>
    </row>
    <row r="892" spans="1:9" ht="15.6" x14ac:dyDescent="0.3">
      <c r="A892" s="17" t="s">
        <v>195</v>
      </c>
      <c r="B892" s="17" t="s">
        <v>65</v>
      </c>
      <c r="C892" s="17" t="s">
        <v>113</v>
      </c>
      <c r="D892" s="17" t="s">
        <v>114</v>
      </c>
      <c r="E892" s="17" t="s">
        <v>73</v>
      </c>
      <c r="F892" s="17" t="s">
        <v>118</v>
      </c>
      <c r="G892" s="17">
        <v>678.97127520000004</v>
      </c>
      <c r="H892" s="17">
        <v>596.68799999999999</v>
      </c>
      <c r="I892" s="17" t="s">
        <v>115</v>
      </c>
    </row>
    <row r="893" spans="1:9" ht="15.6" x14ac:dyDescent="0.3">
      <c r="A893" s="17" t="s">
        <v>195</v>
      </c>
      <c r="B893" s="17" t="s">
        <v>65</v>
      </c>
      <c r="C893" s="17" t="s">
        <v>113</v>
      </c>
      <c r="D893" s="17" t="s">
        <v>114</v>
      </c>
      <c r="E893" s="17" t="s">
        <v>73</v>
      </c>
      <c r="F893" s="17" t="s">
        <v>119</v>
      </c>
      <c r="G893" s="17">
        <v>94.818931199999994</v>
      </c>
      <c r="H893" s="17">
        <v>83.328000000000003</v>
      </c>
      <c r="I893" s="17" t="s">
        <v>115</v>
      </c>
    </row>
    <row r="894" spans="1:9" ht="15.6" x14ac:dyDescent="0.3">
      <c r="A894" s="17" t="s">
        <v>195</v>
      </c>
      <c r="B894" s="17" t="s">
        <v>65</v>
      </c>
      <c r="C894" s="17" t="s">
        <v>113</v>
      </c>
      <c r="D894" s="17" t="s">
        <v>114</v>
      </c>
      <c r="E894" s="17" t="s">
        <v>73</v>
      </c>
      <c r="F894" s="17" t="s">
        <v>120</v>
      </c>
      <c r="G894" s="17">
        <v>6.1546485797260297</v>
      </c>
      <c r="H894" s="17">
        <v>5.4087780821917804</v>
      </c>
      <c r="I894" s="17" t="s">
        <v>115</v>
      </c>
    </row>
    <row r="895" spans="1:9" ht="15.6" x14ac:dyDescent="0.3">
      <c r="A895" s="17" t="s">
        <v>195</v>
      </c>
      <c r="B895" s="17" t="s">
        <v>65</v>
      </c>
      <c r="C895" s="17" t="s">
        <v>113</v>
      </c>
      <c r="D895" s="17" t="s">
        <v>114</v>
      </c>
      <c r="E895" s="17" t="s">
        <v>80</v>
      </c>
      <c r="F895" s="17" t="s">
        <v>80</v>
      </c>
      <c r="G895" s="17">
        <v>0.34680656303640001</v>
      </c>
      <c r="H895" s="17">
        <v>0.30477771599999998</v>
      </c>
      <c r="I895" s="17" t="s">
        <v>115</v>
      </c>
    </row>
    <row r="896" spans="1:9" ht="15.6" x14ac:dyDescent="0.3">
      <c r="A896" s="17" t="s">
        <v>195</v>
      </c>
      <c r="B896" s="17" t="s">
        <v>65</v>
      </c>
      <c r="C896" s="17" t="s">
        <v>113</v>
      </c>
      <c r="D896" s="17" t="s">
        <v>114</v>
      </c>
      <c r="E896" s="17" t="s">
        <v>77</v>
      </c>
      <c r="F896" s="17" t="s">
        <v>77</v>
      </c>
      <c r="G896" s="17">
        <v>1.6784025E-4</v>
      </c>
      <c r="H896" s="17">
        <v>1.4750000000000001E-4</v>
      </c>
      <c r="I896" s="17" t="s">
        <v>115</v>
      </c>
    </row>
    <row r="897" spans="1:9" ht="15.6" x14ac:dyDescent="0.3">
      <c r="A897" s="17" t="s">
        <v>195</v>
      </c>
      <c r="B897" s="17" t="s">
        <v>65</v>
      </c>
      <c r="C897" s="17" t="s">
        <v>113</v>
      </c>
      <c r="D897" s="17" t="s">
        <v>114</v>
      </c>
      <c r="E897" s="17" t="s">
        <v>78</v>
      </c>
      <c r="F897" s="17" t="s">
        <v>123</v>
      </c>
      <c r="G897" s="17">
        <v>2.9421542399999998</v>
      </c>
      <c r="H897" s="17">
        <v>2.5855999999999999</v>
      </c>
      <c r="I897" s="17" t="s">
        <v>115</v>
      </c>
    </row>
    <row r="898" spans="1:9" ht="15.6" x14ac:dyDescent="0.3">
      <c r="A898" s="17" t="s">
        <v>195</v>
      </c>
      <c r="B898" s="17" t="s">
        <v>65</v>
      </c>
      <c r="C898" s="17" t="s">
        <v>113</v>
      </c>
      <c r="D898" s="17" t="s">
        <v>114</v>
      </c>
      <c r="E898" s="17" t="s">
        <v>78</v>
      </c>
      <c r="F898" s="17" t="s">
        <v>125</v>
      </c>
      <c r="G898" s="17">
        <v>202.84478496</v>
      </c>
      <c r="H898" s="17">
        <v>178.26240000000001</v>
      </c>
      <c r="I898" s="17" t="s">
        <v>115</v>
      </c>
    </row>
    <row r="899" spans="1:9" ht="15.6" x14ac:dyDescent="0.3">
      <c r="A899" s="17" t="s">
        <v>195</v>
      </c>
      <c r="B899" s="17" t="s">
        <v>65</v>
      </c>
      <c r="C899" s="17" t="s">
        <v>113</v>
      </c>
      <c r="D899" s="17" t="s">
        <v>114</v>
      </c>
      <c r="E899" s="17" t="s">
        <v>81</v>
      </c>
      <c r="F899" s="17" t="s">
        <v>81</v>
      </c>
      <c r="G899" s="17">
        <v>45.573409317317498</v>
      </c>
      <c r="H899" s="17">
        <v>40.050451988151401</v>
      </c>
      <c r="I899" s="17" t="s">
        <v>115</v>
      </c>
    </row>
    <row r="900" spans="1:9" ht="15.6" x14ac:dyDescent="0.3">
      <c r="A900" s="17" t="s">
        <v>195</v>
      </c>
      <c r="B900" s="17" t="s">
        <v>65</v>
      </c>
      <c r="C900" s="17" t="s">
        <v>113</v>
      </c>
      <c r="D900" s="17" t="s">
        <v>114</v>
      </c>
      <c r="E900" s="17" t="s">
        <v>83</v>
      </c>
      <c r="F900" s="17" t="s">
        <v>127</v>
      </c>
      <c r="G900" s="17">
        <v>0.110344095323029</v>
      </c>
      <c r="H900" s="17">
        <v>9.6971698148369201E-2</v>
      </c>
      <c r="I900" s="17" t="s">
        <v>115</v>
      </c>
    </row>
    <row r="901" spans="1:9" ht="15.6" x14ac:dyDescent="0.3">
      <c r="A901" s="17" t="s">
        <v>195</v>
      </c>
      <c r="B901" s="17" t="s">
        <v>65</v>
      </c>
      <c r="C901" s="17" t="s">
        <v>113</v>
      </c>
      <c r="D901" s="17" t="s">
        <v>114</v>
      </c>
      <c r="E901" s="17" t="s">
        <v>83</v>
      </c>
      <c r="F901" s="17" t="s">
        <v>128</v>
      </c>
      <c r="G901" s="17">
        <v>0.39897808739313501</v>
      </c>
      <c r="H901" s="17">
        <v>0.35062666964859401</v>
      </c>
      <c r="I901" s="17" t="s">
        <v>115</v>
      </c>
    </row>
    <row r="902" spans="1:9" ht="15.6" x14ac:dyDescent="0.3">
      <c r="A902" s="17" t="s">
        <v>195</v>
      </c>
      <c r="B902" s="17" t="s">
        <v>65</v>
      </c>
      <c r="C902" s="17" t="s">
        <v>113</v>
      </c>
      <c r="D902" s="17" t="s">
        <v>114</v>
      </c>
      <c r="E902" s="17" t="s">
        <v>85</v>
      </c>
      <c r="F902" s="17" t="s">
        <v>85</v>
      </c>
      <c r="G902" s="17">
        <v>31.2302945227745</v>
      </c>
      <c r="H902" s="17">
        <v>27.445552792665801</v>
      </c>
      <c r="I902" s="17" t="s">
        <v>115</v>
      </c>
    </row>
    <row r="903" spans="1:9" ht="15.6" x14ac:dyDescent="0.3">
      <c r="A903" s="17" t="s">
        <v>195</v>
      </c>
      <c r="B903" s="17" t="s">
        <v>65</v>
      </c>
      <c r="C903" s="17" t="s">
        <v>113</v>
      </c>
      <c r="D903" s="17" t="s">
        <v>114</v>
      </c>
      <c r="E903" s="17" t="s">
        <v>87</v>
      </c>
      <c r="F903" s="17" t="s">
        <v>87</v>
      </c>
      <c r="G903" s="17">
        <v>1.1897723093999999E-3</v>
      </c>
      <c r="H903" s="17">
        <v>1.045586E-3</v>
      </c>
      <c r="I903" s="17" t="s">
        <v>115</v>
      </c>
    </row>
    <row r="904" spans="1:9" ht="15.6" x14ac:dyDescent="0.3">
      <c r="A904" s="17" t="s">
        <v>195</v>
      </c>
      <c r="B904" s="17" t="s">
        <v>65</v>
      </c>
      <c r="C904" s="17" t="s">
        <v>113</v>
      </c>
      <c r="D904" s="17" t="s">
        <v>114</v>
      </c>
      <c r="E904" s="17" t="s">
        <v>88</v>
      </c>
      <c r="F904" s="17" t="s">
        <v>88</v>
      </c>
      <c r="G904" s="17">
        <v>13.46090184</v>
      </c>
      <c r="H904" s="17">
        <v>11.829599999999999</v>
      </c>
      <c r="I904" s="17" t="s">
        <v>115</v>
      </c>
    </row>
    <row r="905" spans="1:9" ht="15.6" x14ac:dyDescent="0.3">
      <c r="A905" s="17" t="s">
        <v>195</v>
      </c>
      <c r="B905" s="17" t="s">
        <v>65</v>
      </c>
      <c r="C905" s="17" t="s">
        <v>113</v>
      </c>
      <c r="D905" s="17" t="s">
        <v>114</v>
      </c>
      <c r="E905" s="17" t="s">
        <v>89</v>
      </c>
      <c r="F905" s="17" t="s">
        <v>89</v>
      </c>
      <c r="G905" s="17">
        <v>59.093990782784999</v>
      </c>
      <c r="H905" s="17">
        <v>51.932499149999998</v>
      </c>
      <c r="I905" s="17" t="s">
        <v>115</v>
      </c>
    </row>
    <row r="906" spans="1:9" ht="15.6" x14ac:dyDescent="0.3">
      <c r="A906" s="17" t="s">
        <v>195</v>
      </c>
      <c r="B906" s="17" t="s">
        <v>65</v>
      </c>
      <c r="C906" s="17" t="s">
        <v>113</v>
      </c>
      <c r="D906" s="17" t="s">
        <v>114</v>
      </c>
      <c r="E906" s="17" t="s">
        <v>90</v>
      </c>
      <c r="F906" s="17" t="s">
        <v>90</v>
      </c>
      <c r="G906" s="17">
        <v>11.369304688961099</v>
      </c>
      <c r="H906" s="17">
        <v>9.99147964580464</v>
      </c>
      <c r="I906" s="17" t="s">
        <v>115</v>
      </c>
    </row>
    <row r="907" spans="1:9" ht="15.6" x14ac:dyDescent="0.3">
      <c r="A907" s="17" t="s">
        <v>195</v>
      </c>
      <c r="B907" s="17" t="s">
        <v>65</v>
      </c>
      <c r="C907" s="17" t="s">
        <v>113</v>
      </c>
      <c r="D907" s="17" t="s">
        <v>114</v>
      </c>
      <c r="E907" s="17" t="s">
        <v>91</v>
      </c>
      <c r="F907" s="17" t="s">
        <v>91</v>
      </c>
      <c r="G907" s="17">
        <v>11.352231195680799</v>
      </c>
      <c r="H907" s="17">
        <v>9.9764752576507192</v>
      </c>
      <c r="I907" s="17" t="s">
        <v>115</v>
      </c>
    </row>
    <row r="908" spans="1:9" ht="15.6" x14ac:dyDescent="0.3">
      <c r="A908" s="17" t="s">
        <v>195</v>
      </c>
      <c r="B908" s="17" t="s">
        <v>65</v>
      </c>
      <c r="C908" s="17" t="s">
        <v>113</v>
      </c>
      <c r="D908" s="17" t="s">
        <v>114</v>
      </c>
      <c r="E908" s="17" t="s">
        <v>93</v>
      </c>
      <c r="F908" s="17" t="s">
        <v>130</v>
      </c>
      <c r="G908" s="17">
        <v>75.803113344600007</v>
      </c>
      <c r="H908" s="17">
        <v>66.616674000000003</v>
      </c>
      <c r="I908" s="17" t="s">
        <v>115</v>
      </c>
    </row>
    <row r="909" spans="1:9" ht="15.6" x14ac:dyDescent="0.3">
      <c r="A909" s="17" t="s">
        <v>195</v>
      </c>
      <c r="B909" s="17" t="s">
        <v>65</v>
      </c>
      <c r="C909" s="17" t="s">
        <v>113</v>
      </c>
      <c r="D909" s="17" t="s">
        <v>114</v>
      </c>
      <c r="E909" s="17" t="s">
        <v>93</v>
      </c>
      <c r="F909" s="17" t="s">
        <v>131</v>
      </c>
      <c r="G909" s="17">
        <v>98.580601020000003</v>
      </c>
      <c r="H909" s="17">
        <v>86.633799999999994</v>
      </c>
      <c r="I909" s="17" t="s">
        <v>115</v>
      </c>
    </row>
    <row r="910" spans="1:9" ht="15.6" x14ac:dyDescent="0.3">
      <c r="A910" s="17" t="s">
        <v>195</v>
      </c>
      <c r="B910" s="17" t="s">
        <v>65</v>
      </c>
      <c r="C910" s="17" t="s">
        <v>113</v>
      </c>
      <c r="D910" s="17" t="s">
        <v>114</v>
      </c>
      <c r="E910" s="17" t="s">
        <v>93</v>
      </c>
      <c r="F910" s="17" t="s">
        <v>132</v>
      </c>
      <c r="G910" s="17">
        <v>0.3394856376</v>
      </c>
      <c r="H910" s="17">
        <v>0.298344</v>
      </c>
      <c r="I910" s="17" t="s">
        <v>115</v>
      </c>
    </row>
    <row r="911" spans="1:9" ht="15.6" x14ac:dyDescent="0.3">
      <c r="A911" s="17" t="s">
        <v>195</v>
      </c>
      <c r="B911" s="17" t="s">
        <v>65</v>
      </c>
      <c r="C911" s="17" t="s">
        <v>113</v>
      </c>
      <c r="D911" s="17" t="s">
        <v>114</v>
      </c>
      <c r="E911" s="17" t="s">
        <v>93</v>
      </c>
      <c r="F911" s="17" t="s">
        <v>133</v>
      </c>
      <c r="G911" s="17">
        <v>10.043343991935499</v>
      </c>
      <c r="H911" s="17">
        <v>8.8262096774193601</v>
      </c>
      <c r="I911" s="17" t="s">
        <v>115</v>
      </c>
    </row>
    <row r="912" spans="1:9" ht="15.6" x14ac:dyDescent="0.3">
      <c r="A912" s="17" t="s">
        <v>195</v>
      </c>
      <c r="B912" s="17" t="s">
        <v>65</v>
      </c>
      <c r="C912" s="17" t="s">
        <v>113</v>
      </c>
      <c r="D912" s="17" t="s">
        <v>114</v>
      </c>
      <c r="E912" s="17" t="s">
        <v>93</v>
      </c>
      <c r="F912" s="17" t="s">
        <v>134</v>
      </c>
      <c r="G912" s="17">
        <v>3.4401755192999999</v>
      </c>
      <c r="H912" s="17">
        <v>3.0232670000000001</v>
      </c>
      <c r="I912" s="17" t="s">
        <v>115</v>
      </c>
    </row>
    <row r="913" spans="1:9" ht="15.6" x14ac:dyDescent="0.3">
      <c r="A913" s="17" t="s">
        <v>195</v>
      </c>
      <c r="B913" s="17" t="s">
        <v>65</v>
      </c>
      <c r="C913" s="17" t="s">
        <v>113</v>
      </c>
      <c r="D913" s="17" t="s">
        <v>114</v>
      </c>
      <c r="E913" s="17" t="s">
        <v>93</v>
      </c>
      <c r="F913" s="17" t="s">
        <v>136</v>
      </c>
      <c r="G913" s="17">
        <v>24.111099648</v>
      </c>
      <c r="H913" s="17">
        <v>21.189119999999999</v>
      </c>
      <c r="I913" s="17" t="s">
        <v>115</v>
      </c>
    </row>
    <row r="914" spans="1:9" ht="15.6" x14ac:dyDescent="0.3">
      <c r="A914" s="17" t="s">
        <v>195</v>
      </c>
      <c r="B914" s="17" t="s">
        <v>65</v>
      </c>
      <c r="C914" s="17" t="s">
        <v>113</v>
      </c>
      <c r="D914" s="17" t="s">
        <v>114</v>
      </c>
      <c r="E914" s="17" t="s">
        <v>93</v>
      </c>
      <c r="F914" s="17" t="s">
        <v>137</v>
      </c>
      <c r="G914" s="17">
        <v>34.884588921000002</v>
      </c>
      <c r="H914" s="17">
        <v>30.65699</v>
      </c>
      <c r="I914" s="17" t="s">
        <v>115</v>
      </c>
    </row>
    <row r="915" spans="1:9" ht="15.6" x14ac:dyDescent="0.3">
      <c r="A915" s="17" t="s">
        <v>195</v>
      </c>
      <c r="B915" s="17" t="s">
        <v>65</v>
      </c>
      <c r="C915" s="17" t="s">
        <v>113</v>
      </c>
      <c r="D915" s="17" t="s">
        <v>114</v>
      </c>
      <c r="E915" s="17" t="s">
        <v>96</v>
      </c>
      <c r="F915" s="17" t="s">
        <v>96</v>
      </c>
      <c r="G915" s="17">
        <v>2.9798870039999999E-4</v>
      </c>
      <c r="H915" s="17">
        <v>2.6187600000000002E-4</v>
      </c>
      <c r="I915" s="17" t="s">
        <v>115</v>
      </c>
    </row>
    <row r="916" spans="1:9" ht="15.6" x14ac:dyDescent="0.3">
      <c r="A916" s="17" t="s">
        <v>195</v>
      </c>
      <c r="B916" s="17" t="s">
        <v>65</v>
      </c>
      <c r="C916" s="17" t="s">
        <v>113</v>
      </c>
      <c r="D916" s="17" t="s">
        <v>114</v>
      </c>
      <c r="E916" s="17" t="s">
        <v>99</v>
      </c>
      <c r="F916" s="17" t="s">
        <v>142</v>
      </c>
      <c r="G916" s="17">
        <v>3.8651652387000001E-3</v>
      </c>
      <c r="H916" s="17">
        <v>3.3967530000000002E-3</v>
      </c>
      <c r="I916" s="17" t="s">
        <v>115</v>
      </c>
    </row>
    <row r="917" spans="1:9" ht="15.6" x14ac:dyDescent="0.3">
      <c r="A917" s="17" t="s">
        <v>195</v>
      </c>
      <c r="B917" s="17" t="s">
        <v>65</v>
      </c>
      <c r="C917" s="17" t="s">
        <v>113</v>
      </c>
      <c r="D917" s="17" t="s">
        <v>114</v>
      </c>
      <c r="E917" s="17" t="s">
        <v>99</v>
      </c>
      <c r="F917" s="17" t="s">
        <v>143</v>
      </c>
      <c r="G917" s="17">
        <v>9.1926160263352799</v>
      </c>
      <c r="H917" s="17">
        <v>8.0785798631999999</v>
      </c>
      <c r="I917" s="17" t="s">
        <v>115</v>
      </c>
    </row>
    <row r="918" spans="1:9" ht="15.6" x14ac:dyDescent="0.3">
      <c r="A918" s="17" t="s">
        <v>195</v>
      </c>
      <c r="B918" s="17" t="s">
        <v>65</v>
      </c>
      <c r="C918" s="17" t="s">
        <v>113</v>
      </c>
      <c r="D918" s="17" t="s">
        <v>114</v>
      </c>
      <c r="E918" s="17" t="s">
        <v>99</v>
      </c>
      <c r="F918" s="17" t="s">
        <v>144</v>
      </c>
      <c r="G918" s="17">
        <v>4.0117574819999998E-4</v>
      </c>
      <c r="H918" s="17">
        <v>3.5255799999999999E-4</v>
      </c>
      <c r="I918" s="17" t="s">
        <v>115</v>
      </c>
    </row>
    <row r="919" spans="1:9" ht="15.6" x14ac:dyDescent="0.3">
      <c r="A919" s="17" t="s">
        <v>195</v>
      </c>
      <c r="B919" s="17" t="s">
        <v>65</v>
      </c>
      <c r="C919" s="17" t="s">
        <v>113</v>
      </c>
      <c r="D919" s="17" t="s">
        <v>114</v>
      </c>
      <c r="E919" s="17" t="s">
        <v>99</v>
      </c>
      <c r="F919" s="17" t="s">
        <v>147</v>
      </c>
      <c r="G919" s="17">
        <v>3.7692983016000001E-4</v>
      </c>
      <c r="H919" s="17">
        <v>3.3125039999999998E-4</v>
      </c>
      <c r="I919" s="17" t="s">
        <v>115</v>
      </c>
    </row>
    <row r="920" spans="1:9" ht="15.6" x14ac:dyDescent="0.3">
      <c r="A920" s="17" t="s">
        <v>195</v>
      </c>
      <c r="B920" s="17" t="s">
        <v>65</v>
      </c>
      <c r="C920" s="17" t="s">
        <v>113</v>
      </c>
      <c r="D920" s="17" t="s">
        <v>114</v>
      </c>
      <c r="E920" s="17" t="s">
        <v>99</v>
      </c>
      <c r="F920" s="17" t="s">
        <v>148</v>
      </c>
      <c r="G920" s="17">
        <v>68.576843801088003</v>
      </c>
      <c r="H920" s="17">
        <v>60.266142719999998</v>
      </c>
      <c r="I920" s="17" t="s">
        <v>115</v>
      </c>
    </row>
    <row r="921" spans="1:9" ht="15.6" x14ac:dyDescent="0.3">
      <c r="A921" s="17" t="s">
        <v>195</v>
      </c>
      <c r="B921" s="17" t="s">
        <v>65</v>
      </c>
      <c r="C921" s="17" t="s">
        <v>113</v>
      </c>
      <c r="D921" s="17" t="s">
        <v>114</v>
      </c>
      <c r="E921" s="17" t="s">
        <v>99</v>
      </c>
      <c r="F921" s="17" t="s">
        <v>150</v>
      </c>
      <c r="G921" s="17">
        <v>2.7280469759999998E-4</v>
      </c>
      <c r="H921" s="17">
        <v>2.3974399999999999E-4</v>
      </c>
      <c r="I921" s="17" t="s">
        <v>115</v>
      </c>
    </row>
    <row r="922" spans="1:9" ht="15.6" x14ac:dyDescent="0.3">
      <c r="A922" s="17" t="s">
        <v>195</v>
      </c>
      <c r="B922" s="17" t="s">
        <v>65</v>
      </c>
      <c r="C922" s="17" t="s">
        <v>113</v>
      </c>
      <c r="D922" s="17" t="s">
        <v>114</v>
      </c>
      <c r="E922" s="17" t="s">
        <v>99</v>
      </c>
      <c r="F922" s="17" t="s">
        <v>152</v>
      </c>
      <c r="G922" s="17">
        <v>5.5030484846110497</v>
      </c>
      <c r="H922" s="17">
        <v>4.8361441994999996</v>
      </c>
      <c r="I922" s="17" t="s">
        <v>115</v>
      </c>
    </row>
    <row r="923" spans="1:9" ht="15.6" x14ac:dyDescent="0.3">
      <c r="A923" s="17" t="s">
        <v>195</v>
      </c>
      <c r="B923" s="17" t="s">
        <v>65</v>
      </c>
      <c r="C923" s="17" t="s">
        <v>113</v>
      </c>
      <c r="D923" s="17" t="s">
        <v>114</v>
      </c>
      <c r="E923" s="17" t="s">
        <v>99</v>
      </c>
      <c r="F923" s="17" t="s">
        <v>153</v>
      </c>
      <c r="G923" s="17">
        <v>0</v>
      </c>
      <c r="H923" s="17">
        <v>0</v>
      </c>
      <c r="I923" s="17" t="s">
        <v>115</v>
      </c>
    </row>
    <row r="924" spans="1:9" ht="15.6" x14ac:dyDescent="0.3">
      <c r="A924" s="17" t="s">
        <v>195</v>
      </c>
      <c r="B924" s="17" t="s">
        <v>65</v>
      </c>
      <c r="C924" s="17" t="s">
        <v>113</v>
      </c>
      <c r="D924" s="17" t="s">
        <v>114</v>
      </c>
      <c r="E924" s="17" t="s">
        <v>99</v>
      </c>
      <c r="F924" s="17" t="s">
        <v>154</v>
      </c>
      <c r="G924" s="17">
        <v>7.8545637822299997E-3</v>
      </c>
      <c r="H924" s="17">
        <v>6.9026837000000004E-3</v>
      </c>
      <c r="I924" s="17" t="s">
        <v>115</v>
      </c>
    </row>
    <row r="925" spans="1:9" ht="15.6" x14ac:dyDescent="0.3">
      <c r="A925" s="17" t="s">
        <v>195</v>
      </c>
      <c r="B925" s="17" t="s">
        <v>65</v>
      </c>
      <c r="C925" s="17" t="s">
        <v>113</v>
      </c>
      <c r="D925" s="17" t="s">
        <v>114</v>
      </c>
      <c r="E925" s="17" t="s">
        <v>101</v>
      </c>
      <c r="F925" s="17" t="s">
        <v>157</v>
      </c>
      <c r="G925" s="17">
        <v>573.80521333850697</v>
      </c>
      <c r="H925" s="17">
        <v>504.2668189986</v>
      </c>
      <c r="I925" s="17" t="s">
        <v>115</v>
      </c>
    </row>
    <row r="926" spans="1:9" ht="15.6" x14ac:dyDescent="0.3">
      <c r="A926" s="17" t="s">
        <v>195</v>
      </c>
      <c r="B926" s="17" t="s">
        <v>65</v>
      </c>
      <c r="C926" s="17" t="s">
        <v>113</v>
      </c>
      <c r="D926" s="17" t="s">
        <v>114</v>
      </c>
      <c r="E926" s="17" t="s">
        <v>101</v>
      </c>
      <c r="F926" s="17" t="s">
        <v>158</v>
      </c>
      <c r="G926" s="17">
        <v>114.79863456</v>
      </c>
      <c r="H926" s="17">
        <v>100.88639999999999</v>
      </c>
      <c r="I926" s="17" t="s">
        <v>115</v>
      </c>
    </row>
    <row r="927" spans="1:9" ht="15.6" x14ac:dyDescent="0.3">
      <c r="A927" s="17" t="s">
        <v>195</v>
      </c>
      <c r="B927" s="17" t="s">
        <v>65</v>
      </c>
      <c r="C927" s="17" t="s">
        <v>113</v>
      </c>
      <c r="D927" s="17" t="s">
        <v>114</v>
      </c>
      <c r="E927" s="17" t="s">
        <v>101</v>
      </c>
      <c r="F927" s="17" t="s">
        <v>160</v>
      </c>
      <c r="G927" s="17">
        <v>108.348732539078</v>
      </c>
      <c r="H927" s="17">
        <v>95.218149695999998</v>
      </c>
      <c r="I927" s="17" t="s">
        <v>115</v>
      </c>
    </row>
    <row r="928" spans="1:9" ht="15.6" x14ac:dyDescent="0.3">
      <c r="A928" s="17" t="s">
        <v>195</v>
      </c>
      <c r="B928" s="17" t="s">
        <v>65</v>
      </c>
      <c r="C928" s="17" t="s">
        <v>113</v>
      </c>
      <c r="D928" s="17" t="s">
        <v>114</v>
      </c>
      <c r="E928" s="17" t="s">
        <v>102</v>
      </c>
      <c r="F928" s="17" t="s">
        <v>165</v>
      </c>
      <c r="G928" s="17">
        <v>13.46090184</v>
      </c>
      <c r="H928" s="17">
        <v>11.829599999999999</v>
      </c>
      <c r="I928" s="17" t="s">
        <v>115</v>
      </c>
    </row>
    <row r="929" spans="1:9" ht="15.6" x14ac:dyDescent="0.3">
      <c r="A929" s="17" t="s">
        <v>195</v>
      </c>
      <c r="B929" s="17" t="s">
        <v>65</v>
      </c>
      <c r="C929" s="17" t="s">
        <v>113</v>
      </c>
      <c r="D929" s="17" t="s">
        <v>114</v>
      </c>
      <c r="E929" s="17" t="s">
        <v>102</v>
      </c>
      <c r="F929" s="17" t="s">
        <v>166</v>
      </c>
      <c r="G929" s="17">
        <v>104.16231254875299</v>
      </c>
      <c r="H929" s="17">
        <v>91.539074214564295</v>
      </c>
      <c r="I929" s="17" t="s">
        <v>115</v>
      </c>
    </row>
    <row r="930" spans="1:9" ht="15.6" x14ac:dyDescent="0.3">
      <c r="A930" s="17" t="s">
        <v>195</v>
      </c>
      <c r="B930" s="17" t="s">
        <v>65</v>
      </c>
      <c r="C930" s="17" t="s">
        <v>113</v>
      </c>
      <c r="D930" s="17" t="s">
        <v>114</v>
      </c>
      <c r="E930" s="17" t="s">
        <v>103</v>
      </c>
      <c r="F930" s="17" t="s">
        <v>103</v>
      </c>
      <c r="G930" s="17">
        <v>33.475880099999998</v>
      </c>
      <c r="H930" s="17">
        <v>29.419</v>
      </c>
      <c r="I930" s="17" t="s">
        <v>115</v>
      </c>
    </row>
    <row r="931" spans="1:9" ht="15.6" x14ac:dyDescent="0.3">
      <c r="A931" s="17" t="s">
        <v>195</v>
      </c>
      <c r="B931" s="17" t="s">
        <v>66</v>
      </c>
      <c r="C931" s="17" t="s">
        <v>113</v>
      </c>
      <c r="D931" s="17" t="s">
        <v>114</v>
      </c>
      <c r="E931" s="17" t="s">
        <v>71</v>
      </c>
      <c r="F931" s="17" t="s">
        <v>71</v>
      </c>
      <c r="G931" s="17">
        <v>24.005448000000001</v>
      </c>
      <c r="H931" s="17">
        <v>21.24</v>
      </c>
      <c r="I931" s="17" t="s">
        <v>115</v>
      </c>
    </row>
    <row r="932" spans="1:9" ht="15.6" x14ac:dyDescent="0.3">
      <c r="A932" s="17" t="s">
        <v>195</v>
      </c>
      <c r="B932" s="17" t="s">
        <v>66</v>
      </c>
      <c r="C932" s="17" t="s">
        <v>113</v>
      </c>
      <c r="D932" s="17" t="s">
        <v>114</v>
      </c>
      <c r="E932" s="17" t="s">
        <v>72</v>
      </c>
      <c r="F932" s="17" t="s">
        <v>116</v>
      </c>
      <c r="G932" s="17">
        <v>181.532858996111</v>
      </c>
      <c r="H932" s="17">
        <v>160.62011944444399</v>
      </c>
      <c r="I932" s="17" t="s">
        <v>115</v>
      </c>
    </row>
    <row r="933" spans="1:9" ht="15.6" x14ac:dyDescent="0.3">
      <c r="A933" s="17" t="s">
        <v>195</v>
      </c>
      <c r="B933" s="17" t="s">
        <v>66</v>
      </c>
      <c r="C933" s="17" t="s">
        <v>113</v>
      </c>
      <c r="D933" s="17" t="s">
        <v>114</v>
      </c>
      <c r="E933" s="17" t="s">
        <v>73</v>
      </c>
      <c r="F933" s="17" t="s">
        <v>117</v>
      </c>
      <c r="G933" s="17">
        <v>0</v>
      </c>
      <c r="H933" s="17">
        <v>0</v>
      </c>
      <c r="I933" s="17" t="s">
        <v>115</v>
      </c>
    </row>
    <row r="934" spans="1:9" ht="15.6" x14ac:dyDescent="0.3">
      <c r="A934" s="17" t="s">
        <v>195</v>
      </c>
      <c r="B934" s="17" t="s">
        <v>66</v>
      </c>
      <c r="C934" s="17" t="s">
        <v>113</v>
      </c>
      <c r="D934" s="17" t="s">
        <v>114</v>
      </c>
      <c r="E934" s="17" t="s">
        <v>73</v>
      </c>
      <c r="F934" s="17" t="s">
        <v>118</v>
      </c>
      <c r="G934" s="17">
        <v>652.62268800000004</v>
      </c>
      <c r="H934" s="17">
        <v>577.44000000000005</v>
      </c>
      <c r="I934" s="17" t="s">
        <v>115</v>
      </c>
    </row>
    <row r="935" spans="1:9" ht="15.6" x14ac:dyDescent="0.3">
      <c r="A935" s="17" t="s">
        <v>195</v>
      </c>
      <c r="B935" s="17" t="s">
        <v>66</v>
      </c>
      <c r="C935" s="17" t="s">
        <v>113</v>
      </c>
      <c r="D935" s="17" t="s">
        <v>114</v>
      </c>
      <c r="E935" s="17" t="s">
        <v>73</v>
      </c>
      <c r="F935" s="17" t="s">
        <v>119</v>
      </c>
      <c r="G935" s="17">
        <v>91.139328000000006</v>
      </c>
      <c r="H935" s="17">
        <v>80.64</v>
      </c>
      <c r="I935" s="17" t="s">
        <v>115</v>
      </c>
    </row>
    <row r="936" spans="1:9" ht="15.6" x14ac:dyDescent="0.3">
      <c r="A936" s="17" t="s">
        <v>195</v>
      </c>
      <c r="B936" s="17" t="s">
        <v>66</v>
      </c>
      <c r="C936" s="17" t="s">
        <v>113</v>
      </c>
      <c r="D936" s="17" t="s">
        <v>114</v>
      </c>
      <c r="E936" s="17" t="s">
        <v>73</v>
      </c>
      <c r="F936" s="17" t="s">
        <v>120</v>
      </c>
      <c r="G936" s="17">
        <v>5.9075910090411003</v>
      </c>
      <c r="H936" s="17">
        <v>5.2270315068493201</v>
      </c>
      <c r="I936" s="17" t="s">
        <v>115</v>
      </c>
    </row>
    <row r="937" spans="1:9" ht="15.6" x14ac:dyDescent="0.3">
      <c r="A937" s="17" t="s">
        <v>195</v>
      </c>
      <c r="B937" s="17" t="s">
        <v>66</v>
      </c>
      <c r="C937" s="17" t="s">
        <v>113</v>
      </c>
      <c r="D937" s="17" t="s">
        <v>114</v>
      </c>
      <c r="E937" s="17" t="s">
        <v>80</v>
      </c>
      <c r="F937" s="17" t="s">
        <v>80</v>
      </c>
      <c r="G937" s="17">
        <v>0.33664798024294201</v>
      </c>
      <c r="H937" s="17">
        <v>0.29786584696774199</v>
      </c>
      <c r="I937" s="17" t="s">
        <v>115</v>
      </c>
    </row>
    <row r="938" spans="1:9" ht="15.6" x14ac:dyDescent="0.3">
      <c r="A938" s="17" t="s">
        <v>195</v>
      </c>
      <c r="B938" s="17" t="s">
        <v>66</v>
      </c>
      <c r="C938" s="17" t="s">
        <v>113</v>
      </c>
      <c r="D938" s="17" t="s">
        <v>114</v>
      </c>
      <c r="E938" s="17" t="s">
        <v>77</v>
      </c>
      <c r="F938" s="17" t="s">
        <v>77</v>
      </c>
      <c r="G938" s="17">
        <v>1.8004086E-4</v>
      </c>
      <c r="H938" s="17">
        <v>1.593E-4</v>
      </c>
      <c r="I938" s="17" t="s">
        <v>115</v>
      </c>
    </row>
    <row r="939" spans="1:9" ht="15.6" x14ac:dyDescent="0.3">
      <c r="A939" s="17" t="s">
        <v>195</v>
      </c>
      <c r="B939" s="17" t="s">
        <v>66</v>
      </c>
      <c r="C939" s="17" t="s">
        <v>113</v>
      </c>
      <c r="D939" s="17" t="s">
        <v>114</v>
      </c>
      <c r="E939" s="17" t="s">
        <v>78</v>
      </c>
      <c r="F939" s="17" t="s">
        <v>123</v>
      </c>
      <c r="G939" s="17">
        <v>2.8279791483871</v>
      </c>
      <c r="H939" s="17">
        <v>2.5021935483870998</v>
      </c>
      <c r="I939" s="17" t="s">
        <v>115</v>
      </c>
    </row>
    <row r="940" spans="1:9" ht="15.6" x14ac:dyDescent="0.3">
      <c r="A940" s="17" t="s">
        <v>195</v>
      </c>
      <c r="B940" s="17" t="s">
        <v>66</v>
      </c>
      <c r="C940" s="17" t="s">
        <v>113</v>
      </c>
      <c r="D940" s="17" t="s">
        <v>114</v>
      </c>
      <c r="E940" s="17" t="s">
        <v>78</v>
      </c>
      <c r="F940" s="17" t="s">
        <v>125</v>
      </c>
      <c r="G940" s="17">
        <v>194.9730624</v>
      </c>
      <c r="H940" s="17">
        <v>172.512</v>
      </c>
      <c r="I940" s="17" t="s">
        <v>115</v>
      </c>
    </row>
    <row r="941" spans="1:9" ht="15.6" x14ac:dyDescent="0.3">
      <c r="A941" s="17" t="s">
        <v>195</v>
      </c>
      <c r="B941" s="17" t="s">
        <v>66</v>
      </c>
      <c r="C941" s="17" t="s">
        <v>113</v>
      </c>
      <c r="D941" s="17" t="s">
        <v>114</v>
      </c>
      <c r="E941" s="17" t="s">
        <v>81</v>
      </c>
      <c r="F941" s="17" t="s">
        <v>81</v>
      </c>
      <c r="G941" s="17">
        <v>43.792298105990803</v>
      </c>
      <c r="H941" s="17">
        <v>38.747388166687998</v>
      </c>
      <c r="I941" s="17" t="s">
        <v>115</v>
      </c>
    </row>
    <row r="942" spans="1:9" ht="15.6" x14ac:dyDescent="0.3">
      <c r="A942" s="17" t="s">
        <v>195</v>
      </c>
      <c r="B942" s="17" t="s">
        <v>66</v>
      </c>
      <c r="C942" s="17" t="s">
        <v>113</v>
      </c>
      <c r="D942" s="17" t="s">
        <v>114</v>
      </c>
      <c r="E942" s="17" t="s">
        <v>83</v>
      </c>
      <c r="F942" s="17" t="s">
        <v>127</v>
      </c>
      <c r="G942" s="17">
        <v>0.11268623810921199</v>
      </c>
      <c r="H942" s="17">
        <v>9.9704687762530594E-2</v>
      </c>
      <c r="I942" s="17" t="s">
        <v>115</v>
      </c>
    </row>
    <row r="943" spans="1:9" ht="15.6" x14ac:dyDescent="0.3">
      <c r="A943" s="17" t="s">
        <v>195</v>
      </c>
      <c r="B943" s="17" t="s">
        <v>66</v>
      </c>
      <c r="C943" s="17" t="s">
        <v>113</v>
      </c>
      <c r="D943" s="17" t="s">
        <v>114</v>
      </c>
      <c r="E943" s="17" t="s">
        <v>83</v>
      </c>
      <c r="F943" s="17" t="s">
        <v>128</v>
      </c>
      <c r="G943" s="17">
        <v>0.38601037790713599</v>
      </c>
      <c r="H943" s="17">
        <v>0.34154165449224499</v>
      </c>
      <c r="I943" s="17" t="s">
        <v>115</v>
      </c>
    </row>
    <row r="944" spans="1:9" ht="15.6" x14ac:dyDescent="0.3">
      <c r="A944" s="17" t="s">
        <v>195</v>
      </c>
      <c r="B944" s="17" t="s">
        <v>66</v>
      </c>
      <c r="C944" s="17" t="s">
        <v>113</v>
      </c>
      <c r="D944" s="17" t="s">
        <v>114</v>
      </c>
      <c r="E944" s="17" t="s">
        <v>85</v>
      </c>
      <c r="F944" s="17" t="s">
        <v>85</v>
      </c>
      <c r="G944" s="17">
        <v>30.0183520318751</v>
      </c>
      <c r="H944" s="17">
        <v>26.5602123799992</v>
      </c>
      <c r="I944" s="17" t="s">
        <v>115</v>
      </c>
    </row>
    <row r="945" spans="1:9" ht="15.6" x14ac:dyDescent="0.3">
      <c r="A945" s="17" t="s">
        <v>195</v>
      </c>
      <c r="B945" s="17" t="s">
        <v>66</v>
      </c>
      <c r="C945" s="17" t="s">
        <v>113</v>
      </c>
      <c r="D945" s="17" t="s">
        <v>114</v>
      </c>
      <c r="E945" s="17" t="s">
        <v>87</v>
      </c>
      <c r="F945" s="17" t="s">
        <v>87</v>
      </c>
      <c r="G945" s="17">
        <v>1.1474106855999999E-3</v>
      </c>
      <c r="H945" s="17">
        <v>1.015228E-3</v>
      </c>
      <c r="I945" s="17" t="s">
        <v>115</v>
      </c>
    </row>
    <row r="946" spans="1:9" ht="15.6" x14ac:dyDescent="0.3">
      <c r="A946" s="17" t="s">
        <v>195</v>
      </c>
      <c r="B946" s="17" t="s">
        <v>66</v>
      </c>
      <c r="C946" s="17" t="s">
        <v>113</v>
      </c>
      <c r="D946" s="17" t="s">
        <v>114</v>
      </c>
      <c r="E946" s="17" t="s">
        <v>88</v>
      </c>
      <c r="F946" s="17" t="s">
        <v>88</v>
      </c>
      <c r="G946" s="17">
        <v>12.938529600000001</v>
      </c>
      <c r="H946" s="17">
        <v>11.448</v>
      </c>
      <c r="I946" s="17" t="s">
        <v>115</v>
      </c>
    </row>
    <row r="947" spans="1:9" ht="15.6" x14ac:dyDescent="0.3">
      <c r="A947" s="17" t="s">
        <v>195</v>
      </c>
      <c r="B947" s="17" t="s">
        <v>66</v>
      </c>
      <c r="C947" s="17" t="s">
        <v>113</v>
      </c>
      <c r="D947" s="17" t="s">
        <v>114</v>
      </c>
      <c r="E947" s="17" t="s">
        <v>89</v>
      </c>
      <c r="F947" s="17" t="s">
        <v>89</v>
      </c>
      <c r="G947" s="17">
        <v>137.65381232384399</v>
      </c>
      <c r="H947" s="17">
        <v>121.79597622</v>
      </c>
      <c r="I947" s="17" t="s">
        <v>115</v>
      </c>
    </row>
    <row r="948" spans="1:9" ht="15.6" x14ac:dyDescent="0.3">
      <c r="A948" s="17" t="s">
        <v>195</v>
      </c>
      <c r="B948" s="17" t="s">
        <v>66</v>
      </c>
      <c r="C948" s="17" t="s">
        <v>113</v>
      </c>
      <c r="D948" s="17" t="s">
        <v>114</v>
      </c>
      <c r="E948" s="17" t="s">
        <v>90</v>
      </c>
      <c r="F948" s="17" t="s">
        <v>90</v>
      </c>
      <c r="G948" s="17">
        <v>13.3337048716295</v>
      </c>
      <c r="H948" s="17">
        <v>11.797650744673099</v>
      </c>
      <c r="I948" s="17" t="s">
        <v>115</v>
      </c>
    </row>
    <row r="949" spans="1:9" ht="15.6" x14ac:dyDescent="0.3">
      <c r="A949" s="17" t="s">
        <v>195</v>
      </c>
      <c r="B949" s="17" t="s">
        <v>66</v>
      </c>
      <c r="C949" s="17" t="s">
        <v>113</v>
      </c>
      <c r="D949" s="17" t="s">
        <v>114</v>
      </c>
      <c r="E949" s="17" t="s">
        <v>91</v>
      </c>
      <c r="F949" s="17" t="s">
        <v>91</v>
      </c>
      <c r="G949" s="17">
        <v>10.8998273839983</v>
      </c>
      <c r="H949" s="17">
        <v>9.6441580109699991</v>
      </c>
      <c r="I949" s="17" t="s">
        <v>115</v>
      </c>
    </row>
    <row r="950" spans="1:9" ht="15.6" x14ac:dyDescent="0.3">
      <c r="A950" s="17" t="s">
        <v>195</v>
      </c>
      <c r="B950" s="17" t="s">
        <v>66</v>
      </c>
      <c r="C950" s="17" t="s">
        <v>113</v>
      </c>
      <c r="D950" s="17" t="s">
        <v>114</v>
      </c>
      <c r="E950" s="17" t="s">
        <v>93</v>
      </c>
      <c r="F950" s="17" t="s">
        <v>130</v>
      </c>
      <c r="G950" s="17">
        <v>78.725285793200001</v>
      </c>
      <c r="H950" s="17">
        <v>69.656065999999996</v>
      </c>
      <c r="I950" s="17" t="s">
        <v>115</v>
      </c>
    </row>
    <row r="951" spans="1:9" ht="15.6" x14ac:dyDescent="0.3">
      <c r="A951" s="17" t="s">
        <v>195</v>
      </c>
      <c r="B951" s="17" t="s">
        <v>66</v>
      </c>
      <c r="C951" s="17" t="s">
        <v>113</v>
      </c>
      <c r="D951" s="17" t="s">
        <v>114</v>
      </c>
      <c r="E951" s="17" t="s">
        <v>93</v>
      </c>
      <c r="F951" s="17" t="s">
        <v>131</v>
      </c>
      <c r="G951" s="17">
        <v>94.8825504</v>
      </c>
      <c r="H951" s="17">
        <v>83.951999999999998</v>
      </c>
      <c r="I951" s="17" t="s">
        <v>115</v>
      </c>
    </row>
    <row r="952" spans="1:9" ht="15.6" x14ac:dyDescent="0.3">
      <c r="A952" s="17" t="s">
        <v>195</v>
      </c>
      <c r="B952" s="17" t="s">
        <v>66</v>
      </c>
      <c r="C952" s="17" t="s">
        <v>113</v>
      </c>
      <c r="D952" s="17" t="s">
        <v>114</v>
      </c>
      <c r="E952" s="17" t="s">
        <v>93</v>
      </c>
      <c r="F952" s="17" t="s">
        <v>132</v>
      </c>
      <c r="G952" s="17">
        <v>0.326311344</v>
      </c>
      <c r="H952" s="17">
        <v>0.28871999999999998</v>
      </c>
      <c r="I952" s="17" t="s">
        <v>115</v>
      </c>
    </row>
    <row r="953" spans="1:9" ht="15.6" x14ac:dyDescent="0.3">
      <c r="A953" s="17" t="s">
        <v>195</v>
      </c>
      <c r="B953" s="17" t="s">
        <v>66</v>
      </c>
      <c r="C953" s="17" t="s">
        <v>113</v>
      </c>
      <c r="D953" s="17" t="s">
        <v>114</v>
      </c>
      <c r="E953" s="17" t="s">
        <v>93</v>
      </c>
      <c r="F953" s="17" t="s">
        <v>133</v>
      </c>
      <c r="G953" s="17">
        <v>9.6796161290322598</v>
      </c>
      <c r="H953" s="17">
        <v>8.5645161290322598</v>
      </c>
      <c r="I953" s="17" t="s">
        <v>115</v>
      </c>
    </row>
    <row r="954" spans="1:9" ht="15.6" x14ac:dyDescent="0.3">
      <c r="A954" s="17" t="s">
        <v>195</v>
      </c>
      <c r="B954" s="17" t="s">
        <v>66</v>
      </c>
      <c r="C954" s="17" t="s">
        <v>113</v>
      </c>
      <c r="D954" s="17" t="s">
        <v>114</v>
      </c>
      <c r="E954" s="17" t="s">
        <v>93</v>
      </c>
      <c r="F954" s="17" t="s">
        <v>134</v>
      </c>
      <c r="G954" s="17">
        <v>3.3111243359999998</v>
      </c>
      <c r="H954" s="17">
        <v>2.9296799999999998</v>
      </c>
      <c r="I954" s="17" t="s">
        <v>115</v>
      </c>
    </row>
    <row r="955" spans="1:9" ht="15.6" x14ac:dyDescent="0.3">
      <c r="A955" s="17" t="s">
        <v>195</v>
      </c>
      <c r="B955" s="17" t="s">
        <v>66</v>
      </c>
      <c r="C955" s="17" t="s">
        <v>113</v>
      </c>
      <c r="D955" s="17" t="s">
        <v>114</v>
      </c>
      <c r="E955" s="17" t="s">
        <v>93</v>
      </c>
      <c r="F955" s="17" t="s">
        <v>136</v>
      </c>
      <c r="G955" s="17">
        <v>23.17542912</v>
      </c>
      <c r="H955" s="17">
        <v>20.505600000000001</v>
      </c>
      <c r="I955" s="17" t="s">
        <v>115</v>
      </c>
    </row>
    <row r="956" spans="1:9" ht="15.6" x14ac:dyDescent="0.3">
      <c r="A956" s="17" t="s">
        <v>195</v>
      </c>
      <c r="B956" s="17" t="s">
        <v>66</v>
      </c>
      <c r="C956" s="17" t="s">
        <v>113</v>
      </c>
      <c r="D956" s="17" t="s">
        <v>114</v>
      </c>
      <c r="E956" s="17" t="s">
        <v>93</v>
      </c>
      <c r="F956" s="17" t="s">
        <v>137</v>
      </c>
      <c r="G956" s="17">
        <v>37.173769864</v>
      </c>
      <c r="H956" s="17">
        <v>32.89132</v>
      </c>
      <c r="I956" s="17" t="s">
        <v>115</v>
      </c>
    </row>
    <row r="957" spans="1:9" ht="15.6" x14ac:dyDescent="0.3">
      <c r="A957" s="17" t="s">
        <v>195</v>
      </c>
      <c r="B957" s="17" t="s">
        <v>66</v>
      </c>
      <c r="C957" s="17" t="s">
        <v>113</v>
      </c>
      <c r="D957" s="17" t="s">
        <v>114</v>
      </c>
      <c r="E957" s="17" t="s">
        <v>96</v>
      </c>
      <c r="F957" s="17" t="s">
        <v>96</v>
      </c>
      <c r="G957" s="17">
        <v>2.9969852459999999E-4</v>
      </c>
      <c r="H957" s="17">
        <v>2.65173E-4</v>
      </c>
      <c r="I957" s="17" t="s">
        <v>115</v>
      </c>
    </row>
    <row r="958" spans="1:9" ht="15.6" x14ac:dyDescent="0.3">
      <c r="A958" s="17" t="s">
        <v>195</v>
      </c>
      <c r="B958" s="17" t="s">
        <v>66</v>
      </c>
      <c r="C958" s="17" t="s">
        <v>113</v>
      </c>
      <c r="D958" s="17" t="s">
        <v>114</v>
      </c>
      <c r="E958" s="17" t="s">
        <v>99</v>
      </c>
      <c r="F958" s="17" t="s">
        <v>142</v>
      </c>
      <c r="G958" s="17">
        <v>3.8780982076000001E-3</v>
      </c>
      <c r="H958" s="17">
        <v>3.4313379999999999E-3</v>
      </c>
      <c r="I958" s="17" t="s">
        <v>115</v>
      </c>
    </row>
    <row r="959" spans="1:9" ht="15.6" x14ac:dyDescent="0.3">
      <c r="A959" s="17" t="s">
        <v>195</v>
      </c>
      <c r="B959" s="17" t="s">
        <v>66</v>
      </c>
      <c r="C959" s="17" t="s">
        <v>113</v>
      </c>
      <c r="D959" s="17" t="s">
        <v>114</v>
      </c>
      <c r="E959" s="17" t="s">
        <v>99</v>
      </c>
      <c r="F959" s="17" t="s">
        <v>143</v>
      </c>
      <c r="G959" s="17">
        <v>17.960474584715399</v>
      </c>
      <c r="H959" s="17">
        <v>15.8914126568</v>
      </c>
      <c r="I959" s="17" t="s">
        <v>115</v>
      </c>
    </row>
    <row r="960" spans="1:9" ht="15.6" x14ac:dyDescent="0.3">
      <c r="A960" s="17" t="s">
        <v>195</v>
      </c>
      <c r="B960" s="17" t="s">
        <v>66</v>
      </c>
      <c r="C960" s="17" t="s">
        <v>113</v>
      </c>
      <c r="D960" s="17" t="s">
        <v>114</v>
      </c>
      <c r="E960" s="17" t="s">
        <v>99</v>
      </c>
      <c r="F960" s="17" t="s">
        <v>144</v>
      </c>
      <c r="G960" s="17">
        <v>4.28283639E-4</v>
      </c>
      <c r="H960" s="17">
        <v>3.78945E-4</v>
      </c>
      <c r="I960" s="17" t="s">
        <v>115</v>
      </c>
    </row>
    <row r="961" spans="1:9" ht="15.6" x14ac:dyDescent="0.3">
      <c r="A961" s="17" t="s">
        <v>195</v>
      </c>
      <c r="B961" s="17" t="s">
        <v>66</v>
      </c>
      <c r="C961" s="17" t="s">
        <v>113</v>
      </c>
      <c r="D961" s="17" t="s">
        <v>114</v>
      </c>
      <c r="E961" s="17" t="s">
        <v>99</v>
      </c>
      <c r="F961" s="17" t="s">
        <v>147</v>
      </c>
      <c r="G961" s="17">
        <v>6.4236431468000003E-4</v>
      </c>
      <c r="H961" s="17">
        <v>5.6836340000000003E-4</v>
      </c>
      <c r="I961" s="17" t="s">
        <v>115</v>
      </c>
    </row>
    <row r="962" spans="1:9" ht="15.6" x14ac:dyDescent="0.3">
      <c r="A962" s="17" t="s">
        <v>195</v>
      </c>
      <c r="B962" s="17" t="s">
        <v>66</v>
      </c>
      <c r="C962" s="17" t="s">
        <v>113</v>
      </c>
      <c r="D962" s="17" t="s">
        <v>114</v>
      </c>
      <c r="E962" s="17" t="s">
        <v>99</v>
      </c>
      <c r="F962" s="17" t="s">
        <v>148</v>
      </c>
      <c r="G962" s="17">
        <v>72.353197860902</v>
      </c>
      <c r="H962" s="17">
        <v>64.018048010000001</v>
      </c>
      <c r="I962" s="17" t="s">
        <v>115</v>
      </c>
    </row>
    <row r="963" spans="1:9" ht="15.6" x14ac:dyDescent="0.3">
      <c r="A963" s="17" t="s">
        <v>195</v>
      </c>
      <c r="B963" s="17" t="s">
        <v>66</v>
      </c>
      <c r="C963" s="17" t="s">
        <v>113</v>
      </c>
      <c r="D963" s="17" t="s">
        <v>114</v>
      </c>
      <c r="E963" s="17" t="s">
        <v>99</v>
      </c>
      <c r="F963" s="17" t="s">
        <v>150</v>
      </c>
      <c r="G963" s="17">
        <v>1.8534036779999999E-4</v>
      </c>
      <c r="H963" s="17">
        <v>1.6398899999999999E-4</v>
      </c>
      <c r="I963" s="17" t="s">
        <v>115</v>
      </c>
    </row>
    <row r="964" spans="1:9" ht="15.6" x14ac:dyDescent="0.3">
      <c r="A964" s="17" t="s">
        <v>195</v>
      </c>
      <c r="B964" s="17" t="s">
        <v>66</v>
      </c>
      <c r="C964" s="17" t="s">
        <v>113</v>
      </c>
      <c r="D964" s="17" t="s">
        <v>114</v>
      </c>
      <c r="E964" s="17" t="s">
        <v>99</v>
      </c>
      <c r="F964" s="17" t="s">
        <v>152</v>
      </c>
      <c r="G964" s="17">
        <v>5.4318907265901997</v>
      </c>
      <c r="H964" s="17">
        <v>4.8061323009999999</v>
      </c>
      <c r="I964" s="17" t="s">
        <v>115</v>
      </c>
    </row>
    <row r="965" spans="1:9" ht="15.6" x14ac:dyDescent="0.3">
      <c r="A965" s="17" t="s">
        <v>195</v>
      </c>
      <c r="B965" s="17" t="s">
        <v>66</v>
      </c>
      <c r="C965" s="17" t="s">
        <v>113</v>
      </c>
      <c r="D965" s="17" t="s">
        <v>114</v>
      </c>
      <c r="E965" s="17" t="s">
        <v>99</v>
      </c>
      <c r="F965" s="17" t="s">
        <v>154</v>
      </c>
      <c r="G965" s="17">
        <v>6.2276257795999997E-3</v>
      </c>
      <c r="H965" s="17">
        <v>5.510198E-3</v>
      </c>
      <c r="I965" s="17" t="s">
        <v>115</v>
      </c>
    </row>
    <row r="966" spans="1:9" ht="15.6" x14ac:dyDescent="0.3">
      <c r="A966" s="17" t="s">
        <v>195</v>
      </c>
      <c r="B966" s="17" t="s">
        <v>66</v>
      </c>
      <c r="C966" s="17" t="s">
        <v>113</v>
      </c>
      <c r="D966" s="17" t="s">
        <v>114</v>
      </c>
      <c r="E966" s="17" t="s">
        <v>101</v>
      </c>
      <c r="F966" s="17" t="s">
        <v>157</v>
      </c>
      <c r="G966" s="17">
        <v>591.60500285255398</v>
      </c>
      <c r="H966" s="17">
        <v>523.45160401040005</v>
      </c>
      <c r="I966" s="17" t="s">
        <v>115</v>
      </c>
    </row>
    <row r="967" spans="1:9" ht="15.6" x14ac:dyDescent="0.3">
      <c r="A967" s="17" t="s">
        <v>195</v>
      </c>
      <c r="B967" s="17" t="s">
        <v>66</v>
      </c>
      <c r="C967" s="17" t="s">
        <v>113</v>
      </c>
      <c r="D967" s="17" t="s">
        <v>114</v>
      </c>
      <c r="E967" s="17" t="s">
        <v>101</v>
      </c>
      <c r="F967" s="17" t="s">
        <v>158</v>
      </c>
      <c r="G967" s="17">
        <v>110.182777566052</v>
      </c>
      <c r="H967" s="17">
        <v>97.489628000400003</v>
      </c>
      <c r="I967" s="17" t="s">
        <v>115</v>
      </c>
    </row>
    <row r="968" spans="1:9" ht="15.6" x14ac:dyDescent="0.3">
      <c r="A968" s="17" t="s">
        <v>195</v>
      </c>
      <c r="B968" s="17" t="s">
        <v>66</v>
      </c>
      <c r="C968" s="17" t="s">
        <v>113</v>
      </c>
      <c r="D968" s="17" t="s">
        <v>114</v>
      </c>
      <c r="E968" s="17" t="s">
        <v>101</v>
      </c>
      <c r="F968" s="17" t="s">
        <v>160</v>
      </c>
      <c r="G968" s="17">
        <v>104.13876044327699</v>
      </c>
      <c r="H968" s="17">
        <v>92.141886783999993</v>
      </c>
      <c r="I968" s="17" t="s">
        <v>115</v>
      </c>
    </row>
    <row r="969" spans="1:9" ht="15.6" x14ac:dyDescent="0.3">
      <c r="A969" s="17" t="s">
        <v>195</v>
      </c>
      <c r="B969" s="17" t="s">
        <v>66</v>
      </c>
      <c r="C969" s="17" t="s">
        <v>113</v>
      </c>
      <c r="D969" s="17" t="s">
        <v>114</v>
      </c>
      <c r="E969" s="17" t="s">
        <v>102</v>
      </c>
      <c r="F969" s="17" t="s">
        <v>165</v>
      </c>
      <c r="G969" s="17">
        <v>10.468753818202799</v>
      </c>
      <c r="H969" s="17">
        <v>9.2627444861111101</v>
      </c>
      <c r="I969" s="17" t="s">
        <v>115</v>
      </c>
    </row>
    <row r="970" spans="1:9" ht="15.6" x14ac:dyDescent="0.3">
      <c r="A970" s="17" t="s">
        <v>195</v>
      </c>
      <c r="B970" s="17" t="s">
        <v>66</v>
      </c>
      <c r="C970" s="17" t="s">
        <v>113</v>
      </c>
      <c r="D970" s="17" t="s">
        <v>114</v>
      </c>
      <c r="E970" s="17" t="s">
        <v>102</v>
      </c>
      <c r="F970" s="17" t="s">
        <v>166</v>
      </c>
      <c r="G970" s="17">
        <v>99.722295323635294</v>
      </c>
      <c r="H970" s="17">
        <v>88.2342021975184</v>
      </c>
      <c r="I970" s="17" t="s">
        <v>115</v>
      </c>
    </row>
    <row r="971" spans="1:9" ht="15.6" x14ac:dyDescent="0.3">
      <c r="A971" s="17" t="s">
        <v>195</v>
      </c>
      <c r="B971" s="17" t="s">
        <v>66</v>
      </c>
      <c r="C971" s="17" t="s">
        <v>113</v>
      </c>
      <c r="D971" s="17" t="s">
        <v>114</v>
      </c>
      <c r="E971" s="17" t="s">
        <v>103</v>
      </c>
      <c r="F971" s="17" t="s">
        <v>103</v>
      </c>
      <c r="G971" s="17">
        <v>32.176794000000001</v>
      </c>
      <c r="H971" s="17">
        <v>28.47</v>
      </c>
      <c r="I971" s="17" t="s">
        <v>115</v>
      </c>
    </row>
    <row r="972" spans="1:9" ht="15.6" x14ac:dyDescent="0.3">
      <c r="A972" s="17" t="s">
        <v>195</v>
      </c>
      <c r="B972" s="17" t="s">
        <v>67</v>
      </c>
      <c r="C972" s="17" t="s">
        <v>113</v>
      </c>
      <c r="D972" s="17" t="s">
        <v>114</v>
      </c>
      <c r="E972" s="17" t="s">
        <v>71</v>
      </c>
      <c r="F972" s="17" t="s">
        <v>71</v>
      </c>
      <c r="G972" s="17">
        <v>25.696718400000002</v>
      </c>
      <c r="H972" s="17">
        <v>21.948</v>
      </c>
      <c r="I972" s="17" t="s">
        <v>115</v>
      </c>
    </row>
    <row r="973" spans="1:9" ht="15.6" x14ac:dyDescent="0.3">
      <c r="A973" s="17" t="s">
        <v>195</v>
      </c>
      <c r="B973" s="17" t="s">
        <v>67</v>
      </c>
      <c r="C973" s="17" t="s">
        <v>113</v>
      </c>
      <c r="D973" s="17" t="s">
        <v>114</v>
      </c>
      <c r="E973" s="17" t="s">
        <v>72</v>
      </c>
      <c r="F973" s="17" t="s">
        <v>116</v>
      </c>
      <c r="G973" s="17">
        <v>194.36300937600001</v>
      </c>
      <c r="H973" s="17">
        <v>166.00872000000001</v>
      </c>
      <c r="I973" s="17" t="s">
        <v>115</v>
      </c>
    </row>
    <row r="974" spans="1:9" ht="15.6" x14ac:dyDescent="0.3">
      <c r="A974" s="17" t="s">
        <v>195</v>
      </c>
      <c r="B974" s="17" t="s">
        <v>67</v>
      </c>
      <c r="C974" s="17" t="s">
        <v>113</v>
      </c>
      <c r="D974" s="17" t="s">
        <v>114</v>
      </c>
      <c r="E974" s="17" t="s">
        <v>73</v>
      </c>
      <c r="F974" s="17" t="s">
        <v>117</v>
      </c>
      <c r="G974" s="17">
        <v>0</v>
      </c>
      <c r="H974" s="17">
        <v>0</v>
      </c>
      <c r="I974" s="17" t="s">
        <v>115</v>
      </c>
    </row>
    <row r="975" spans="1:9" ht="15.6" x14ac:dyDescent="0.3">
      <c r="A975" s="17" t="s">
        <v>195</v>
      </c>
      <c r="B975" s="17" t="s">
        <v>67</v>
      </c>
      <c r="C975" s="17" t="s">
        <v>113</v>
      </c>
      <c r="D975" s="17" t="s">
        <v>114</v>
      </c>
      <c r="E975" s="17" t="s">
        <v>73</v>
      </c>
      <c r="F975" s="17" t="s">
        <v>118</v>
      </c>
      <c r="G975" s="17">
        <v>698.60231039999996</v>
      </c>
      <c r="H975" s="17">
        <v>596.68799999999999</v>
      </c>
      <c r="I975" s="17" t="s">
        <v>115</v>
      </c>
    </row>
    <row r="976" spans="1:9" ht="15.6" x14ac:dyDescent="0.3">
      <c r="A976" s="17" t="s">
        <v>195</v>
      </c>
      <c r="B976" s="17" t="s">
        <v>67</v>
      </c>
      <c r="C976" s="17" t="s">
        <v>113</v>
      </c>
      <c r="D976" s="17" t="s">
        <v>114</v>
      </c>
      <c r="E976" s="17" t="s">
        <v>73</v>
      </c>
      <c r="F976" s="17" t="s">
        <v>119</v>
      </c>
      <c r="G976" s="17">
        <v>97.560422399999993</v>
      </c>
      <c r="H976" s="17">
        <v>83.328000000000003</v>
      </c>
      <c r="I976" s="17" t="s">
        <v>115</v>
      </c>
    </row>
    <row r="977" spans="1:9" ht="15.6" x14ac:dyDescent="0.3">
      <c r="A977" s="17" t="s">
        <v>195</v>
      </c>
      <c r="B977" s="17" t="s">
        <v>67</v>
      </c>
      <c r="C977" s="17" t="s">
        <v>113</v>
      </c>
      <c r="D977" s="17" t="s">
        <v>114</v>
      </c>
      <c r="E977" s="17" t="s">
        <v>73</v>
      </c>
      <c r="F977" s="17" t="s">
        <v>120</v>
      </c>
      <c r="G977" s="17">
        <v>6.3240858230137</v>
      </c>
      <c r="H977" s="17">
        <v>5.4015082191780799</v>
      </c>
      <c r="I977" s="17" t="s">
        <v>115</v>
      </c>
    </row>
    <row r="978" spans="1:9" ht="15.6" x14ac:dyDescent="0.3">
      <c r="A978" s="17" t="s">
        <v>195</v>
      </c>
      <c r="B978" s="17" t="s">
        <v>67</v>
      </c>
      <c r="C978" s="17" t="s">
        <v>113</v>
      </c>
      <c r="D978" s="17" t="s">
        <v>114</v>
      </c>
      <c r="E978" s="17" t="s">
        <v>80</v>
      </c>
      <c r="F978" s="17" t="s">
        <v>80</v>
      </c>
      <c r="G978" s="17">
        <v>0.37236064660000001</v>
      </c>
      <c r="H978" s="17">
        <v>0.31803949999999997</v>
      </c>
      <c r="I978" s="17" t="s">
        <v>115</v>
      </c>
    </row>
    <row r="979" spans="1:9" ht="15.6" x14ac:dyDescent="0.3">
      <c r="A979" s="17" t="s">
        <v>195</v>
      </c>
      <c r="B979" s="17" t="s">
        <v>67</v>
      </c>
      <c r="C979" s="17" t="s">
        <v>113</v>
      </c>
      <c r="D979" s="17" t="s">
        <v>114</v>
      </c>
      <c r="E979" s="17" t="s">
        <v>77</v>
      </c>
      <c r="F979" s="17" t="s">
        <v>77</v>
      </c>
      <c r="G979" s="17">
        <v>1.6578527999999999E-4</v>
      </c>
      <c r="H979" s="17">
        <v>1.416E-4</v>
      </c>
      <c r="I979" s="17" t="s">
        <v>115</v>
      </c>
    </row>
    <row r="980" spans="1:9" ht="15.6" x14ac:dyDescent="0.3">
      <c r="A980" s="17" t="s">
        <v>195</v>
      </c>
      <c r="B980" s="17" t="s">
        <v>67</v>
      </c>
      <c r="C980" s="17" t="s">
        <v>113</v>
      </c>
      <c r="D980" s="17" t="s">
        <v>114</v>
      </c>
      <c r="E980" s="17" t="s">
        <v>78</v>
      </c>
      <c r="F980" s="17" t="s">
        <v>123</v>
      </c>
      <c r="G980" s="17">
        <v>3.02722048</v>
      </c>
      <c r="H980" s="17">
        <v>2.5855999999999999</v>
      </c>
      <c r="I980" s="17" t="s">
        <v>115</v>
      </c>
    </row>
    <row r="981" spans="1:9" ht="15.6" x14ac:dyDescent="0.3">
      <c r="A981" s="17" t="s">
        <v>195</v>
      </c>
      <c r="B981" s="17" t="s">
        <v>67</v>
      </c>
      <c r="C981" s="17" t="s">
        <v>113</v>
      </c>
      <c r="D981" s="17" t="s">
        <v>114</v>
      </c>
      <c r="E981" s="17" t="s">
        <v>78</v>
      </c>
      <c r="F981" s="17" t="s">
        <v>125</v>
      </c>
      <c r="G981" s="17">
        <v>208.70961792</v>
      </c>
      <c r="H981" s="17">
        <v>178.26240000000001</v>
      </c>
      <c r="I981" s="17" t="s">
        <v>115</v>
      </c>
    </row>
    <row r="982" spans="1:9" ht="15.6" x14ac:dyDescent="0.3">
      <c r="A982" s="17" t="s">
        <v>195</v>
      </c>
      <c r="B982" s="17" t="s">
        <v>67</v>
      </c>
      <c r="C982" s="17" t="s">
        <v>113</v>
      </c>
      <c r="D982" s="17" t="s">
        <v>114</v>
      </c>
      <c r="E982" s="17" t="s">
        <v>81</v>
      </c>
      <c r="F982" s="17" t="s">
        <v>81</v>
      </c>
      <c r="G982" s="17">
        <v>46.903475144153099</v>
      </c>
      <c r="H982" s="17">
        <v>40.061048124490199</v>
      </c>
      <c r="I982" s="17" t="s">
        <v>115</v>
      </c>
    </row>
    <row r="983" spans="1:9" ht="15.6" x14ac:dyDescent="0.3">
      <c r="A983" s="17" t="s">
        <v>195</v>
      </c>
      <c r="B983" s="17" t="s">
        <v>67</v>
      </c>
      <c r="C983" s="17" t="s">
        <v>113</v>
      </c>
      <c r="D983" s="17" t="s">
        <v>114</v>
      </c>
      <c r="E983" s="17" t="s">
        <v>83</v>
      </c>
      <c r="F983" s="17" t="s">
        <v>127</v>
      </c>
      <c r="G983" s="17">
        <v>0.15048191065312</v>
      </c>
      <c r="H983" s="17">
        <v>0.12852913448336201</v>
      </c>
      <c r="I983" s="17" t="s">
        <v>115</v>
      </c>
    </row>
    <row r="984" spans="1:9" ht="15.6" x14ac:dyDescent="0.3">
      <c r="A984" s="17" t="s">
        <v>195</v>
      </c>
      <c r="B984" s="17" t="s">
        <v>67</v>
      </c>
      <c r="C984" s="17" t="s">
        <v>113</v>
      </c>
      <c r="D984" s="17" t="s">
        <v>114</v>
      </c>
      <c r="E984" s="17" t="s">
        <v>83</v>
      </c>
      <c r="F984" s="17" t="s">
        <v>128</v>
      </c>
      <c r="G984" s="17">
        <v>6.4141752408399402</v>
      </c>
      <c r="H984" s="17">
        <v>5.4784551083361297</v>
      </c>
      <c r="I984" s="17" t="s">
        <v>115</v>
      </c>
    </row>
    <row r="985" spans="1:9" ht="15.6" x14ac:dyDescent="0.3">
      <c r="A985" s="17" t="s">
        <v>195</v>
      </c>
      <c r="B985" s="17" t="s">
        <v>67</v>
      </c>
      <c r="C985" s="17" t="s">
        <v>113</v>
      </c>
      <c r="D985" s="17" t="s">
        <v>114</v>
      </c>
      <c r="E985" s="17" t="s">
        <v>85</v>
      </c>
      <c r="F985" s="17" t="s">
        <v>85</v>
      </c>
      <c r="G985" s="17">
        <v>32.090063353188597</v>
      </c>
      <c r="H985" s="17">
        <v>27.408663608804702</v>
      </c>
      <c r="I985" s="17" t="s">
        <v>115</v>
      </c>
    </row>
    <row r="986" spans="1:9" ht="15.6" x14ac:dyDescent="0.3">
      <c r="A986" s="17" t="s">
        <v>195</v>
      </c>
      <c r="B986" s="17" t="s">
        <v>67</v>
      </c>
      <c r="C986" s="17" t="s">
        <v>113</v>
      </c>
      <c r="D986" s="17" t="s">
        <v>114</v>
      </c>
      <c r="E986" s="17" t="s">
        <v>87</v>
      </c>
      <c r="F986" s="17" t="s">
        <v>87</v>
      </c>
      <c r="G986" s="17">
        <v>1.2258252584E-3</v>
      </c>
      <c r="H986" s="17">
        <v>1.0469979999999999E-3</v>
      </c>
      <c r="I986" s="17" t="s">
        <v>115</v>
      </c>
    </row>
    <row r="987" spans="1:9" ht="15.6" x14ac:dyDescent="0.3">
      <c r="A987" s="17" t="s">
        <v>195</v>
      </c>
      <c r="B987" s="17" t="s">
        <v>67</v>
      </c>
      <c r="C987" s="17" t="s">
        <v>113</v>
      </c>
      <c r="D987" s="17" t="s">
        <v>114</v>
      </c>
      <c r="E987" s="17" t="s">
        <v>88</v>
      </c>
      <c r="F987" s="17" t="s">
        <v>88</v>
      </c>
      <c r="G987" s="17">
        <v>13.850095680000001</v>
      </c>
      <c r="H987" s="17">
        <v>11.829599999999999</v>
      </c>
      <c r="I987" s="17" t="s">
        <v>115</v>
      </c>
    </row>
    <row r="988" spans="1:9" ht="15.6" x14ac:dyDescent="0.3">
      <c r="A988" s="17" t="s">
        <v>195</v>
      </c>
      <c r="B988" s="17" t="s">
        <v>67</v>
      </c>
      <c r="C988" s="17" t="s">
        <v>113</v>
      </c>
      <c r="D988" s="17" t="s">
        <v>114</v>
      </c>
      <c r="E988" s="17" t="s">
        <v>89</v>
      </c>
      <c r="F988" s="17" t="s">
        <v>89</v>
      </c>
      <c r="G988" s="17">
        <v>275.14397742573601</v>
      </c>
      <c r="H988" s="17">
        <v>235.00510542000001</v>
      </c>
      <c r="I988" s="17" t="s">
        <v>115</v>
      </c>
    </row>
    <row r="989" spans="1:9" ht="15.6" x14ac:dyDescent="0.3">
      <c r="A989" s="17" t="s">
        <v>195</v>
      </c>
      <c r="B989" s="17" t="s">
        <v>67</v>
      </c>
      <c r="C989" s="17" t="s">
        <v>113</v>
      </c>
      <c r="D989" s="17" t="s">
        <v>114</v>
      </c>
      <c r="E989" s="17" t="s">
        <v>90</v>
      </c>
      <c r="F989" s="17" t="s">
        <v>90</v>
      </c>
      <c r="G989" s="17">
        <v>36.587284713626403</v>
      </c>
      <c r="H989" s="17">
        <v>31.249816120282201</v>
      </c>
      <c r="I989" s="17" t="s">
        <v>115</v>
      </c>
    </row>
    <row r="990" spans="1:9" ht="15.6" x14ac:dyDescent="0.3">
      <c r="A990" s="17" t="s">
        <v>195</v>
      </c>
      <c r="B990" s="17" t="s">
        <v>67</v>
      </c>
      <c r="C990" s="17" t="s">
        <v>113</v>
      </c>
      <c r="D990" s="17" t="s">
        <v>114</v>
      </c>
      <c r="E990" s="17" t="s">
        <v>91</v>
      </c>
      <c r="F990" s="17" t="s">
        <v>91</v>
      </c>
      <c r="G990" s="17">
        <v>11.683839127802401</v>
      </c>
      <c r="H990" s="17">
        <v>9.97936379211</v>
      </c>
      <c r="I990" s="17" t="s">
        <v>115</v>
      </c>
    </row>
    <row r="991" spans="1:9" ht="15.6" x14ac:dyDescent="0.3">
      <c r="A991" s="17" t="s">
        <v>195</v>
      </c>
      <c r="B991" s="17" t="s">
        <v>67</v>
      </c>
      <c r="C991" s="17" t="s">
        <v>113</v>
      </c>
      <c r="D991" s="17" t="s">
        <v>114</v>
      </c>
      <c r="E991" s="17" t="s">
        <v>93</v>
      </c>
      <c r="F991" s="17" t="s">
        <v>130</v>
      </c>
      <c r="G991" s="17">
        <v>322.20187928159999</v>
      </c>
      <c r="H991" s="17">
        <v>275.19805200000002</v>
      </c>
      <c r="I991" s="17" t="s">
        <v>115</v>
      </c>
    </row>
    <row r="992" spans="1:9" ht="15.6" x14ac:dyDescent="0.3">
      <c r="A992" s="17" t="s">
        <v>195</v>
      </c>
      <c r="B992" s="17" t="s">
        <v>67</v>
      </c>
      <c r="C992" s="17" t="s">
        <v>113</v>
      </c>
      <c r="D992" s="17" t="s">
        <v>114</v>
      </c>
      <c r="E992" s="17" t="s">
        <v>93</v>
      </c>
      <c r="F992" s="17" t="s">
        <v>131</v>
      </c>
      <c r="G992" s="17">
        <v>101.56736832</v>
      </c>
      <c r="H992" s="17">
        <v>86.750399999999999</v>
      </c>
      <c r="I992" s="17" t="s">
        <v>115</v>
      </c>
    </row>
    <row r="993" spans="1:9" ht="15.6" x14ac:dyDescent="0.3">
      <c r="A993" s="17" t="s">
        <v>195</v>
      </c>
      <c r="B993" s="17" t="s">
        <v>67</v>
      </c>
      <c r="C993" s="17" t="s">
        <v>113</v>
      </c>
      <c r="D993" s="17" t="s">
        <v>114</v>
      </c>
      <c r="E993" s="17" t="s">
        <v>93</v>
      </c>
      <c r="F993" s="17" t="s">
        <v>132</v>
      </c>
      <c r="G993" s="17">
        <v>0.34930115519999999</v>
      </c>
      <c r="H993" s="17">
        <v>0.298344</v>
      </c>
      <c r="I993" s="17" t="s">
        <v>115</v>
      </c>
    </row>
    <row r="994" spans="1:9" ht="15.6" x14ac:dyDescent="0.3">
      <c r="A994" s="17" t="s">
        <v>195</v>
      </c>
      <c r="B994" s="17" t="s">
        <v>67</v>
      </c>
      <c r="C994" s="17" t="s">
        <v>113</v>
      </c>
      <c r="D994" s="17" t="s">
        <v>114</v>
      </c>
      <c r="E994" s="17" t="s">
        <v>93</v>
      </c>
      <c r="F994" s="17" t="s">
        <v>133</v>
      </c>
      <c r="G994" s="17">
        <v>10.36158</v>
      </c>
      <c r="H994" s="17">
        <v>8.85</v>
      </c>
      <c r="I994" s="17" t="s">
        <v>115</v>
      </c>
    </row>
    <row r="995" spans="1:9" ht="15.6" x14ac:dyDescent="0.3">
      <c r="A995" s="17" t="s">
        <v>195</v>
      </c>
      <c r="B995" s="17" t="s">
        <v>67</v>
      </c>
      <c r="C995" s="17" t="s">
        <v>113</v>
      </c>
      <c r="D995" s="17" t="s">
        <v>114</v>
      </c>
      <c r="E995" s="17" t="s">
        <v>93</v>
      </c>
      <c r="F995" s="17" t="s">
        <v>134</v>
      </c>
      <c r="G995" s="17">
        <v>3.5444049888000002</v>
      </c>
      <c r="H995" s="17">
        <v>3.027336</v>
      </c>
      <c r="I995" s="17" t="s">
        <v>115</v>
      </c>
    </row>
    <row r="996" spans="1:9" ht="15.6" x14ac:dyDescent="0.3">
      <c r="A996" s="17" t="s">
        <v>195</v>
      </c>
      <c r="B996" s="17" t="s">
        <v>67</v>
      </c>
      <c r="C996" s="17" t="s">
        <v>113</v>
      </c>
      <c r="D996" s="17" t="s">
        <v>114</v>
      </c>
      <c r="E996" s="17" t="s">
        <v>93</v>
      </c>
      <c r="F996" s="17" t="s">
        <v>136</v>
      </c>
      <c r="G996" s="17">
        <v>24.808221696</v>
      </c>
      <c r="H996" s="17">
        <v>21.189119999999999</v>
      </c>
      <c r="I996" s="17" t="s">
        <v>115</v>
      </c>
    </row>
    <row r="997" spans="1:9" ht="15.6" x14ac:dyDescent="0.3">
      <c r="A997" s="17" t="s">
        <v>195</v>
      </c>
      <c r="B997" s="17" t="s">
        <v>67</v>
      </c>
      <c r="C997" s="17" t="s">
        <v>113</v>
      </c>
      <c r="D997" s="17" t="s">
        <v>114</v>
      </c>
      <c r="E997" s="17" t="s">
        <v>93</v>
      </c>
      <c r="F997" s="17" t="s">
        <v>137</v>
      </c>
      <c r="G997" s="17">
        <v>51.811353859999997</v>
      </c>
      <c r="H997" s="17">
        <v>44.252949999999998</v>
      </c>
      <c r="I997" s="17" t="s">
        <v>115</v>
      </c>
    </row>
    <row r="998" spans="1:9" ht="15.6" x14ac:dyDescent="0.3">
      <c r="A998" s="17" t="s">
        <v>195</v>
      </c>
      <c r="B998" s="17" t="s">
        <v>67</v>
      </c>
      <c r="C998" s="17" t="s">
        <v>113</v>
      </c>
      <c r="D998" s="17" t="s">
        <v>114</v>
      </c>
      <c r="E998" s="17" t="s">
        <v>96</v>
      </c>
      <c r="F998" s="17" t="s">
        <v>96</v>
      </c>
      <c r="G998" s="17">
        <v>3.1928769720000001E-4</v>
      </c>
      <c r="H998" s="17">
        <v>2.7270899999999999E-4</v>
      </c>
      <c r="I998" s="17" t="s">
        <v>115</v>
      </c>
    </row>
    <row r="999" spans="1:9" ht="15.6" x14ac:dyDescent="0.3">
      <c r="A999" s="17" t="s">
        <v>195</v>
      </c>
      <c r="B999" s="17" t="s">
        <v>67</v>
      </c>
      <c r="C999" s="17" t="s">
        <v>113</v>
      </c>
      <c r="D999" s="17" t="s">
        <v>114</v>
      </c>
      <c r="E999" s="17" t="s">
        <v>99</v>
      </c>
      <c r="F999" s="17" t="s">
        <v>142</v>
      </c>
      <c r="G999" s="17">
        <v>4.4111728156000004E-3</v>
      </c>
      <c r="H999" s="17">
        <v>3.7676570000000002E-3</v>
      </c>
      <c r="I999" s="17" t="s">
        <v>115</v>
      </c>
    </row>
    <row r="1000" spans="1:9" ht="15.6" x14ac:dyDescent="0.3">
      <c r="A1000" s="17" t="s">
        <v>195</v>
      </c>
      <c r="B1000" s="17" t="s">
        <v>67</v>
      </c>
      <c r="C1000" s="17" t="s">
        <v>113</v>
      </c>
      <c r="D1000" s="17" t="s">
        <v>114</v>
      </c>
      <c r="E1000" s="17" t="s">
        <v>99</v>
      </c>
      <c r="F1000" s="17" t="s">
        <v>143</v>
      </c>
      <c r="G1000" s="17">
        <v>30.5125811527653</v>
      </c>
      <c r="H1000" s="17">
        <v>26.061309491599999</v>
      </c>
      <c r="I1000" s="17" t="s">
        <v>115</v>
      </c>
    </row>
    <row r="1001" spans="1:9" ht="15.6" x14ac:dyDescent="0.3">
      <c r="A1001" s="17" t="s">
        <v>195</v>
      </c>
      <c r="B1001" s="17" t="s">
        <v>67</v>
      </c>
      <c r="C1001" s="17" t="s">
        <v>113</v>
      </c>
      <c r="D1001" s="17" t="s">
        <v>114</v>
      </c>
      <c r="E1001" s="17" t="s">
        <v>99</v>
      </c>
      <c r="F1001" s="17" t="s">
        <v>144</v>
      </c>
      <c r="G1001" s="17">
        <v>3.4871809680000001E-4</v>
      </c>
      <c r="H1001" s="17">
        <v>2.9784599999999999E-4</v>
      </c>
      <c r="I1001" s="17" t="s">
        <v>115</v>
      </c>
    </row>
    <row r="1002" spans="1:9" ht="15.6" x14ac:dyDescent="0.3">
      <c r="A1002" s="17" t="s">
        <v>195</v>
      </c>
      <c r="B1002" s="17" t="s">
        <v>67</v>
      </c>
      <c r="C1002" s="17" t="s">
        <v>113</v>
      </c>
      <c r="D1002" s="17" t="s">
        <v>114</v>
      </c>
      <c r="E1002" s="17" t="s">
        <v>99</v>
      </c>
      <c r="F1002" s="17" t="s">
        <v>147</v>
      </c>
      <c r="G1002" s="17">
        <v>8.4443739255999999E-4</v>
      </c>
      <c r="H1002" s="17">
        <v>7.2124820000000003E-4</v>
      </c>
      <c r="I1002" s="17" t="s">
        <v>115</v>
      </c>
    </row>
    <row r="1003" spans="1:9" ht="15.6" x14ac:dyDescent="0.3">
      <c r="A1003" s="17" t="s">
        <v>195</v>
      </c>
      <c r="B1003" s="17" t="s">
        <v>67</v>
      </c>
      <c r="C1003" s="17" t="s">
        <v>113</v>
      </c>
      <c r="D1003" s="17" t="s">
        <v>114</v>
      </c>
      <c r="E1003" s="17" t="s">
        <v>99</v>
      </c>
      <c r="F1003" s="17" t="s">
        <v>148</v>
      </c>
      <c r="G1003" s="17">
        <v>247.341306655924</v>
      </c>
      <c r="H1003" s="17">
        <v>211.25837602999999</v>
      </c>
      <c r="I1003" s="17" t="s">
        <v>115</v>
      </c>
    </row>
    <row r="1004" spans="1:9" ht="15.6" x14ac:dyDescent="0.3">
      <c r="A1004" s="17" t="s">
        <v>195</v>
      </c>
      <c r="B1004" s="17" t="s">
        <v>67</v>
      </c>
      <c r="C1004" s="17" t="s">
        <v>113</v>
      </c>
      <c r="D1004" s="17" t="s">
        <v>114</v>
      </c>
      <c r="E1004" s="17" t="s">
        <v>99</v>
      </c>
      <c r="F1004" s="17" t="s">
        <v>150</v>
      </c>
      <c r="G1004" s="17">
        <v>1.455784428E-4</v>
      </c>
      <c r="H1004" s="17">
        <v>1.2434100000000001E-4</v>
      </c>
      <c r="I1004" s="17" t="s">
        <v>115</v>
      </c>
    </row>
    <row r="1005" spans="1:9" ht="15.6" x14ac:dyDescent="0.3">
      <c r="A1005" s="17" t="s">
        <v>195</v>
      </c>
      <c r="B1005" s="17" t="s">
        <v>67</v>
      </c>
      <c r="C1005" s="17" t="s">
        <v>113</v>
      </c>
      <c r="D1005" s="17" t="s">
        <v>114</v>
      </c>
      <c r="E1005" s="17" t="s">
        <v>99</v>
      </c>
      <c r="F1005" s="17" t="s">
        <v>152</v>
      </c>
      <c r="G1005" s="17">
        <v>5.6634977434311997</v>
      </c>
      <c r="H1005" s="17">
        <v>4.8372888139999999</v>
      </c>
      <c r="I1005" s="17" t="s">
        <v>115</v>
      </c>
    </row>
    <row r="1006" spans="1:9" ht="15.6" x14ac:dyDescent="0.3">
      <c r="A1006" s="17" t="s">
        <v>195</v>
      </c>
      <c r="B1006" s="17" t="s">
        <v>67</v>
      </c>
      <c r="C1006" s="17" t="s">
        <v>113</v>
      </c>
      <c r="D1006" s="17" t="s">
        <v>114</v>
      </c>
      <c r="E1006" s="17" t="s">
        <v>99</v>
      </c>
      <c r="F1006" s="17" t="s">
        <v>154</v>
      </c>
      <c r="G1006" s="17">
        <v>6.6603323015999999E-3</v>
      </c>
      <c r="H1006" s="17">
        <v>5.6887020000000003E-3</v>
      </c>
      <c r="I1006" s="17" t="s">
        <v>115</v>
      </c>
    </row>
    <row r="1007" spans="1:9" ht="15.6" x14ac:dyDescent="0.3">
      <c r="A1007" s="17" t="s">
        <v>195</v>
      </c>
      <c r="B1007" s="17" t="s">
        <v>67</v>
      </c>
      <c r="C1007" s="17" t="s">
        <v>113</v>
      </c>
      <c r="D1007" s="17" t="s">
        <v>114</v>
      </c>
      <c r="E1007" s="17" t="s">
        <v>101</v>
      </c>
      <c r="F1007" s="17" t="s">
        <v>157</v>
      </c>
      <c r="G1007" s="17">
        <v>2258.5405316946699</v>
      </c>
      <c r="H1007" s="17">
        <v>1929.0575091344999</v>
      </c>
      <c r="I1007" s="17" t="s">
        <v>115</v>
      </c>
    </row>
    <row r="1008" spans="1:9" ht="15.6" x14ac:dyDescent="0.3">
      <c r="A1008" s="17" t="s">
        <v>195</v>
      </c>
      <c r="B1008" s="17" t="s">
        <v>67</v>
      </c>
      <c r="C1008" s="17" t="s">
        <v>113</v>
      </c>
      <c r="D1008" s="17" t="s">
        <v>114</v>
      </c>
      <c r="E1008" s="17" t="s">
        <v>101</v>
      </c>
      <c r="F1008" s="17" t="s">
        <v>158</v>
      </c>
      <c r="G1008" s="17">
        <v>118.11779712000001</v>
      </c>
      <c r="H1008" s="17">
        <v>100.88639999999999</v>
      </c>
      <c r="I1008" s="17" t="s">
        <v>115</v>
      </c>
    </row>
    <row r="1009" spans="1:9" ht="15.6" x14ac:dyDescent="0.3">
      <c r="A1009" s="17" t="s">
        <v>195</v>
      </c>
      <c r="B1009" s="17" t="s">
        <v>67</v>
      </c>
      <c r="C1009" s="17" t="s">
        <v>113</v>
      </c>
      <c r="D1009" s="17" t="s">
        <v>114</v>
      </c>
      <c r="E1009" s="17" t="s">
        <v>101</v>
      </c>
      <c r="F1009" s="17" t="s">
        <v>160</v>
      </c>
      <c r="G1009" s="17">
        <v>111.52761066844199</v>
      </c>
      <c r="H1009" s="17">
        <v>95.257610752000005</v>
      </c>
      <c r="I1009" s="17" t="s">
        <v>115</v>
      </c>
    </row>
    <row r="1010" spans="1:9" ht="15.6" x14ac:dyDescent="0.3">
      <c r="A1010" s="17" t="s">
        <v>195</v>
      </c>
      <c r="B1010" s="17" t="s">
        <v>67</v>
      </c>
      <c r="C1010" s="17" t="s">
        <v>113</v>
      </c>
      <c r="D1010" s="17" t="s">
        <v>114</v>
      </c>
      <c r="E1010" s="17" t="s">
        <v>102</v>
      </c>
      <c r="F1010" s="17" t="s">
        <v>165</v>
      </c>
      <c r="G1010" s="17">
        <v>9.19616568</v>
      </c>
      <c r="H1010" s="17">
        <v>7.8545999999999996</v>
      </c>
      <c r="I1010" s="17" t="s">
        <v>115</v>
      </c>
    </row>
    <row r="1011" spans="1:9" ht="15.6" x14ac:dyDescent="0.3">
      <c r="A1011" s="17" t="s">
        <v>195</v>
      </c>
      <c r="B1011" s="17" t="s">
        <v>67</v>
      </c>
      <c r="C1011" s="17" t="s">
        <v>113</v>
      </c>
      <c r="D1011" s="17" t="s">
        <v>114</v>
      </c>
      <c r="E1011" s="17" t="s">
        <v>102</v>
      </c>
      <c r="F1011" s="17" t="s">
        <v>166</v>
      </c>
      <c r="G1011" s="17">
        <v>109.704780387651</v>
      </c>
      <c r="H1011" s="17">
        <v>93.700700706910794</v>
      </c>
      <c r="I1011" s="17" t="s">
        <v>115</v>
      </c>
    </row>
    <row r="1012" spans="1:9" ht="15.6" x14ac:dyDescent="0.3">
      <c r="A1012" s="17" t="s">
        <v>195</v>
      </c>
      <c r="B1012" s="17" t="s">
        <v>67</v>
      </c>
      <c r="C1012" s="17" t="s">
        <v>113</v>
      </c>
      <c r="D1012" s="17" t="s">
        <v>114</v>
      </c>
      <c r="E1012" s="17" t="s">
        <v>103</v>
      </c>
      <c r="F1012" s="17" t="s">
        <v>103</v>
      </c>
      <c r="G1012" s="17">
        <v>34.443765200000001</v>
      </c>
      <c r="H1012" s="17">
        <v>29.419</v>
      </c>
      <c r="I1012" s="17" t="s">
        <v>115</v>
      </c>
    </row>
    <row r="1013" spans="1:9" ht="15.6" x14ac:dyDescent="0.3">
      <c r="A1013" s="17" t="s">
        <v>195</v>
      </c>
      <c r="B1013" s="17" t="s">
        <v>68</v>
      </c>
      <c r="C1013" s="17" t="s">
        <v>113</v>
      </c>
      <c r="D1013" s="17" t="s">
        <v>114</v>
      </c>
      <c r="E1013" s="17" t="s">
        <v>71</v>
      </c>
      <c r="F1013" s="17" t="s">
        <v>71</v>
      </c>
      <c r="G1013" s="17">
        <v>25.289583</v>
      </c>
      <c r="H1013" s="17">
        <v>21.948</v>
      </c>
      <c r="I1013" s="17" t="s">
        <v>115</v>
      </c>
    </row>
    <row r="1014" spans="1:9" ht="15.6" x14ac:dyDescent="0.3">
      <c r="A1014" s="17" t="s">
        <v>195</v>
      </c>
      <c r="B1014" s="17" t="s">
        <v>68</v>
      </c>
      <c r="C1014" s="17" t="s">
        <v>113</v>
      </c>
      <c r="D1014" s="17" t="s">
        <v>114</v>
      </c>
      <c r="E1014" s="17" t="s">
        <v>72</v>
      </c>
      <c r="F1014" s="17" t="s">
        <v>116</v>
      </c>
      <c r="G1014" s="17">
        <v>191.28354762000001</v>
      </c>
      <c r="H1014" s="17">
        <v>166.00872000000001</v>
      </c>
      <c r="I1014" s="17" t="s">
        <v>115</v>
      </c>
    </row>
    <row r="1015" spans="1:9" ht="15.6" x14ac:dyDescent="0.3">
      <c r="A1015" s="17" t="s">
        <v>195</v>
      </c>
      <c r="B1015" s="17" t="s">
        <v>68</v>
      </c>
      <c r="C1015" s="17" t="s">
        <v>113</v>
      </c>
      <c r="D1015" s="17" t="s">
        <v>114</v>
      </c>
      <c r="E1015" s="17" t="s">
        <v>73</v>
      </c>
      <c r="F1015" s="17" t="s">
        <v>117</v>
      </c>
      <c r="G1015" s="17">
        <v>0</v>
      </c>
      <c r="H1015" s="17">
        <v>0</v>
      </c>
      <c r="I1015" s="17" t="s">
        <v>115</v>
      </c>
    </row>
    <row r="1016" spans="1:9" ht="15.6" x14ac:dyDescent="0.3">
      <c r="A1016" s="17" t="s">
        <v>195</v>
      </c>
      <c r="B1016" s="17" t="s">
        <v>68</v>
      </c>
      <c r="C1016" s="17" t="s">
        <v>113</v>
      </c>
      <c r="D1016" s="17" t="s">
        <v>114</v>
      </c>
      <c r="E1016" s="17" t="s">
        <v>73</v>
      </c>
      <c r="F1016" s="17" t="s">
        <v>118</v>
      </c>
      <c r="G1016" s="17">
        <v>687.53374799999995</v>
      </c>
      <c r="H1016" s="17">
        <v>596.68799999999999</v>
      </c>
      <c r="I1016" s="17" t="s">
        <v>115</v>
      </c>
    </row>
    <row r="1017" spans="1:9" ht="15.6" x14ac:dyDescent="0.3">
      <c r="A1017" s="17" t="s">
        <v>195</v>
      </c>
      <c r="B1017" s="17" t="s">
        <v>68</v>
      </c>
      <c r="C1017" s="17" t="s">
        <v>113</v>
      </c>
      <c r="D1017" s="17" t="s">
        <v>114</v>
      </c>
      <c r="E1017" s="17" t="s">
        <v>73</v>
      </c>
      <c r="F1017" s="17" t="s">
        <v>119</v>
      </c>
      <c r="G1017" s="17">
        <v>96.014688000000007</v>
      </c>
      <c r="H1017" s="17">
        <v>83.328000000000003</v>
      </c>
      <c r="I1017" s="17" t="s">
        <v>115</v>
      </c>
    </row>
    <row r="1018" spans="1:9" ht="15.6" x14ac:dyDescent="0.3">
      <c r="A1018" s="17" t="s">
        <v>195</v>
      </c>
      <c r="B1018" s="17" t="s">
        <v>68</v>
      </c>
      <c r="C1018" s="17" t="s">
        <v>113</v>
      </c>
      <c r="D1018" s="17" t="s">
        <v>114</v>
      </c>
      <c r="E1018" s="17" t="s">
        <v>73</v>
      </c>
      <c r="F1018" s="17" t="s">
        <v>120</v>
      </c>
      <c r="G1018" s="17">
        <v>6.2322645452054797</v>
      </c>
      <c r="H1018" s="17">
        <v>5.4087780821917804</v>
      </c>
      <c r="I1018" s="17" t="s">
        <v>115</v>
      </c>
    </row>
    <row r="1019" spans="1:9" ht="15.6" x14ac:dyDescent="0.3">
      <c r="A1019" s="17" t="s">
        <v>195</v>
      </c>
      <c r="B1019" s="17" t="s">
        <v>68</v>
      </c>
      <c r="C1019" s="17" t="s">
        <v>113</v>
      </c>
      <c r="D1019" s="17" t="s">
        <v>114</v>
      </c>
      <c r="E1019" s="17" t="s">
        <v>80</v>
      </c>
      <c r="F1019" s="17" t="s">
        <v>80</v>
      </c>
      <c r="G1019" s="17">
        <v>0.364627111211</v>
      </c>
      <c r="H1019" s="17">
        <v>0.316447916</v>
      </c>
      <c r="I1019" s="17" t="s">
        <v>115</v>
      </c>
    </row>
    <row r="1020" spans="1:9" ht="15.6" x14ac:dyDescent="0.3">
      <c r="A1020" s="17" t="s">
        <v>195</v>
      </c>
      <c r="B1020" s="17" t="s">
        <v>68</v>
      </c>
      <c r="C1020" s="17" t="s">
        <v>113</v>
      </c>
      <c r="D1020" s="17" t="s">
        <v>114</v>
      </c>
      <c r="E1020" s="17" t="s">
        <v>77</v>
      </c>
      <c r="F1020" s="17" t="s">
        <v>77</v>
      </c>
      <c r="G1020" s="17">
        <v>1.69956875E-4</v>
      </c>
      <c r="H1020" s="17">
        <v>1.4750000000000001E-4</v>
      </c>
      <c r="I1020" s="17" t="s">
        <v>115</v>
      </c>
    </row>
    <row r="1021" spans="1:9" ht="15.6" x14ac:dyDescent="0.3">
      <c r="A1021" s="17" t="s">
        <v>195</v>
      </c>
      <c r="B1021" s="17" t="s">
        <v>68</v>
      </c>
      <c r="C1021" s="17" t="s">
        <v>113</v>
      </c>
      <c r="D1021" s="17" t="s">
        <v>114</v>
      </c>
      <c r="E1021" s="17" t="s">
        <v>78</v>
      </c>
      <c r="F1021" s="17" t="s">
        <v>123</v>
      </c>
      <c r="G1021" s="17">
        <v>2.9792576</v>
      </c>
      <c r="H1021" s="17">
        <v>2.5855999999999999</v>
      </c>
      <c r="I1021" s="17" t="s">
        <v>115</v>
      </c>
    </row>
    <row r="1022" spans="1:9" ht="15.6" x14ac:dyDescent="0.3">
      <c r="A1022" s="17" t="s">
        <v>195</v>
      </c>
      <c r="B1022" s="17" t="s">
        <v>68</v>
      </c>
      <c r="C1022" s="17" t="s">
        <v>113</v>
      </c>
      <c r="D1022" s="17" t="s">
        <v>114</v>
      </c>
      <c r="E1022" s="17" t="s">
        <v>78</v>
      </c>
      <c r="F1022" s="17" t="s">
        <v>125</v>
      </c>
      <c r="G1022" s="17">
        <v>205.40285040000001</v>
      </c>
      <c r="H1022" s="17">
        <v>178.26240000000001</v>
      </c>
      <c r="I1022" s="17" t="s">
        <v>115</v>
      </c>
    </row>
    <row r="1023" spans="1:9" ht="15.6" x14ac:dyDescent="0.3">
      <c r="A1023" s="17" t="s">
        <v>195</v>
      </c>
      <c r="B1023" s="17" t="s">
        <v>68</v>
      </c>
      <c r="C1023" s="17" t="s">
        <v>113</v>
      </c>
      <c r="D1023" s="17" t="s">
        <v>114</v>
      </c>
      <c r="E1023" s="17" t="s">
        <v>79</v>
      </c>
      <c r="F1023" s="17" t="s">
        <v>126</v>
      </c>
      <c r="G1023" s="17">
        <v>0.67094758235417096</v>
      </c>
      <c r="H1023" s="17">
        <v>0.5822934105916</v>
      </c>
      <c r="I1023" s="17" t="s">
        <v>115</v>
      </c>
    </row>
    <row r="1024" spans="1:9" ht="15.6" x14ac:dyDescent="0.3">
      <c r="A1024" s="17" t="s">
        <v>195</v>
      </c>
      <c r="B1024" s="17" t="s">
        <v>68</v>
      </c>
      <c r="C1024" s="17" t="s">
        <v>113</v>
      </c>
      <c r="D1024" s="17" t="s">
        <v>114</v>
      </c>
      <c r="E1024" s="17" t="s">
        <v>79</v>
      </c>
      <c r="F1024" s="17" t="s">
        <v>79</v>
      </c>
      <c r="G1024" s="17">
        <v>3.4125222488461802</v>
      </c>
      <c r="H1024" s="17">
        <v>2.96161618472222</v>
      </c>
      <c r="I1024" s="17" t="s">
        <v>115</v>
      </c>
    </row>
    <row r="1025" spans="1:9" ht="15.6" x14ac:dyDescent="0.3">
      <c r="A1025" s="17" t="s">
        <v>195</v>
      </c>
      <c r="B1025" s="17" t="s">
        <v>68</v>
      </c>
      <c r="C1025" s="17" t="s">
        <v>113</v>
      </c>
      <c r="D1025" s="17" t="s">
        <v>114</v>
      </c>
      <c r="E1025" s="17" t="s">
        <v>81</v>
      </c>
      <c r="F1025" s="17" t="s">
        <v>81</v>
      </c>
      <c r="G1025" s="17">
        <v>46.871884141043097</v>
      </c>
      <c r="H1025" s="17">
        <v>40.678571612968597</v>
      </c>
      <c r="I1025" s="17" t="s">
        <v>115</v>
      </c>
    </row>
    <row r="1026" spans="1:9" ht="15.6" x14ac:dyDescent="0.3">
      <c r="A1026" s="17" t="s">
        <v>195</v>
      </c>
      <c r="B1026" s="17" t="s">
        <v>68</v>
      </c>
      <c r="C1026" s="17" t="s">
        <v>113</v>
      </c>
      <c r="D1026" s="17" t="s">
        <v>114</v>
      </c>
      <c r="E1026" s="17" t="s">
        <v>83</v>
      </c>
      <c r="F1026" s="17" t="s">
        <v>127</v>
      </c>
      <c r="G1026" s="17">
        <v>0.18146177328195501</v>
      </c>
      <c r="H1026" s="17">
        <v>0.15748472404595801</v>
      </c>
      <c r="I1026" s="17" t="s">
        <v>115</v>
      </c>
    </row>
    <row r="1027" spans="1:9" ht="15.6" x14ac:dyDescent="0.3">
      <c r="A1027" s="17" t="s">
        <v>195</v>
      </c>
      <c r="B1027" s="17" t="s">
        <v>68</v>
      </c>
      <c r="C1027" s="17" t="s">
        <v>113</v>
      </c>
      <c r="D1027" s="17" t="s">
        <v>114</v>
      </c>
      <c r="E1027" s="17" t="s">
        <v>83</v>
      </c>
      <c r="F1027" s="17" t="s">
        <v>128</v>
      </c>
      <c r="G1027" s="17">
        <v>2.2339595414853499</v>
      </c>
      <c r="H1027" s="17">
        <v>1.93878024863124</v>
      </c>
      <c r="I1027" s="17" t="s">
        <v>115</v>
      </c>
    </row>
    <row r="1028" spans="1:9" ht="15.6" x14ac:dyDescent="0.3">
      <c r="A1028" s="17" t="s">
        <v>195</v>
      </c>
      <c r="B1028" s="17" t="s">
        <v>68</v>
      </c>
      <c r="C1028" s="17" t="s">
        <v>113</v>
      </c>
      <c r="D1028" s="17" t="s">
        <v>114</v>
      </c>
      <c r="E1028" s="17" t="s">
        <v>85</v>
      </c>
      <c r="F1028" s="17" t="s">
        <v>85</v>
      </c>
      <c r="G1028" s="17">
        <v>31.624138205349201</v>
      </c>
      <c r="H1028" s="17">
        <v>27.445552792665801</v>
      </c>
      <c r="I1028" s="17" t="s">
        <v>115</v>
      </c>
    </row>
    <row r="1029" spans="1:9" ht="15.6" x14ac:dyDescent="0.3">
      <c r="A1029" s="17" t="s">
        <v>195</v>
      </c>
      <c r="B1029" s="17" t="s">
        <v>68</v>
      </c>
      <c r="C1029" s="17" t="s">
        <v>113</v>
      </c>
      <c r="D1029" s="17" t="s">
        <v>114</v>
      </c>
      <c r="E1029" s="17" t="s">
        <v>87</v>
      </c>
      <c r="F1029" s="17" t="s">
        <v>87</v>
      </c>
      <c r="G1029" s="17">
        <v>1.22389344825E-3</v>
      </c>
      <c r="H1029" s="17">
        <v>1.0621770000000001E-3</v>
      </c>
      <c r="I1029" s="17" t="s">
        <v>115</v>
      </c>
    </row>
    <row r="1030" spans="1:9" ht="15.6" x14ac:dyDescent="0.3">
      <c r="A1030" s="17" t="s">
        <v>195</v>
      </c>
      <c r="B1030" s="17" t="s">
        <v>68</v>
      </c>
      <c r="C1030" s="17" t="s">
        <v>113</v>
      </c>
      <c r="D1030" s="17" t="s">
        <v>114</v>
      </c>
      <c r="E1030" s="17" t="s">
        <v>88</v>
      </c>
      <c r="F1030" s="17" t="s">
        <v>88</v>
      </c>
      <c r="G1030" s="17">
        <v>13.6306566</v>
      </c>
      <c r="H1030" s="17">
        <v>11.829599999999999</v>
      </c>
      <c r="I1030" s="17" t="s">
        <v>115</v>
      </c>
    </row>
    <row r="1031" spans="1:9" ht="15.6" x14ac:dyDescent="0.3">
      <c r="A1031" s="17" t="s">
        <v>195</v>
      </c>
      <c r="B1031" s="17" t="s">
        <v>68</v>
      </c>
      <c r="C1031" s="17" t="s">
        <v>113</v>
      </c>
      <c r="D1031" s="17" t="s">
        <v>114</v>
      </c>
      <c r="E1031" s="17" t="s">
        <v>89</v>
      </c>
      <c r="F1031" s="17" t="s">
        <v>89</v>
      </c>
      <c r="G1031" s="17">
        <v>249.49482365420201</v>
      </c>
      <c r="H1031" s="17">
        <v>216.52837808999999</v>
      </c>
      <c r="I1031" s="17" t="s">
        <v>115</v>
      </c>
    </row>
    <row r="1032" spans="1:9" ht="15.6" x14ac:dyDescent="0.3">
      <c r="A1032" s="17" t="s">
        <v>195</v>
      </c>
      <c r="B1032" s="17" t="s">
        <v>68</v>
      </c>
      <c r="C1032" s="17" t="s">
        <v>113</v>
      </c>
      <c r="D1032" s="17" t="s">
        <v>114</v>
      </c>
      <c r="E1032" s="17" t="s">
        <v>90</v>
      </c>
      <c r="F1032" s="17" t="s">
        <v>90</v>
      </c>
      <c r="G1032" s="17">
        <v>40.440875331386003</v>
      </c>
      <c r="H1032" s="17">
        <v>35.097309899228499</v>
      </c>
      <c r="I1032" s="17" t="s">
        <v>115</v>
      </c>
    </row>
    <row r="1033" spans="1:9" ht="15.6" x14ac:dyDescent="0.3">
      <c r="A1033" s="17" t="s">
        <v>195</v>
      </c>
      <c r="B1033" s="17" t="s">
        <v>68</v>
      </c>
      <c r="C1033" s="17" t="s">
        <v>113</v>
      </c>
      <c r="D1033" s="17" t="s">
        <v>114</v>
      </c>
      <c r="E1033" s="17" t="s">
        <v>91</v>
      </c>
      <c r="F1033" s="17" t="s">
        <v>91</v>
      </c>
      <c r="G1033" s="17">
        <v>11.499920998533399</v>
      </c>
      <c r="H1033" s="17">
        <v>9.9804044248500006</v>
      </c>
      <c r="I1033" s="17" t="s">
        <v>115</v>
      </c>
    </row>
    <row r="1034" spans="1:9" ht="15.6" x14ac:dyDescent="0.3">
      <c r="A1034" s="17" t="s">
        <v>195</v>
      </c>
      <c r="B1034" s="17" t="s">
        <v>68</v>
      </c>
      <c r="C1034" s="17" t="s">
        <v>113</v>
      </c>
      <c r="D1034" s="17" t="s">
        <v>114</v>
      </c>
      <c r="E1034" s="17" t="s">
        <v>93</v>
      </c>
      <c r="F1034" s="17" t="s">
        <v>130</v>
      </c>
      <c r="G1034" s="17">
        <v>282.18718877250001</v>
      </c>
      <c r="H1034" s="17">
        <v>244.90101000000001</v>
      </c>
      <c r="I1034" s="17" t="s">
        <v>115</v>
      </c>
    </row>
    <row r="1035" spans="1:9" ht="15.6" x14ac:dyDescent="0.3">
      <c r="A1035" s="17" t="s">
        <v>195</v>
      </c>
      <c r="B1035" s="17" t="s">
        <v>68</v>
      </c>
      <c r="C1035" s="17" t="s">
        <v>113</v>
      </c>
      <c r="D1035" s="17" t="s">
        <v>114</v>
      </c>
      <c r="E1035" s="17" t="s">
        <v>93</v>
      </c>
      <c r="F1035" s="17" t="s">
        <v>131</v>
      </c>
      <c r="G1035" s="17">
        <v>99.823796049999999</v>
      </c>
      <c r="H1035" s="17">
        <v>86.633799999999994</v>
      </c>
      <c r="I1035" s="17" t="s">
        <v>115</v>
      </c>
    </row>
    <row r="1036" spans="1:9" ht="15.6" x14ac:dyDescent="0.3">
      <c r="A1036" s="17" t="s">
        <v>195</v>
      </c>
      <c r="B1036" s="17" t="s">
        <v>68</v>
      </c>
      <c r="C1036" s="17" t="s">
        <v>113</v>
      </c>
      <c r="D1036" s="17" t="s">
        <v>114</v>
      </c>
      <c r="E1036" s="17" t="s">
        <v>93</v>
      </c>
      <c r="F1036" s="17" t="s">
        <v>132</v>
      </c>
      <c r="G1036" s="17">
        <v>0.343766874</v>
      </c>
      <c r="H1036" s="17">
        <v>0.298344</v>
      </c>
      <c r="I1036" s="17" t="s">
        <v>115</v>
      </c>
    </row>
    <row r="1037" spans="1:9" ht="15.6" x14ac:dyDescent="0.3">
      <c r="A1037" s="17" t="s">
        <v>195</v>
      </c>
      <c r="B1037" s="17" t="s">
        <v>68</v>
      </c>
      <c r="C1037" s="17" t="s">
        <v>113</v>
      </c>
      <c r="D1037" s="17" t="s">
        <v>114</v>
      </c>
      <c r="E1037" s="17" t="s">
        <v>93</v>
      </c>
      <c r="F1037" s="17" t="s">
        <v>133</v>
      </c>
      <c r="G1037" s="17">
        <v>10.1974125</v>
      </c>
      <c r="H1037" s="17">
        <v>8.85</v>
      </c>
      <c r="I1037" s="17" t="s">
        <v>115</v>
      </c>
    </row>
    <row r="1038" spans="1:9" ht="15.6" x14ac:dyDescent="0.3">
      <c r="A1038" s="17" t="s">
        <v>195</v>
      </c>
      <c r="B1038" s="17" t="s">
        <v>68</v>
      </c>
      <c r="C1038" s="17" t="s">
        <v>113</v>
      </c>
      <c r="D1038" s="17" t="s">
        <v>114</v>
      </c>
      <c r="E1038" s="17" t="s">
        <v>93</v>
      </c>
      <c r="F1038" s="17" t="s">
        <v>134</v>
      </c>
      <c r="G1038" s="17">
        <v>3.4882479059999998</v>
      </c>
      <c r="H1038" s="17">
        <v>3.027336</v>
      </c>
      <c r="I1038" s="17" t="s">
        <v>115</v>
      </c>
    </row>
    <row r="1039" spans="1:9" ht="15.6" x14ac:dyDescent="0.3">
      <c r="A1039" s="17" t="s">
        <v>195</v>
      </c>
      <c r="B1039" s="17" t="s">
        <v>68</v>
      </c>
      <c r="C1039" s="17" t="s">
        <v>113</v>
      </c>
      <c r="D1039" s="17" t="s">
        <v>114</v>
      </c>
      <c r="E1039" s="17" t="s">
        <v>93</v>
      </c>
      <c r="F1039" s="17" t="s">
        <v>136</v>
      </c>
      <c r="G1039" s="17">
        <v>24.41516352</v>
      </c>
      <c r="H1039" s="17">
        <v>21.189119999999999</v>
      </c>
      <c r="I1039" s="17" t="s">
        <v>115</v>
      </c>
    </row>
    <row r="1040" spans="1:9" ht="15.6" x14ac:dyDescent="0.3">
      <c r="A1040" s="17" t="s">
        <v>195</v>
      </c>
      <c r="B1040" s="17" t="s">
        <v>68</v>
      </c>
      <c r="C1040" s="17" t="s">
        <v>113</v>
      </c>
      <c r="D1040" s="17" t="s">
        <v>114</v>
      </c>
      <c r="E1040" s="17" t="s">
        <v>93</v>
      </c>
      <c r="F1040" s="17" t="s">
        <v>137</v>
      </c>
      <c r="G1040" s="17">
        <v>49.567582680000001</v>
      </c>
      <c r="H1040" s="17">
        <v>43.018079999999998</v>
      </c>
      <c r="I1040" s="17" t="s">
        <v>115</v>
      </c>
    </row>
    <row r="1041" spans="1:9" ht="15.6" x14ac:dyDescent="0.3">
      <c r="A1041" s="17" t="s">
        <v>195</v>
      </c>
      <c r="B1041" s="17" t="s">
        <v>68</v>
      </c>
      <c r="C1041" s="17" t="s">
        <v>113</v>
      </c>
      <c r="D1041" s="17" t="s">
        <v>114</v>
      </c>
      <c r="E1041" s="17" t="s">
        <v>94</v>
      </c>
      <c r="F1041" s="17" t="s">
        <v>94</v>
      </c>
      <c r="G1041" s="17">
        <v>4.0509957443999998E-7</v>
      </c>
      <c r="H1041" s="17">
        <v>3.5157264000000001E-7</v>
      </c>
      <c r="I1041" s="17" t="s">
        <v>115</v>
      </c>
    </row>
    <row r="1042" spans="1:9" ht="15.6" x14ac:dyDescent="0.3">
      <c r="A1042" s="17" t="s">
        <v>195</v>
      </c>
      <c r="B1042" s="17" t="s">
        <v>68</v>
      </c>
      <c r="C1042" s="17" t="s">
        <v>113</v>
      </c>
      <c r="D1042" s="17" t="s">
        <v>114</v>
      </c>
      <c r="E1042" s="17" t="s">
        <v>96</v>
      </c>
      <c r="F1042" s="17" t="s">
        <v>96</v>
      </c>
      <c r="G1042" s="17">
        <v>3.2074146224999998E-4</v>
      </c>
      <c r="H1042" s="17">
        <v>2.7836099999999997E-4</v>
      </c>
      <c r="I1042" s="17" t="s">
        <v>115</v>
      </c>
    </row>
    <row r="1043" spans="1:9" ht="15.6" x14ac:dyDescent="0.3">
      <c r="A1043" s="17" t="s">
        <v>195</v>
      </c>
      <c r="B1043" s="17" t="s">
        <v>68</v>
      </c>
      <c r="C1043" s="17" t="s">
        <v>113</v>
      </c>
      <c r="D1043" s="17" t="s">
        <v>114</v>
      </c>
      <c r="E1043" s="17" t="s">
        <v>99</v>
      </c>
      <c r="F1043" s="17" t="s">
        <v>142</v>
      </c>
      <c r="G1043" s="17">
        <v>7.1192492167500001E-3</v>
      </c>
      <c r="H1043" s="17">
        <v>6.1785629999999998E-3</v>
      </c>
      <c r="I1043" s="17" t="s">
        <v>115</v>
      </c>
    </row>
    <row r="1044" spans="1:9" ht="15.6" x14ac:dyDescent="0.3">
      <c r="A1044" s="17" t="s">
        <v>195</v>
      </c>
      <c r="B1044" s="17" t="s">
        <v>68</v>
      </c>
      <c r="C1044" s="17" t="s">
        <v>113</v>
      </c>
      <c r="D1044" s="17" t="s">
        <v>114</v>
      </c>
      <c r="E1044" s="17" t="s">
        <v>99</v>
      </c>
      <c r="F1044" s="17" t="s">
        <v>143</v>
      </c>
      <c r="G1044" s="17">
        <v>30.187717499474701</v>
      </c>
      <c r="H1044" s="17">
        <v>26.198930353200002</v>
      </c>
      <c r="I1044" s="17" t="s">
        <v>115</v>
      </c>
    </row>
    <row r="1045" spans="1:9" ht="15.6" x14ac:dyDescent="0.3">
      <c r="A1045" s="17" t="s">
        <v>195</v>
      </c>
      <c r="B1045" s="17" t="s">
        <v>68</v>
      </c>
      <c r="C1045" s="17" t="s">
        <v>113</v>
      </c>
      <c r="D1045" s="17" t="s">
        <v>114</v>
      </c>
      <c r="E1045" s="17" t="s">
        <v>99</v>
      </c>
      <c r="F1045" s="17" t="s">
        <v>144</v>
      </c>
      <c r="G1045" s="17">
        <v>5.9762252824999997E-4</v>
      </c>
      <c r="H1045" s="17">
        <v>5.1865699999999995E-4</v>
      </c>
      <c r="I1045" s="17" t="s">
        <v>115</v>
      </c>
    </row>
    <row r="1046" spans="1:9" ht="15.6" x14ac:dyDescent="0.3">
      <c r="A1046" s="17" t="s">
        <v>195</v>
      </c>
      <c r="B1046" s="17" t="s">
        <v>68</v>
      </c>
      <c r="C1046" s="17" t="s">
        <v>113</v>
      </c>
      <c r="D1046" s="17" t="s">
        <v>114</v>
      </c>
      <c r="E1046" s="17" t="s">
        <v>99</v>
      </c>
      <c r="F1046" s="17" t="s">
        <v>147</v>
      </c>
      <c r="G1046" s="17">
        <v>2.1748745943099999E-3</v>
      </c>
      <c r="H1046" s="17">
        <v>1.88750236E-3</v>
      </c>
      <c r="I1046" s="17" t="s">
        <v>115</v>
      </c>
    </row>
    <row r="1047" spans="1:9" ht="15.6" x14ac:dyDescent="0.3">
      <c r="A1047" s="17" t="s">
        <v>195</v>
      </c>
      <c r="B1047" s="17" t="s">
        <v>68</v>
      </c>
      <c r="C1047" s="17" t="s">
        <v>113</v>
      </c>
      <c r="D1047" s="17" t="s">
        <v>114</v>
      </c>
      <c r="E1047" s="17" t="s">
        <v>99</v>
      </c>
      <c r="F1047" s="17" t="s">
        <v>148</v>
      </c>
      <c r="G1047" s="17">
        <v>217.41783787039199</v>
      </c>
      <c r="H1047" s="17">
        <v>188.68981373</v>
      </c>
      <c r="I1047" s="17" t="s">
        <v>115</v>
      </c>
    </row>
    <row r="1048" spans="1:9" ht="15.6" x14ac:dyDescent="0.3">
      <c r="A1048" s="17" t="s">
        <v>195</v>
      </c>
      <c r="B1048" s="17" t="s">
        <v>68</v>
      </c>
      <c r="C1048" s="17" t="s">
        <v>113</v>
      </c>
      <c r="D1048" s="17" t="s">
        <v>114</v>
      </c>
      <c r="E1048" s="17" t="s">
        <v>99</v>
      </c>
      <c r="F1048" s="17" t="s">
        <v>150</v>
      </c>
      <c r="G1048" s="17">
        <v>1.4327191725000001E-4</v>
      </c>
      <c r="H1048" s="17">
        <v>1.2434100000000001E-4</v>
      </c>
      <c r="I1048" s="17" t="s">
        <v>115</v>
      </c>
    </row>
    <row r="1049" spans="1:9" ht="15.6" x14ac:dyDescent="0.3">
      <c r="A1049" s="17" t="s">
        <v>195</v>
      </c>
      <c r="B1049" s="17" t="s">
        <v>68</v>
      </c>
      <c r="C1049" s="17" t="s">
        <v>113</v>
      </c>
      <c r="D1049" s="17" t="s">
        <v>114</v>
      </c>
      <c r="E1049" s="17" t="s">
        <v>99</v>
      </c>
      <c r="F1049" s="17" t="s">
        <v>152</v>
      </c>
      <c r="G1049" s="17">
        <v>5.6923754643841198</v>
      </c>
      <c r="H1049" s="17">
        <v>4.9402260484999996</v>
      </c>
      <c r="I1049" s="17" t="s">
        <v>115</v>
      </c>
    </row>
    <row r="1050" spans="1:9" ht="15.6" x14ac:dyDescent="0.3">
      <c r="A1050" s="17" t="s">
        <v>195</v>
      </c>
      <c r="B1050" s="17" t="s">
        <v>68</v>
      </c>
      <c r="C1050" s="17" t="s">
        <v>113</v>
      </c>
      <c r="D1050" s="17" t="s">
        <v>114</v>
      </c>
      <c r="E1050" s="17" t="s">
        <v>99</v>
      </c>
      <c r="F1050" s="17" t="s">
        <v>153</v>
      </c>
      <c r="G1050" s="17">
        <v>2.7505590199999999E-5</v>
      </c>
      <c r="H1050" s="17">
        <v>2.3871199999999999E-5</v>
      </c>
      <c r="I1050" s="17" t="s">
        <v>115</v>
      </c>
    </row>
    <row r="1051" spans="1:9" ht="15.6" x14ac:dyDescent="0.3">
      <c r="A1051" s="17" t="s">
        <v>195</v>
      </c>
      <c r="B1051" s="17" t="s">
        <v>68</v>
      </c>
      <c r="C1051" s="17" t="s">
        <v>113</v>
      </c>
      <c r="D1051" s="17" t="s">
        <v>114</v>
      </c>
      <c r="E1051" s="17" t="s">
        <v>99</v>
      </c>
      <c r="F1051" s="17" t="s">
        <v>154</v>
      </c>
      <c r="G1051" s="17">
        <v>6.5553198611999998E-3</v>
      </c>
      <c r="H1051" s="17">
        <v>5.6891472000000004E-3</v>
      </c>
      <c r="I1051" s="17" t="s">
        <v>115</v>
      </c>
    </row>
    <row r="1052" spans="1:9" ht="15.6" x14ac:dyDescent="0.3">
      <c r="A1052" s="17" t="s">
        <v>195</v>
      </c>
      <c r="B1052" s="17" t="s">
        <v>68</v>
      </c>
      <c r="C1052" s="17" t="s">
        <v>113</v>
      </c>
      <c r="D1052" s="17" t="s">
        <v>114</v>
      </c>
      <c r="E1052" s="17" t="s">
        <v>101</v>
      </c>
      <c r="F1052" s="17" t="s">
        <v>157</v>
      </c>
      <c r="G1052" s="17">
        <v>1976.29953963773</v>
      </c>
      <c r="H1052" s="17">
        <v>1715.1655800717999</v>
      </c>
      <c r="I1052" s="17" t="s">
        <v>115</v>
      </c>
    </row>
    <row r="1053" spans="1:9" ht="15.6" x14ac:dyDescent="0.3">
      <c r="A1053" s="17" t="s">
        <v>195</v>
      </c>
      <c r="B1053" s="17" t="s">
        <v>68</v>
      </c>
      <c r="C1053" s="17" t="s">
        <v>113</v>
      </c>
      <c r="D1053" s="17" t="s">
        <v>114</v>
      </c>
      <c r="E1053" s="17" t="s">
        <v>101</v>
      </c>
      <c r="F1053" s="17" t="s">
        <v>158</v>
      </c>
      <c r="G1053" s="17">
        <v>116.24375338781999</v>
      </c>
      <c r="H1053" s="17">
        <v>100.8841426668</v>
      </c>
      <c r="I1053" s="17" t="s">
        <v>115</v>
      </c>
    </row>
    <row r="1054" spans="1:9" ht="15.6" x14ac:dyDescent="0.3">
      <c r="A1054" s="17" t="s">
        <v>195</v>
      </c>
      <c r="B1054" s="17" t="s">
        <v>68</v>
      </c>
      <c r="C1054" s="17" t="s">
        <v>113</v>
      </c>
      <c r="D1054" s="17" t="s">
        <v>114</v>
      </c>
      <c r="E1054" s="17" t="s">
        <v>101</v>
      </c>
      <c r="F1054" s="17" t="s">
        <v>159</v>
      </c>
      <c r="G1054" s="17">
        <v>2.2150965169079999</v>
      </c>
      <c r="H1054" s="17">
        <v>1.9224096479999999</v>
      </c>
      <c r="I1054" s="17" t="s">
        <v>115</v>
      </c>
    </row>
    <row r="1055" spans="1:9" ht="15.6" x14ac:dyDescent="0.3">
      <c r="A1055" s="17" t="s">
        <v>195</v>
      </c>
      <c r="B1055" s="17" t="s">
        <v>68</v>
      </c>
      <c r="C1055" s="17" t="s">
        <v>113</v>
      </c>
      <c r="D1055" s="17" t="s">
        <v>114</v>
      </c>
      <c r="E1055" s="17" t="s">
        <v>101</v>
      </c>
      <c r="F1055" s="17" t="s">
        <v>160</v>
      </c>
      <c r="G1055" s="17">
        <v>109.690569509136</v>
      </c>
      <c r="H1055" s="17">
        <v>95.196849216000004</v>
      </c>
      <c r="I1055" s="17" t="s">
        <v>115</v>
      </c>
    </row>
    <row r="1056" spans="1:9" ht="15.6" x14ac:dyDescent="0.3">
      <c r="A1056" s="17" t="s">
        <v>195</v>
      </c>
      <c r="B1056" s="17" t="s">
        <v>68</v>
      </c>
      <c r="C1056" s="17" t="s">
        <v>113</v>
      </c>
      <c r="D1056" s="17" t="s">
        <v>114</v>
      </c>
      <c r="E1056" s="17" t="s">
        <v>101</v>
      </c>
      <c r="F1056" s="17" t="s">
        <v>162</v>
      </c>
      <c r="G1056" s="17">
        <v>0.33895263891720001</v>
      </c>
      <c r="H1056" s="17">
        <v>0.29416588319999998</v>
      </c>
      <c r="I1056" s="17" t="s">
        <v>115</v>
      </c>
    </row>
    <row r="1057" spans="1:9" ht="15.6" x14ac:dyDescent="0.3">
      <c r="A1057" s="17" t="s">
        <v>195</v>
      </c>
      <c r="B1057" s="17" t="s">
        <v>68</v>
      </c>
      <c r="C1057" s="17" t="s">
        <v>113</v>
      </c>
      <c r="D1057" s="17" t="s">
        <v>114</v>
      </c>
      <c r="E1057" s="17" t="s">
        <v>102</v>
      </c>
      <c r="F1057" s="17" t="s">
        <v>165</v>
      </c>
      <c r="G1057" s="17">
        <v>9.0748905499999992</v>
      </c>
      <c r="H1057" s="17">
        <v>7.8757999999999999</v>
      </c>
      <c r="I1057" s="17" t="s">
        <v>115</v>
      </c>
    </row>
    <row r="1058" spans="1:9" ht="15.6" x14ac:dyDescent="0.3">
      <c r="A1058" s="17" t="s">
        <v>195</v>
      </c>
      <c r="B1058" s="17" t="s">
        <v>68</v>
      </c>
      <c r="C1058" s="17" t="s">
        <v>113</v>
      </c>
      <c r="D1058" s="17" t="s">
        <v>114</v>
      </c>
      <c r="E1058" s="17" t="s">
        <v>102</v>
      </c>
      <c r="F1058" s="17" t="s">
        <v>166</v>
      </c>
      <c r="G1058" s="17">
        <v>106.760292875806</v>
      </c>
      <c r="H1058" s="17">
        <v>92.653758191196602</v>
      </c>
      <c r="I1058" s="17" t="s">
        <v>115</v>
      </c>
    </row>
    <row r="1059" spans="1:9" ht="15.6" x14ac:dyDescent="0.3">
      <c r="A1059" s="17" t="s">
        <v>195</v>
      </c>
      <c r="B1059" s="17" t="s">
        <v>68</v>
      </c>
      <c r="C1059" s="17" t="s">
        <v>113</v>
      </c>
      <c r="D1059" s="17" t="s">
        <v>114</v>
      </c>
      <c r="E1059" s="17" t="s">
        <v>103</v>
      </c>
      <c r="F1059" s="17" t="s">
        <v>103</v>
      </c>
      <c r="G1059" s="17">
        <v>33.898042750000002</v>
      </c>
      <c r="H1059" s="17">
        <v>29.419</v>
      </c>
      <c r="I1059" s="17" t="s">
        <v>115</v>
      </c>
    </row>
    <row r="1060" spans="1:9" ht="15.6" x14ac:dyDescent="0.3">
      <c r="A1060" s="17" t="s">
        <v>195</v>
      </c>
      <c r="B1060" s="17" t="s">
        <v>69</v>
      </c>
      <c r="C1060" s="17" t="s">
        <v>113</v>
      </c>
      <c r="D1060" s="17" t="s">
        <v>114</v>
      </c>
      <c r="E1060" s="17" t="s">
        <v>71</v>
      </c>
      <c r="F1060" s="17" t="s">
        <v>71</v>
      </c>
      <c r="G1060" s="17">
        <v>24.623532000000001</v>
      </c>
      <c r="H1060" s="17">
        <v>21.24</v>
      </c>
      <c r="I1060" s="17" t="s">
        <v>115</v>
      </c>
    </row>
    <row r="1061" spans="1:9" ht="15.6" x14ac:dyDescent="0.3">
      <c r="A1061" s="17" t="s">
        <v>195</v>
      </c>
      <c r="B1061" s="17" t="s">
        <v>69</v>
      </c>
      <c r="C1061" s="17" t="s">
        <v>113</v>
      </c>
      <c r="D1061" s="17" t="s">
        <v>114</v>
      </c>
      <c r="E1061" s="17" t="s">
        <v>72</v>
      </c>
      <c r="F1061" s="17" t="s">
        <v>116</v>
      </c>
      <c r="G1061" s="17">
        <v>186.24571847999999</v>
      </c>
      <c r="H1061" s="17">
        <v>160.65360000000001</v>
      </c>
      <c r="I1061" s="17" t="s">
        <v>115</v>
      </c>
    </row>
    <row r="1062" spans="1:9" ht="15.6" x14ac:dyDescent="0.3">
      <c r="A1062" s="17" t="s">
        <v>195</v>
      </c>
      <c r="B1062" s="17" t="s">
        <v>69</v>
      </c>
      <c r="C1062" s="17" t="s">
        <v>113</v>
      </c>
      <c r="D1062" s="17" t="s">
        <v>114</v>
      </c>
      <c r="E1062" s="17" t="s">
        <v>73</v>
      </c>
      <c r="F1062" s="17" t="s">
        <v>117</v>
      </c>
      <c r="G1062" s="17">
        <v>0</v>
      </c>
      <c r="H1062" s="17">
        <v>0</v>
      </c>
      <c r="I1062" s="17" t="s">
        <v>115</v>
      </c>
    </row>
    <row r="1063" spans="1:9" ht="15.6" x14ac:dyDescent="0.3">
      <c r="A1063" s="17" t="s">
        <v>195</v>
      </c>
      <c r="B1063" s="17" t="s">
        <v>69</v>
      </c>
      <c r="C1063" s="17" t="s">
        <v>113</v>
      </c>
      <c r="D1063" s="17" t="s">
        <v>114</v>
      </c>
      <c r="E1063" s="17" t="s">
        <v>73</v>
      </c>
      <c r="F1063" s="17" t="s">
        <v>118</v>
      </c>
      <c r="G1063" s="17">
        <v>669.42619200000001</v>
      </c>
      <c r="H1063" s="17">
        <v>577.44000000000005</v>
      </c>
      <c r="I1063" s="17" t="s">
        <v>115</v>
      </c>
    </row>
    <row r="1064" spans="1:9" ht="15.6" x14ac:dyDescent="0.3">
      <c r="A1064" s="17" t="s">
        <v>195</v>
      </c>
      <c r="B1064" s="17" t="s">
        <v>69</v>
      </c>
      <c r="C1064" s="17" t="s">
        <v>113</v>
      </c>
      <c r="D1064" s="17" t="s">
        <v>114</v>
      </c>
      <c r="E1064" s="17" t="s">
        <v>73</v>
      </c>
      <c r="F1064" s="17" t="s">
        <v>119</v>
      </c>
      <c r="G1064" s="17">
        <v>93.485951999999997</v>
      </c>
      <c r="H1064" s="17">
        <v>80.64</v>
      </c>
      <c r="I1064" s="17" t="s">
        <v>115</v>
      </c>
    </row>
    <row r="1065" spans="1:9" ht="15.6" x14ac:dyDescent="0.3">
      <c r="A1065" s="17" t="s">
        <v>195</v>
      </c>
      <c r="B1065" s="17" t="s">
        <v>69</v>
      </c>
      <c r="C1065" s="17" t="s">
        <v>113</v>
      </c>
      <c r="D1065" s="17" t="s">
        <v>114</v>
      </c>
      <c r="E1065" s="17" t="s">
        <v>73</v>
      </c>
      <c r="F1065" s="17" t="s">
        <v>120</v>
      </c>
      <c r="G1065" s="17">
        <v>6.0681255780821903</v>
      </c>
      <c r="H1065" s="17">
        <v>5.2343013698630099</v>
      </c>
      <c r="I1065" s="17" t="s">
        <v>115</v>
      </c>
    </row>
    <row r="1066" spans="1:9" ht="15.6" x14ac:dyDescent="0.3">
      <c r="A1066" s="17" t="s">
        <v>195</v>
      </c>
      <c r="B1066" s="17" t="s">
        <v>69</v>
      </c>
      <c r="C1066" s="17" t="s">
        <v>113</v>
      </c>
      <c r="D1066" s="17" t="s">
        <v>114</v>
      </c>
      <c r="E1066" s="17" t="s">
        <v>80</v>
      </c>
      <c r="F1066" s="17" t="s">
        <v>80</v>
      </c>
      <c r="G1066" s="17">
        <v>0.35401591743490302</v>
      </c>
      <c r="H1066" s="17">
        <v>0.30537041096774198</v>
      </c>
      <c r="I1066" s="17" t="s">
        <v>115</v>
      </c>
    </row>
    <row r="1067" spans="1:9" ht="15.6" x14ac:dyDescent="0.3">
      <c r="A1067" s="17" t="s">
        <v>195</v>
      </c>
      <c r="B1067" s="17" t="s">
        <v>69</v>
      </c>
      <c r="C1067" s="17" t="s">
        <v>113</v>
      </c>
      <c r="D1067" s="17" t="s">
        <v>114</v>
      </c>
      <c r="E1067" s="17" t="s">
        <v>77</v>
      </c>
      <c r="F1067" s="17" t="s">
        <v>77</v>
      </c>
      <c r="G1067" s="17">
        <v>1.6415688E-4</v>
      </c>
      <c r="H1067" s="17">
        <v>1.416E-4</v>
      </c>
      <c r="I1067" s="17" t="s">
        <v>115</v>
      </c>
    </row>
    <row r="1068" spans="1:9" ht="15.6" x14ac:dyDescent="0.3">
      <c r="A1068" s="17" t="s">
        <v>195</v>
      </c>
      <c r="B1068" s="17" t="s">
        <v>69</v>
      </c>
      <c r="C1068" s="17" t="s">
        <v>113</v>
      </c>
      <c r="D1068" s="17" t="s">
        <v>114</v>
      </c>
      <c r="E1068" s="17" t="s">
        <v>78</v>
      </c>
      <c r="F1068" s="17" t="s">
        <v>123</v>
      </c>
      <c r="G1068" s="17">
        <v>2.91811716094624</v>
      </c>
      <c r="H1068" s="17">
        <v>2.51713720430108</v>
      </c>
      <c r="I1068" s="17" t="s">
        <v>115</v>
      </c>
    </row>
    <row r="1069" spans="1:9" ht="15.6" x14ac:dyDescent="0.3">
      <c r="A1069" s="17" t="s">
        <v>195</v>
      </c>
      <c r="B1069" s="17" t="s">
        <v>69</v>
      </c>
      <c r="C1069" s="17" t="s">
        <v>113</v>
      </c>
      <c r="D1069" s="17" t="s">
        <v>114</v>
      </c>
      <c r="E1069" s="17" t="s">
        <v>78</v>
      </c>
      <c r="F1069" s="17" t="s">
        <v>125</v>
      </c>
      <c r="G1069" s="17">
        <v>199.99316160000001</v>
      </c>
      <c r="H1069" s="17">
        <v>172.512</v>
      </c>
      <c r="I1069" s="17" t="s">
        <v>115</v>
      </c>
    </row>
    <row r="1070" spans="1:9" ht="15.6" x14ac:dyDescent="0.3">
      <c r="A1070" s="17" t="s">
        <v>195</v>
      </c>
      <c r="B1070" s="17" t="s">
        <v>69</v>
      </c>
      <c r="C1070" s="17" t="s">
        <v>113</v>
      </c>
      <c r="D1070" s="17" t="s">
        <v>114</v>
      </c>
      <c r="E1070" s="17" t="s">
        <v>79</v>
      </c>
      <c r="F1070" s="17" t="s">
        <v>79</v>
      </c>
      <c r="G1070" s="17">
        <v>28.377769894440402</v>
      </c>
      <c r="H1070" s="17">
        <v>24.478366164444399</v>
      </c>
      <c r="I1070" s="17" t="s">
        <v>115</v>
      </c>
    </row>
    <row r="1071" spans="1:9" ht="15.6" x14ac:dyDescent="0.3">
      <c r="A1071" s="17" t="s">
        <v>195</v>
      </c>
      <c r="B1071" s="17" t="s">
        <v>69</v>
      </c>
      <c r="C1071" s="17" t="s">
        <v>113</v>
      </c>
      <c r="D1071" s="17" t="s">
        <v>114</v>
      </c>
      <c r="E1071" s="17" t="s">
        <v>81</v>
      </c>
      <c r="F1071" s="17" t="s">
        <v>81</v>
      </c>
      <c r="G1071" s="17">
        <v>46.297519813136802</v>
      </c>
      <c r="H1071" s="17">
        <v>39.935754173326004</v>
      </c>
      <c r="I1071" s="17" t="s">
        <v>115</v>
      </c>
    </row>
    <row r="1072" spans="1:9" ht="15.6" x14ac:dyDescent="0.3">
      <c r="A1072" s="17" t="s">
        <v>195</v>
      </c>
      <c r="B1072" s="17" t="s">
        <v>69</v>
      </c>
      <c r="C1072" s="17" t="s">
        <v>113</v>
      </c>
      <c r="D1072" s="17" t="s">
        <v>114</v>
      </c>
      <c r="E1072" s="17" t="s">
        <v>83</v>
      </c>
      <c r="F1072" s="17" t="s">
        <v>127</v>
      </c>
      <c r="G1072" s="17">
        <v>0.19381857845658901</v>
      </c>
      <c r="H1072" s="17">
        <v>0.16718586945276401</v>
      </c>
      <c r="I1072" s="17" t="s">
        <v>115</v>
      </c>
    </row>
    <row r="1073" spans="1:9" ht="15.6" x14ac:dyDescent="0.3">
      <c r="A1073" s="17" t="s">
        <v>195</v>
      </c>
      <c r="B1073" s="17" t="s">
        <v>69</v>
      </c>
      <c r="C1073" s="17" t="s">
        <v>113</v>
      </c>
      <c r="D1073" s="17" t="s">
        <v>114</v>
      </c>
      <c r="E1073" s="17" t="s">
        <v>83</v>
      </c>
      <c r="F1073" s="17" t="s">
        <v>128</v>
      </c>
      <c r="G1073" s="17">
        <v>0.79915360671565605</v>
      </c>
      <c r="H1073" s="17">
        <v>0.68934150497339497</v>
      </c>
      <c r="I1073" s="17" t="s">
        <v>115</v>
      </c>
    </row>
    <row r="1074" spans="1:9" ht="15.6" x14ac:dyDescent="0.3">
      <c r="A1074" s="17" t="s">
        <v>195</v>
      </c>
      <c r="B1074" s="17" t="s">
        <v>69</v>
      </c>
      <c r="C1074" s="17" t="s">
        <v>113</v>
      </c>
      <c r="D1074" s="17" t="s">
        <v>114</v>
      </c>
      <c r="E1074" s="17" t="s">
        <v>84</v>
      </c>
      <c r="F1074" s="17" t="s">
        <v>129</v>
      </c>
      <c r="G1074" s="17">
        <v>2.0835461285000001E-3</v>
      </c>
      <c r="H1074" s="17">
        <v>1.797245E-3</v>
      </c>
      <c r="I1074" s="17" t="s">
        <v>115</v>
      </c>
    </row>
    <row r="1075" spans="1:9" ht="15.6" x14ac:dyDescent="0.3">
      <c r="A1075" s="17" t="s">
        <v>195</v>
      </c>
      <c r="B1075" s="17" t="s">
        <v>69</v>
      </c>
      <c r="C1075" s="17" t="s">
        <v>113</v>
      </c>
      <c r="D1075" s="17" t="s">
        <v>114</v>
      </c>
      <c r="E1075" s="17" t="s">
        <v>85</v>
      </c>
      <c r="F1075" s="17" t="s">
        <v>85</v>
      </c>
      <c r="G1075" s="17">
        <v>30.791254212133101</v>
      </c>
      <c r="H1075" s="17">
        <v>26.5602123799992</v>
      </c>
      <c r="I1075" s="17" t="s">
        <v>115</v>
      </c>
    </row>
    <row r="1076" spans="1:9" ht="15.6" x14ac:dyDescent="0.3">
      <c r="A1076" s="17" t="s">
        <v>195</v>
      </c>
      <c r="B1076" s="17" t="s">
        <v>69</v>
      </c>
      <c r="C1076" s="17" t="s">
        <v>113</v>
      </c>
      <c r="D1076" s="17" t="s">
        <v>114</v>
      </c>
      <c r="E1076" s="17" t="s">
        <v>87</v>
      </c>
      <c r="F1076" s="17" t="s">
        <v>87</v>
      </c>
      <c r="G1076" s="17">
        <v>3.7105556275900002E-2</v>
      </c>
      <c r="H1076" s="17">
        <v>3.2006863000000003E-2</v>
      </c>
      <c r="I1076" s="17" t="s">
        <v>115</v>
      </c>
    </row>
    <row r="1077" spans="1:9" ht="15.6" x14ac:dyDescent="0.3">
      <c r="A1077" s="17" t="s">
        <v>195</v>
      </c>
      <c r="B1077" s="17" t="s">
        <v>69</v>
      </c>
      <c r="C1077" s="17" t="s">
        <v>113</v>
      </c>
      <c r="D1077" s="17" t="s">
        <v>114</v>
      </c>
      <c r="E1077" s="17" t="s">
        <v>88</v>
      </c>
      <c r="F1077" s="17" t="s">
        <v>88</v>
      </c>
      <c r="G1077" s="17">
        <v>13.271666400000001</v>
      </c>
      <c r="H1077" s="17">
        <v>11.448</v>
      </c>
      <c r="I1077" s="17" t="s">
        <v>115</v>
      </c>
    </row>
    <row r="1078" spans="1:9" ht="15.6" x14ac:dyDescent="0.3">
      <c r="A1078" s="17" t="s">
        <v>195</v>
      </c>
      <c r="B1078" s="17" t="s">
        <v>69</v>
      </c>
      <c r="C1078" s="17" t="s">
        <v>113</v>
      </c>
      <c r="D1078" s="17" t="s">
        <v>114</v>
      </c>
      <c r="E1078" s="17" t="s">
        <v>89</v>
      </c>
      <c r="F1078" s="17" t="s">
        <v>89</v>
      </c>
      <c r="G1078" s="17">
        <v>256.92760656016497</v>
      </c>
      <c r="H1078" s="17">
        <v>221.62305405000001</v>
      </c>
      <c r="I1078" s="17" t="s">
        <v>115</v>
      </c>
    </row>
    <row r="1079" spans="1:9" ht="15.6" x14ac:dyDescent="0.3">
      <c r="A1079" s="17" t="s">
        <v>195</v>
      </c>
      <c r="B1079" s="17" t="s">
        <v>69</v>
      </c>
      <c r="C1079" s="17" t="s">
        <v>113</v>
      </c>
      <c r="D1079" s="17" t="s">
        <v>114</v>
      </c>
      <c r="E1079" s="17" t="s">
        <v>90</v>
      </c>
      <c r="F1079" s="17" t="s">
        <v>90</v>
      </c>
      <c r="G1079" s="17">
        <v>39.877448147544399</v>
      </c>
      <c r="H1079" s="17">
        <v>34.397867806041901</v>
      </c>
      <c r="I1079" s="17" t="s">
        <v>115</v>
      </c>
    </row>
    <row r="1080" spans="1:9" ht="15.6" x14ac:dyDescent="0.3">
      <c r="A1080" s="17" t="s">
        <v>195</v>
      </c>
      <c r="B1080" s="17" t="s">
        <v>69</v>
      </c>
      <c r="C1080" s="17" t="s">
        <v>113</v>
      </c>
      <c r="D1080" s="17" t="s">
        <v>114</v>
      </c>
      <c r="E1080" s="17" t="s">
        <v>91</v>
      </c>
      <c r="F1080" s="17" t="s">
        <v>91</v>
      </c>
      <c r="G1080" s="17">
        <v>11.210189285555799</v>
      </c>
      <c r="H1080" s="17">
        <v>9.6697914996600005</v>
      </c>
      <c r="I1080" s="17" t="s">
        <v>115</v>
      </c>
    </row>
    <row r="1081" spans="1:9" ht="15.6" x14ac:dyDescent="0.3">
      <c r="A1081" s="17" t="s">
        <v>195</v>
      </c>
      <c r="B1081" s="17" t="s">
        <v>69</v>
      </c>
      <c r="C1081" s="17" t="s">
        <v>113</v>
      </c>
      <c r="D1081" s="17" t="s">
        <v>114</v>
      </c>
      <c r="E1081" s="17" t="s">
        <v>93</v>
      </c>
      <c r="F1081" s="17" t="s">
        <v>130</v>
      </c>
      <c r="G1081" s="17">
        <v>275.58004096640002</v>
      </c>
      <c r="H1081" s="17">
        <v>237.71244799999999</v>
      </c>
      <c r="I1081" s="17" t="s">
        <v>115</v>
      </c>
    </row>
    <row r="1082" spans="1:9" ht="15.6" x14ac:dyDescent="0.3">
      <c r="A1082" s="17" t="s">
        <v>195</v>
      </c>
      <c r="B1082" s="17" t="s">
        <v>69</v>
      </c>
      <c r="C1082" s="17" t="s">
        <v>113</v>
      </c>
      <c r="D1082" s="17" t="s">
        <v>114</v>
      </c>
      <c r="E1082" s="17" t="s">
        <v>93</v>
      </c>
      <c r="F1082" s="17" t="s">
        <v>131</v>
      </c>
      <c r="G1082" s="17">
        <v>96.649681700000002</v>
      </c>
      <c r="H1082" s="17">
        <v>83.369</v>
      </c>
      <c r="I1082" s="17" t="s">
        <v>115</v>
      </c>
    </row>
    <row r="1083" spans="1:9" ht="15.6" x14ac:dyDescent="0.3">
      <c r="A1083" s="17" t="s">
        <v>195</v>
      </c>
      <c r="B1083" s="17" t="s">
        <v>69</v>
      </c>
      <c r="C1083" s="17" t="s">
        <v>113</v>
      </c>
      <c r="D1083" s="17" t="s">
        <v>114</v>
      </c>
      <c r="E1083" s="17" t="s">
        <v>93</v>
      </c>
      <c r="F1083" s="17" t="s">
        <v>132</v>
      </c>
      <c r="G1083" s="17">
        <v>0.33424821669999999</v>
      </c>
      <c r="H1083" s="17">
        <v>0.28831899999999999</v>
      </c>
      <c r="I1083" s="17" t="s">
        <v>115</v>
      </c>
    </row>
    <row r="1084" spans="1:9" ht="15.6" x14ac:dyDescent="0.3">
      <c r="A1084" s="17" t="s">
        <v>195</v>
      </c>
      <c r="B1084" s="17" t="s">
        <v>69</v>
      </c>
      <c r="C1084" s="17" t="s">
        <v>113</v>
      </c>
      <c r="D1084" s="17" t="s">
        <v>114</v>
      </c>
      <c r="E1084" s="17" t="s">
        <v>93</v>
      </c>
      <c r="F1084" s="17" t="s">
        <v>133</v>
      </c>
      <c r="G1084" s="17">
        <v>9.9288435483870998</v>
      </c>
      <c r="H1084" s="17">
        <v>8.5645161290322598</v>
      </c>
      <c r="I1084" s="17" t="s">
        <v>115</v>
      </c>
    </row>
    <row r="1085" spans="1:9" ht="15.6" x14ac:dyDescent="0.3">
      <c r="A1085" s="17" t="s">
        <v>195</v>
      </c>
      <c r="B1085" s="17" t="s">
        <v>69</v>
      </c>
      <c r="C1085" s="17" t="s">
        <v>113</v>
      </c>
      <c r="D1085" s="17" t="s">
        <v>114</v>
      </c>
      <c r="E1085" s="17" t="s">
        <v>93</v>
      </c>
      <c r="F1085" s="17" t="s">
        <v>134</v>
      </c>
      <c r="G1085" s="17">
        <v>3.3916608322999999</v>
      </c>
      <c r="H1085" s="17">
        <v>2.925611</v>
      </c>
      <c r="I1085" s="17" t="s">
        <v>115</v>
      </c>
    </row>
    <row r="1086" spans="1:9" ht="15.6" x14ac:dyDescent="0.3">
      <c r="A1086" s="17" t="s">
        <v>195</v>
      </c>
      <c r="B1086" s="17" t="s">
        <v>69</v>
      </c>
      <c r="C1086" s="17" t="s">
        <v>113</v>
      </c>
      <c r="D1086" s="17" t="s">
        <v>114</v>
      </c>
      <c r="E1086" s="17" t="s">
        <v>93</v>
      </c>
      <c r="F1086" s="17" t="s">
        <v>136</v>
      </c>
      <c r="G1086" s="17">
        <v>24.452283618808401</v>
      </c>
      <c r="H1086" s="17">
        <v>21.0922829455779</v>
      </c>
      <c r="I1086" s="17" t="s">
        <v>115</v>
      </c>
    </row>
    <row r="1087" spans="1:9" ht="15.6" x14ac:dyDescent="0.3">
      <c r="A1087" s="17" t="s">
        <v>195</v>
      </c>
      <c r="B1087" s="17" t="s">
        <v>69</v>
      </c>
      <c r="C1087" s="17" t="s">
        <v>113</v>
      </c>
      <c r="D1087" s="17" t="s">
        <v>114</v>
      </c>
      <c r="E1087" s="17" t="s">
        <v>93</v>
      </c>
      <c r="F1087" s="17" t="s">
        <v>137</v>
      </c>
      <c r="G1087" s="17">
        <v>48.180728266999999</v>
      </c>
      <c r="H1087" s="17">
        <v>41.560189999999999</v>
      </c>
      <c r="I1087" s="17" t="s">
        <v>115</v>
      </c>
    </row>
    <row r="1088" spans="1:9" ht="15.6" x14ac:dyDescent="0.3">
      <c r="A1088" s="17" t="s">
        <v>195</v>
      </c>
      <c r="B1088" s="17" t="s">
        <v>69</v>
      </c>
      <c r="C1088" s="17" t="s">
        <v>113</v>
      </c>
      <c r="D1088" s="17" t="s">
        <v>114</v>
      </c>
      <c r="E1088" s="17" t="s">
        <v>96</v>
      </c>
      <c r="F1088" s="17" t="s">
        <v>96</v>
      </c>
      <c r="G1088" s="17">
        <v>3.0413887710000002E-4</v>
      </c>
      <c r="H1088" s="17">
        <v>2.6234700000000001E-4</v>
      </c>
      <c r="I1088" s="17" t="s">
        <v>115</v>
      </c>
    </row>
    <row r="1089" spans="1:9" ht="15.6" x14ac:dyDescent="0.3">
      <c r="A1089" s="17" t="s">
        <v>195</v>
      </c>
      <c r="B1089" s="17" t="s">
        <v>69</v>
      </c>
      <c r="C1089" s="17" t="s">
        <v>113</v>
      </c>
      <c r="D1089" s="17" t="s">
        <v>114</v>
      </c>
      <c r="E1089" s="17" t="s">
        <v>99</v>
      </c>
      <c r="F1089" s="17" t="s">
        <v>142</v>
      </c>
      <c r="G1089" s="17">
        <v>5.3182467021890001E-2</v>
      </c>
      <c r="H1089" s="17">
        <v>4.58746373E-2</v>
      </c>
      <c r="I1089" s="17" t="s">
        <v>115</v>
      </c>
    </row>
    <row r="1090" spans="1:9" ht="15.6" x14ac:dyDescent="0.3">
      <c r="A1090" s="17" t="s">
        <v>195</v>
      </c>
      <c r="B1090" s="17" t="s">
        <v>69</v>
      </c>
      <c r="C1090" s="17" t="s">
        <v>113</v>
      </c>
      <c r="D1090" s="17" t="s">
        <v>114</v>
      </c>
      <c r="E1090" s="17" t="s">
        <v>99</v>
      </c>
      <c r="F1090" s="17" t="s">
        <v>143</v>
      </c>
      <c r="G1090" s="17">
        <v>26.502371019385102</v>
      </c>
      <c r="H1090" s="17">
        <v>22.8606667984</v>
      </c>
      <c r="I1090" s="17" t="s">
        <v>115</v>
      </c>
    </row>
    <row r="1091" spans="1:9" ht="15.6" x14ac:dyDescent="0.3">
      <c r="A1091" s="17" t="s">
        <v>195</v>
      </c>
      <c r="B1091" s="17" t="s">
        <v>69</v>
      </c>
      <c r="C1091" s="17" t="s">
        <v>113</v>
      </c>
      <c r="D1091" s="17" t="s">
        <v>114</v>
      </c>
      <c r="E1091" s="17" t="s">
        <v>99</v>
      </c>
      <c r="F1091" s="17" t="s">
        <v>144</v>
      </c>
      <c r="G1091" s="17">
        <v>5.7849533719999996E-4</v>
      </c>
      <c r="H1091" s="17">
        <v>4.9900400000000005E-4</v>
      </c>
      <c r="I1091" s="17" t="s">
        <v>115</v>
      </c>
    </row>
    <row r="1092" spans="1:9" ht="15.6" x14ac:dyDescent="0.3">
      <c r="A1092" s="17" t="s">
        <v>195</v>
      </c>
      <c r="B1092" s="17" t="s">
        <v>69</v>
      </c>
      <c r="C1092" s="17" t="s">
        <v>113</v>
      </c>
      <c r="D1092" s="17" t="s">
        <v>114</v>
      </c>
      <c r="E1092" s="17" t="s">
        <v>99</v>
      </c>
      <c r="F1092" s="17" t="s">
        <v>147</v>
      </c>
      <c r="G1092" s="17">
        <v>0.298953983343616</v>
      </c>
      <c r="H1092" s="17">
        <v>0.25787456512000001</v>
      </c>
      <c r="I1092" s="17" t="s">
        <v>115</v>
      </c>
    </row>
    <row r="1093" spans="1:9" ht="15.6" x14ac:dyDescent="0.3">
      <c r="A1093" s="17" t="s">
        <v>195</v>
      </c>
      <c r="B1093" s="17" t="s">
        <v>69</v>
      </c>
      <c r="C1093" s="17" t="s">
        <v>113</v>
      </c>
      <c r="D1093" s="17" t="s">
        <v>114</v>
      </c>
      <c r="E1093" s="17" t="s">
        <v>99</v>
      </c>
      <c r="F1093" s="17" t="s">
        <v>148</v>
      </c>
      <c r="G1093" s="17">
        <v>220.37109459037001</v>
      </c>
      <c r="H1093" s="17">
        <v>190.0897909</v>
      </c>
      <c r="I1093" s="17" t="s">
        <v>115</v>
      </c>
    </row>
    <row r="1094" spans="1:9" ht="15.6" x14ac:dyDescent="0.3">
      <c r="A1094" s="17" t="s">
        <v>195</v>
      </c>
      <c r="B1094" s="17" t="s">
        <v>69</v>
      </c>
      <c r="C1094" s="17" t="s">
        <v>113</v>
      </c>
      <c r="D1094" s="17" t="s">
        <v>114</v>
      </c>
      <c r="E1094" s="17" t="s">
        <v>99</v>
      </c>
      <c r="F1094" s="17" t="s">
        <v>150</v>
      </c>
      <c r="G1094" s="17">
        <v>1.39498569E-4</v>
      </c>
      <c r="H1094" s="17">
        <v>1.2032999999999999E-4</v>
      </c>
      <c r="I1094" s="17" t="s">
        <v>115</v>
      </c>
    </row>
    <row r="1095" spans="1:9" ht="15.6" x14ac:dyDescent="0.3">
      <c r="A1095" s="17" t="s">
        <v>195</v>
      </c>
      <c r="B1095" s="17" t="s">
        <v>69</v>
      </c>
      <c r="C1095" s="17" t="s">
        <v>113</v>
      </c>
      <c r="D1095" s="17" t="s">
        <v>114</v>
      </c>
      <c r="E1095" s="17" t="s">
        <v>99</v>
      </c>
      <c r="F1095" s="17" t="s">
        <v>152</v>
      </c>
      <c r="G1095" s="17">
        <v>5.5750803648157001</v>
      </c>
      <c r="H1095" s="17">
        <v>4.8090057489999998</v>
      </c>
      <c r="I1095" s="17" t="s">
        <v>115</v>
      </c>
    </row>
    <row r="1096" spans="1:9" ht="15.6" x14ac:dyDescent="0.3">
      <c r="A1096" s="17" t="s">
        <v>195</v>
      </c>
      <c r="B1096" s="17" t="s">
        <v>69</v>
      </c>
      <c r="C1096" s="17" t="s">
        <v>113</v>
      </c>
      <c r="D1096" s="17" t="s">
        <v>114</v>
      </c>
      <c r="E1096" s="17" t="s">
        <v>99</v>
      </c>
      <c r="F1096" s="17" t="s">
        <v>153</v>
      </c>
      <c r="G1096" s="17">
        <v>7.2842769894399997E-3</v>
      </c>
      <c r="H1096" s="17">
        <v>6.2833408000000004E-3</v>
      </c>
      <c r="I1096" s="17" t="s">
        <v>115</v>
      </c>
    </row>
    <row r="1097" spans="1:9" ht="15.6" x14ac:dyDescent="0.3">
      <c r="A1097" s="17" t="s">
        <v>195</v>
      </c>
      <c r="B1097" s="17" t="s">
        <v>69</v>
      </c>
      <c r="C1097" s="17" t="s">
        <v>113</v>
      </c>
      <c r="D1097" s="17" t="s">
        <v>114</v>
      </c>
      <c r="E1097" s="17" t="s">
        <v>99</v>
      </c>
      <c r="F1097" s="17" t="s">
        <v>154</v>
      </c>
      <c r="G1097" s="17">
        <v>6.3808451650000002E-3</v>
      </c>
      <c r="H1097" s="17">
        <v>5.5040499999999999E-3</v>
      </c>
      <c r="I1097" s="17" t="s">
        <v>115</v>
      </c>
    </row>
    <row r="1098" spans="1:9" ht="15.6" x14ac:dyDescent="0.3">
      <c r="A1098" s="17" t="s">
        <v>195</v>
      </c>
      <c r="B1098" s="17" t="s">
        <v>69</v>
      </c>
      <c r="C1098" s="17" t="s">
        <v>113</v>
      </c>
      <c r="D1098" s="17" t="s">
        <v>114</v>
      </c>
      <c r="E1098" s="17" t="s">
        <v>101</v>
      </c>
      <c r="F1098" s="17" t="s">
        <v>157</v>
      </c>
      <c r="G1098" s="17">
        <v>1924.6456928796599</v>
      </c>
      <c r="H1098" s="17">
        <v>1660.1791536958999</v>
      </c>
      <c r="I1098" s="17" t="s">
        <v>115</v>
      </c>
    </row>
    <row r="1099" spans="1:9" ht="15.6" x14ac:dyDescent="0.3">
      <c r="A1099" s="17" t="s">
        <v>195</v>
      </c>
      <c r="B1099" s="17" t="s">
        <v>69</v>
      </c>
      <c r="C1099" s="17" t="s">
        <v>113</v>
      </c>
      <c r="D1099" s="17" t="s">
        <v>114</v>
      </c>
      <c r="E1099" s="17" t="s">
        <v>101</v>
      </c>
      <c r="F1099" s="17" t="s">
        <v>158</v>
      </c>
      <c r="G1099" s="17">
        <v>113.17692367684199</v>
      </c>
      <c r="H1099" s="17">
        <v>97.625225288400003</v>
      </c>
      <c r="I1099" s="17" t="s">
        <v>115</v>
      </c>
    </row>
    <row r="1100" spans="1:9" ht="15.6" x14ac:dyDescent="0.3">
      <c r="A1100" s="17" t="s">
        <v>195</v>
      </c>
      <c r="B1100" s="17" t="s">
        <v>69</v>
      </c>
      <c r="C1100" s="17" t="s">
        <v>113</v>
      </c>
      <c r="D1100" s="17" t="s">
        <v>114</v>
      </c>
      <c r="E1100" s="17" t="s">
        <v>101</v>
      </c>
      <c r="F1100" s="17" t="s">
        <v>160</v>
      </c>
      <c r="G1100" s="17">
        <v>106.844826028371</v>
      </c>
      <c r="H1100" s="17">
        <v>92.163224384000003</v>
      </c>
      <c r="I1100" s="17" t="s">
        <v>115</v>
      </c>
    </row>
    <row r="1101" spans="1:9" ht="15.6" x14ac:dyDescent="0.3">
      <c r="A1101" s="17" t="s">
        <v>195</v>
      </c>
      <c r="B1101" s="17" t="s">
        <v>69</v>
      </c>
      <c r="C1101" s="17" t="s">
        <v>113</v>
      </c>
      <c r="D1101" s="17" t="s">
        <v>114</v>
      </c>
      <c r="E1101" s="17" t="s">
        <v>101</v>
      </c>
      <c r="F1101" s="17" t="s">
        <v>162</v>
      </c>
      <c r="G1101" s="17">
        <v>18.962221994727599</v>
      </c>
      <c r="H1101" s="17">
        <v>16.356613469100001</v>
      </c>
      <c r="I1101" s="17" t="s">
        <v>115</v>
      </c>
    </row>
    <row r="1102" spans="1:9" ht="15.6" x14ac:dyDescent="0.3">
      <c r="A1102" s="17" t="s">
        <v>195</v>
      </c>
      <c r="B1102" s="17" t="s">
        <v>69</v>
      </c>
      <c r="C1102" s="17" t="s">
        <v>113</v>
      </c>
      <c r="D1102" s="17" t="s">
        <v>114</v>
      </c>
      <c r="E1102" s="17" t="s">
        <v>102</v>
      </c>
      <c r="F1102" s="17" t="s">
        <v>165</v>
      </c>
      <c r="G1102" s="17">
        <v>8.7248918</v>
      </c>
      <c r="H1102" s="17">
        <v>7.5259999999999998</v>
      </c>
      <c r="I1102" s="17" t="s">
        <v>115</v>
      </c>
    </row>
    <row r="1103" spans="1:9" ht="15.6" x14ac:dyDescent="0.3">
      <c r="A1103" s="17" t="s">
        <v>195</v>
      </c>
      <c r="B1103" s="17" t="s">
        <v>69</v>
      </c>
      <c r="C1103" s="17" t="s">
        <v>113</v>
      </c>
      <c r="D1103" s="17" t="s">
        <v>114</v>
      </c>
      <c r="E1103" s="17" t="s">
        <v>102</v>
      </c>
      <c r="F1103" s="17" t="s">
        <v>166</v>
      </c>
      <c r="G1103" s="17">
        <v>106.512032825486</v>
      </c>
      <c r="H1103" s="17">
        <v>91.876160463629503</v>
      </c>
      <c r="I1103" s="17" t="s">
        <v>115</v>
      </c>
    </row>
    <row r="1104" spans="1:9" ht="15.6" x14ac:dyDescent="0.3">
      <c r="A1104" s="17" t="s">
        <v>195</v>
      </c>
      <c r="B1104" s="17" t="s">
        <v>69</v>
      </c>
      <c r="C1104" s="17" t="s">
        <v>113</v>
      </c>
      <c r="D1104" s="17" t="s">
        <v>114</v>
      </c>
      <c r="E1104" s="17" t="s">
        <v>103</v>
      </c>
      <c r="F1104" s="17" t="s">
        <v>103</v>
      </c>
      <c r="G1104" s="17">
        <v>33.005271</v>
      </c>
      <c r="H1104" s="17">
        <v>28.47</v>
      </c>
      <c r="I1104" s="17" t="s">
        <v>115</v>
      </c>
    </row>
    <row r="1105" spans="1:9" ht="15.6" x14ac:dyDescent="0.3">
      <c r="A1105" s="17" t="s">
        <v>195</v>
      </c>
      <c r="B1105" s="17" t="s">
        <v>203</v>
      </c>
      <c r="C1105" s="17" t="s">
        <v>113</v>
      </c>
      <c r="D1105" s="17" t="s">
        <v>114</v>
      </c>
      <c r="E1105" s="17" t="s">
        <v>71</v>
      </c>
      <c r="F1105" s="17" t="s">
        <v>71</v>
      </c>
      <c r="G1105" s="17">
        <v>5.7945551999999996</v>
      </c>
      <c r="H1105" s="17">
        <v>4.9560000000000004</v>
      </c>
      <c r="I1105" s="17" t="s">
        <v>115</v>
      </c>
    </row>
    <row r="1106" spans="1:9" ht="15.6" x14ac:dyDescent="0.3">
      <c r="A1106" s="17" t="s">
        <v>195</v>
      </c>
      <c r="B1106" s="17" t="s">
        <v>203</v>
      </c>
      <c r="C1106" s="17" t="s">
        <v>113</v>
      </c>
      <c r="D1106" s="17" t="s">
        <v>114</v>
      </c>
      <c r="E1106" s="17" t="s">
        <v>72</v>
      </c>
      <c r="F1106" s="17" t="s">
        <v>116</v>
      </c>
      <c r="G1106" s="17">
        <v>40.176073784000003</v>
      </c>
      <c r="H1106" s="17">
        <v>34.362020000000001</v>
      </c>
      <c r="I1106" s="17" t="s">
        <v>115</v>
      </c>
    </row>
    <row r="1107" spans="1:9" ht="15.6" x14ac:dyDescent="0.3">
      <c r="A1107" s="17" t="s">
        <v>195</v>
      </c>
      <c r="B1107" s="17" t="s">
        <v>203</v>
      </c>
      <c r="C1107" s="17" t="s">
        <v>113</v>
      </c>
      <c r="D1107" s="17" t="s">
        <v>114</v>
      </c>
      <c r="E1107" s="17" t="s">
        <v>73</v>
      </c>
      <c r="F1107" s="17" t="s">
        <v>117</v>
      </c>
      <c r="G1107" s="17">
        <v>0</v>
      </c>
      <c r="H1107" s="17">
        <v>0</v>
      </c>
      <c r="I1107" s="17" t="s">
        <v>115</v>
      </c>
    </row>
    <row r="1108" spans="1:9" ht="15.6" x14ac:dyDescent="0.3">
      <c r="A1108" s="17" t="s">
        <v>195</v>
      </c>
      <c r="B1108" s="17" t="s">
        <v>203</v>
      </c>
      <c r="C1108" s="17" t="s">
        <v>113</v>
      </c>
      <c r="D1108" s="17" t="s">
        <v>114</v>
      </c>
      <c r="E1108" s="17" t="s">
        <v>73</v>
      </c>
      <c r="F1108" s="17" t="s">
        <v>118</v>
      </c>
      <c r="G1108" s="17">
        <v>142.53015679999999</v>
      </c>
      <c r="H1108" s="17">
        <v>121.904</v>
      </c>
      <c r="I1108" s="17" t="s">
        <v>115</v>
      </c>
    </row>
    <row r="1109" spans="1:9" ht="15.6" x14ac:dyDescent="0.3">
      <c r="A1109" s="17" t="s">
        <v>195</v>
      </c>
      <c r="B1109" s="17" t="s">
        <v>203</v>
      </c>
      <c r="C1109" s="17" t="s">
        <v>113</v>
      </c>
      <c r="D1109" s="17" t="s">
        <v>114</v>
      </c>
      <c r="E1109" s="17" t="s">
        <v>73</v>
      </c>
      <c r="F1109" s="17" t="s">
        <v>119</v>
      </c>
      <c r="G1109" s="17">
        <v>19.904460799999999</v>
      </c>
      <c r="H1109" s="17">
        <v>17.024000000000001</v>
      </c>
      <c r="I1109" s="17" t="s">
        <v>115</v>
      </c>
    </row>
    <row r="1110" spans="1:9" ht="15.6" x14ac:dyDescent="0.3">
      <c r="A1110" s="17" t="s">
        <v>195</v>
      </c>
      <c r="B1110" s="17" t="s">
        <v>203</v>
      </c>
      <c r="C1110" s="17" t="s">
        <v>113</v>
      </c>
      <c r="D1110" s="17" t="s">
        <v>114</v>
      </c>
      <c r="E1110" s="17" t="s">
        <v>73</v>
      </c>
      <c r="F1110" s="17" t="s">
        <v>120</v>
      </c>
      <c r="G1110" s="17">
        <v>1.2919884230137</v>
      </c>
      <c r="H1110" s="17">
        <v>1.1050191780821901</v>
      </c>
      <c r="I1110" s="17" t="s">
        <v>115</v>
      </c>
    </row>
    <row r="1111" spans="1:9" ht="15.6" x14ac:dyDescent="0.3">
      <c r="A1111" s="17" t="s">
        <v>195</v>
      </c>
      <c r="B1111" s="17" t="s">
        <v>203</v>
      </c>
      <c r="C1111" s="17" t="s">
        <v>113</v>
      </c>
      <c r="D1111" s="17" t="s">
        <v>114</v>
      </c>
      <c r="E1111" s="17" t="s">
        <v>80</v>
      </c>
      <c r="F1111" s="17" t="s">
        <v>80</v>
      </c>
      <c r="G1111" s="17">
        <v>7.5835370364868801E-2</v>
      </c>
      <c r="H1111" s="17">
        <v>6.48609052043011E-2</v>
      </c>
      <c r="I1111" s="17" t="s">
        <v>115</v>
      </c>
    </row>
    <row r="1112" spans="1:9" ht="15.6" x14ac:dyDescent="0.3">
      <c r="A1112" s="17" t="s">
        <v>195</v>
      </c>
      <c r="B1112" s="17" t="s">
        <v>203</v>
      </c>
      <c r="C1112" s="17" t="s">
        <v>113</v>
      </c>
      <c r="D1112" s="17" t="s">
        <v>114</v>
      </c>
      <c r="E1112" s="17" t="s">
        <v>77</v>
      </c>
      <c r="F1112" s="17" t="s">
        <v>77</v>
      </c>
      <c r="G1112" s="17">
        <v>3.44914E-5</v>
      </c>
      <c r="H1112" s="17">
        <v>2.9499999999999999E-5</v>
      </c>
      <c r="I1112" s="17" t="s">
        <v>115</v>
      </c>
    </row>
    <row r="1113" spans="1:9" ht="15.6" x14ac:dyDescent="0.3">
      <c r="A1113" s="17" t="s">
        <v>195</v>
      </c>
      <c r="B1113" s="17" t="s">
        <v>203</v>
      </c>
      <c r="C1113" s="17" t="s">
        <v>113</v>
      </c>
      <c r="D1113" s="17" t="s">
        <v>114</v>
      </c>
      <c r="E1113" s="17" t="s">
        <v>78</v>
      </c>
      <c r="F1113" s="17" t="s">
        <v>123</v>
      </c>
      <c r="G1113" s="17">
        <v>0.61355592946236603</v>
      </c>
      <c r="H1113" s="17">
        <v>0.52476559139784995</v>
      </c>
      <c r="I1113" s="17" t="s">
        <v>115</v>
      </c>
    </row>
    <row r="1114" spans="1:9" ht="15.6" x14ac:dyDescent="0.3">
      <c r="A1114" s="17" t="s">
        <v>195</v>
      </c>
      <c r="B1114" s="17" t="s">
        <v>203</v>
      </c>
      <c r="C1114" s="17" t="s">
        <v>113</v>
      </c>
      <c r="D1114" s="17" t="s">
        <v>114</v>
      </c>
      <c r="E1114" s="17" t="s">
        <v>78</v>
      </c>
      <c r="F1114" s="17" t="s">
        <v>125</v>
      </c>
      <c r="G1114" s="17">
        <v>42.301188320000001</v>
      </c>
      <c r="H1114" s="17">
        <v>36.179600000000001</v>
      </c>
      <c r="I1114" s="17" t="s">
        <v>115</v>
      </c>
    </row>
    <row r="1115" spans="1:9" ht="15.6" x14ac:dyDescent="0.3">
      <c r="A1115" s="17" t="s">
        <v>195</v>
      </c>
      <c r="B1115" s="17" t="s">
        <v>203</v>
      </c>
      <c r="C1115" s="17" t="s">
        <v>113</v>
      </c>
      <c r="D1115" s="17" t="s">
        <v>114</v>
      </c>
      <c r="E1115" s="17" t="s">
        <v>81</v>
      </c>
      <c r="F1115" s="17" t="s">
        <v>81</v>
      </c>
      <c r="G1115" s="17">
        <v>8.9523641871813808</v>
      </c>
      <c r="H1115" s="17">
        <v>7.6568287608462002</v>
      </c>
      <c r="I1115" s="17" t="s">
        <v>115</v>
      </c>
    </row>
    <row r="1116" spans="1:9" ht="15.6" x14ac:dyDescent="0.3">
      <c r="A1116" s="17" t="s">
        <v>195</v>
      </c>
      <c r="B1116" s="17" t="s">
        <v>203</v>
      </c>
      <c r="C1116" s="17" t="s">
        <v>113</v>
      </c>
      <c r="D1116" s="17" t="s">
        <v>114</v>
      </c>
      <c r="E1116" s="17" t="s">
        <v>83</v>
      </c>
      <c r="F1116" s="17" t="s">
        <v>127</v>
      </c>
      <c r="G1116" s="17">
        <v>4.3615040242288398E-2</v>
      </c>
      <c r="H1116" s="17">
        <v>3.7303318715607603E-2</v>
      </c>
      <c r="I1116" s="17" t="s">
        <v>115</v>
      </c>
    </row>
    <row r="1117" spans="1:9" ht="15.6" x14ac:dyDescent="0.3">
      <c r="A1117" s="17" t="s">
        <v>195</v>
      </c>
      <c r="B1117" s="17" t="s">
        <v>203</v>
      </c>
      <c r="C1117" s="17" t="s">
        <v>113</v>
      </c>
      <c r="D1117" s="17" t="s">
        <v>114</v>
      </c>
      <c r="E1117" s="17" t="s">
        <v>83</v>
      </c>
      <c r="F1117" s="17" t="s">
        <v>128</v>
      </c>
      <c r="G1117" s="17">
        <v>0.11263656392845101</v>
      </c>
      <c r="H1117" s="17">
        <v>9.6336438529294605E-2</v>
      </c>
      <c r="I1117" s="17" t="s">
        <v>115</v>
      </c>
    </row>
    <row r="1118" spans="1:9" ht="15.6" x14ac:dyDescent="0.3">
      <c r="A1118" s="17" t="s">
        <v>195</v>
      </c>
      <c r="B1118" s="17" t="s">
        <v>203</v>
      </c>
      <c r="C1118" s="17" t="s">
        <v>113</v>
      </c>
      <c r="D1118" s="17" t="s">
        <v>114</v>
      </c>
      <c r="E1118" s="17" t="s">
        <v>84</v>
      </c>
      <c r="F1118" s="17" t="s">
        <v>129</v>
      </c>
      <c r="G1118" s="17">
        <v>1091.7980579723701</v>
      </c>
      <c r="H1118" s="17">
        <v>933.79922850870003</v>
      </c>
      <c r="I1118" s="17" t="s">
        <v>115</v>
      </c>
    </row>
    <row r="1119" spans="1:9" ht="15.6" x14ac:dyDescent="0.3">
      <c r="A1119" s="17" t="s">
        <v>195</v>
      </c>
      <c r="B1119" s="17" t="s">
        <v>203</v>
      </c>
      <c r="C1119" s="17" t="s">
        <v>113</v>
      </c>
      <c r="D1119" s="17" t="s">
        <v>114</v>
      </c>
      <c r="E1119" s="17" t="s">
        <v>85</v>
      </c>
      <c r="F1119" s="17" t="s">
        <v>85</v>
      </c>
      <c r="G1119" s="17">
        <v>6.5558867331022901</v>
      </c>
      <c r="H1119" s="17">
        <v>5.60715594688872</v>
      </c>
      <c r="I1119" s="17" t="s">
        <v>115</v>
      </c>
    </row>
    <row r="1120" spans="1:9" ht="15.6" x14ac:dyDescent="0.3">
      <c r="A1120" s="17" t="s">
        <v>195</v>
      </c>
      <c r="B1120" s="17" t="s">
        <v>203</v>
      </c>
      <c r="C1120" s="17" t="s">
        <v>113</v>
      </c>
      <c r="D1120" s="17" t="s">
        <v>114</v>
      </c>
      <c r="E1120" s="17" t="s">
        <v>87</v>
      </c>
      <c r="F1120" s="17" t="s">
        <v>87</v>
      </c>
      <c r="G1120" s="17">
        <v>2.5258929119999999E-4</v>
      </c>
      <c r="H1120" s="17">
        <v>2.1603599999999999E-4</v>
      </c>
      <c r="I1120" s="17" t="s">
        <v>115</v>
      </c>
    </row>
    <row r="1121" spans="1:9" ht="15.6" x14ac:dyDescent="0.3">
      <c r="A1121" s="17" t="s">
        <v>195</v>
      </c>
      <c r="B1121" s="17" t="s">
        <v>203</v>
      </c>
      <c r="C1121" s="17" t="s">
        <v>113</v>
      </c>
      <c r="D1121" s="17" t="s">
        <v>114</v>
      </c>
      <c r="E1121" s="17" t="s">
        <v>88</v>
      </c>
      <c r="F1121" s="17" t="s">
        <v>88</v>
      </c>
      <c r="G1121" s="17">
        <v>2.8443128400000002</v>
      </c>
      <c r="H1121" s="17">
        <v>2.4327000000000001</v>
      </c>
      <c r="I1121" s="17" t="s">
        <v>115</v>
      </c>
    </row>
    <row r="1122" spans="1:9" ht="15.6" x14ac:dyDescent="0.3">
      <c r="A1122" s="17" t="s">
        <v>195</v>
      </c>
      <c r="B1122" s="17" t="s">
        <v>203</v>
      </c>
      <c r="C1122" s="17" t="s">
        <v>113</v>
      </c>
      <c r="D1122" s="17" t="s">
        <v>114</v>
      </c>
      <c r="E1122" s="17" t="s">
        <v>89</v>
      </c>
      <c r="F1122" s="17" t="s">
        <v>89</v>
      </c>
      <c r="G1122" s="17">
        <v>55.437281515932</v>
      </c>
      <c r="H1122" s="17">
        <v>47.414712209999998</v>
      </c>
      <c r="I1122" s="17" t="s">
        <v>115</v>
      </c>
    </row>
    <row r="1123" spans="1:9" ht="15.6" x14ac:dyDescent="0.3">
      <c r="A1123" s="17" t="s">
        <v>195</v>
      </c>
      <c r="B1123" s="17" t="s">
        <v>203</v>
      </c>
      <c r="C1123" s="17" t="s">
        <v>113</v>
      </c>
      <c r="D1123" s="17" t="s">
        <v>114</v>
      </c>
      <c r="E1123" s="17" t="s">
        <v>90</v>
      </c>
      <c r="F1123" s="17" t="s">
        <v>90</v>
      </c>
      <c r="G1123" s="17">
        <v>8.5969760856072703</v>
      </c>
      <c r="H1123" s="17">
        <v>7.3528704119117902</v>
      </c>
      <c r="I1123" s="17" t="s">
        <v>115</v>
      </c>
    </row>
    <row r="1124" spans="1:9" ht="15.6" x14ac:dyDescent="0.3">
      <c r="A1124" s="17" t="s">
        <v>195</v>
      </c>
      <c r="B1124" s="17" t="s">
        <v>203</v>
      </c>
      <c r="C1124" s="17" t="s">
        <v>113</v>
      </c>
      <c r="D1124" s="17" t="s">
        <v>114</v>
      </c>
      <c r="E1124" s="17" t="s">
        <v>91</v>
      </c>
      <c r="F1124" s="17" t="s">
        <v>91</v>
      </c>
      <c r="G1124" s="17">
        <v>2.3565936503898999</v>
      </c>
      <c r="H1124" s="17">
        <v>2.0155607683799999</v>
      </c>
      <c r="I1124" s="17" t="s">
        <v>115</v>
      </c>
    </row>
    <row r="1125" spans="1:9" ht="15.6" x14ac:dyDescent="0.3">
      <c r="A1125" s="17" t="s">
        <v>195</v>
      </c>
      <c r="B1125" s="17" t="s">
        <v>203</v>
      </c>
      <c r="C1125" s="17" t="s">
        <v>113</v>
      </c>
      <c r="D1125" s="17" t="s">
        <v>114</v>
      </c>
      <c r="E1125" s="17" t="s">
        <v>93</v>
      </c>
      <c r="F1125" s="17" t="s">
        <v>130</v>
      </c>
      <c r="G1125" s="17">
        <v>59.114618711200002</v>
      </c>
      <c r="H1125" s="17">
        <v>50.559885999999999</v>
      </c>
      <c r="I1125" s="17" t="s">
        <v>115</v>
      </c>
    </row>
    <row r="1126" spans="1:9" ht="15.6" x14ac:dyDescent="0.3">
      <c r="A1126" s="17" t="s">
        <v>195</v>
      </c>
      <c r="B1126" s="17" t="s">
        <v>203</v>
      </c>
      <c r="C1126" s="17" t="s">
        <v>113</v>
      </c>
      <c r="D1126" s="17" t="s">
        <v>114</v>
      </c>
      <c r="E1126" s="17" t="s">
        <v>93</v>
      </c>
      <c r="F1126" s="17" t="s">
        <v>131</v>
      </c>
      <c r="G1126" s="17">
        <v>20.721965440000002</v>
      </c>
      <c r="H1126" s="17">
        <v>17.723199999999999</v>
      </c>
      <c r="I1126" s="17" t="s">
        <v>115</v>
      </c>
    </row>
    <row r="1127" spans="1:9" ht="15.6" x14ac:dyDescent="0.3">
      <c r="A1127" s="17" t="s">
        <v>195</v>
      </c>
      <c r="B1127" s="17" t="s">
        <v>203</v>
      </c>
      <c r="C1127" s="17" t="s">
        <v>113</v>
      </c>
      <c r="D1127" s="17" t="s">
        <v>114</v>
      </c>
      <c r="E1127" s="17" t="s">
        <v>93</v>
      </c>
      <c r="F1127" s="17" t="s">
        <v>132</v>
      </c>
      <c r="G1127" s="17">
        <v>7.1733927599999997E-2</v>
      </c>
      <c r="H1127" s="17">
        <v>6.1352999999999998E-2</v>
      </c>
      <c r="I1127" s="17" t="s">
        <v>115</v>
      </c>
    </row>
    <row r="1128" spans="1:9" ht="15.6" x14ac:dyDescent="0.3">
      <c r="A1128" s="17" t="s">
        <v>195</v>
      </c>
      <c r="B1128" s="17" t="s">
        <v>203</v>
      </c>
      <c r="C1128" s="17" t="s">
        <v>113</v>
      </c>
      <c r="D1128" s="17" t="s">
        <v>114</v>
      </c>
      <c r="E1128" s="17" t="s">
        <v>93</v>
      </c>
      <c r="F1128" s="17" t="s">
        <v>133</v>
      </c>
      <c r="G1128" s="17">
        <v>2.1278968548387098</v>
      </c>
      <c r="H1128" s="17">
        <v>1.81995967741936</v>
      </c>
      <c r="I1128" s="17" t="s">
        <v>115</v>
      </c>
    </row>
    <row r="1129" spans="1:9" ht="15.6" x14ac:dyDescent="0.3">
      <c r="A1129" s="17" t="s">
        <v>195</v>
      </c>
      <c r="B1129" s="17" t="s">
        <v>203</v>
      </c>
      <c r="C1129" s="17" t="s">
        <v>113</v>
      </c>
      <c r="D1129" s="17" t="s">
        <v>114</v>
      </c>
      <c r="E1129" s="17" t="s">
        <v>93</v>
      </c>
      <c r="F1129" s="17" t="s">
        <v>134</v>
      </c>
      <c r="G1129" s="17">
        <v>0.72313616960000004</v>
      </c>
      <c r="H1129" s="17">
        <v>0.61848800000000004</v>
      </c>
      <c r="I1129" s="17" t="s">
        <v>115</v>
      </c>
    </row>
    <row r="1130" spans="1:9" ht="15.6" x14ac:dyDescent="0.3">
      <c r="A1130" s="17" t="s">
        <v>195</v>
      </c>
      <c r="B1130" s="17" t="s">
        <v>203</v>
      </c>
      <c r="C1130" s="17" t="s">
        <v>113</v>
      </c>
      <c r="D1130" s="17" t="s">
        <v>114</v>
      </c>
      <c r="E1130" s="17" t="s">
        <v>93</v>
      </c>
      <c r="F1130" s="17" t="s">
        <v>136</v>
      </c>
      <c r="G1130" s="17">
        <v>5.0947188480000003</v>
      </c>
      <c r="H1130" s="17">
        <v>4.3574400000000004</v>
      </c>
      <c r="I1130" s="17" t="s">
        <v>115</v>
      </c>
    </row>
    <row r="1131" spans="1:9" ht="15.6" x14ac:dyDescent="0.3">
      <c r="A1131" s="17" t="s">
        <v>195</v>
      </c>
      <c r="B1131" s="17" t="s">
        <v>203</v>
      </c>
      <c r="C1131" s="17" t="s">
        <v>113</v>
      </c>
      <c r="D1131" s="17" t="s">
        <v>114</v>
      </c>
      <c r="E1131" s="17" t="s">
        <v>93</v>
      </c>
      <c r="F1131" s="17" t="s">
        <v>137</v>
      </c>
      <c r="G1131" s="17">
        <v>10.348109828</v>
      </c>
      <c r="H1131" s="17">
        <v>8.8505900000000004</v>
      </c>
      <c r="I1131" s="17" t="s">
        <v>115</v>
      </c>
    </row>
    <row r="1132" spans="1:9" ht="15.6" x14ac:dyDescent="0.3">
      <c r="A1132" s="17" t="s">
        <v>195</v>
      </c>
      <c r="B1132" s="17" t="s">
        <v>203</v>
      </c>
      <c r="C1132" s="17" t="s">
        <v>113</v>
      </c>
      <c r="D1132" s="17" t="s">
        <v>114</v>
      </c>
      <c r="E1132" s="17" t="s">
        <v>96</v>
      </c>
      <c r="F1132" s="17" t="s">
        <v>96</v>
      </c>
      <c r="G1132" s="17">
        <v>6.1677638400000004E-5</v>
      </c>
      <c r="H1132" s="17">
        <v>5.2751999999999999E-5</v>
      </c>
      <c r="I1132" s="17" t="s">
        <v>115</v>
      </c>
    </row>
    <row r="1133" spans="1:9" ht="15.6" x14ac:dyDescent="0.3">
      <c r="A1133" s="17" t="s">
        <v>195</v>
      </c>
      <c r="B1133" s="17" t="s">
        <v>203</v>
      </c>
      <c r="C1133" s="17" t="s">
        <v>113</v>
      </c>
      <c r="D1133" s="17" t="s">
        <v>114</v>
      </c>
      <c r="E1133" s="17" t="s">
        <v>99</v>
      </c>
      <c r="F1133" s="17" t="s">
        <v>142</v>
      </c>
      <c r="G1133" s="17">
        <v>3.8259611172399999E-3</v>
      </c>
      <c r="H1133" s="17">
        <v>3.2722897000000001E-3</v>
      </c>
      <c r="I1133" s="17" t="s">
        <v>115</v>
      </c>
    </row>
    <row r="1134" spans="1:9" ht="15.6" x14ac:dyDescent="0.3">
      <c r="A1134" s="17" t="s">
        <v>195</v>
      </c>
      <c r="B1134" s="17" t="s">
        <v>203</v>
      </c>
      <c r="C1134" s="17" t="s">
        <v>113</v>
      </c>
      <c r="D1134" s="17" t="s">
        <v>114</v>
      </c>
      <c r="E1134" s="17" t="s">
        <v>99</v>
      </c>
      <c r="F1134" s="17" t="s">
        <v>143</v>
      </c>
      <c r="G1134" s="17">
        <v>5.6432402919714404</v>
      </c>
      <c r="H1134" s="17">
        <v>4.8265825282000003</v>
      </c>
      <c r="I1134" s="17" t="s">
        <v>115</v>
      </c>
    </row>
    <row r="1135" spans="1:9" ht="15.6" x14ac:dyDescent="0.3">
      <c r="A1135" s="17" t="s">
        <v>195</v>
      </c>
      <c r="B1135" s="17" t="s">
        <v>203</v>
      </c>
      <c r="C1135" s="17" t="s">
        <v>113</v>
      </c>
      <c r="D1135" s="17" t="s">
        <v>114</v>
      </c>
      <c r="E1135" s="17" t="s">
        <v>99</v>
      </c>
      <c r="F1135" s="17" t="s">
        <v>144</v>
      </c>
      <c r="G1135" s="17">
        <v>1.2732588E-4</v>
      </c>
      <c r="H1135" s="17">
        <v>1.089E-4</v>
      </c>
      <c r="I1135" s="17" t="s">
        <v>115</v>
      </c>
    </row>
    <row r="1136" spans="1:9" ht="15.6" x14ac:dyDescent="0.3">
      <c r="A1136" s="17" t="s">
        <v>195</v>
      </c>
      <c r="B1136" s="17" t="s">
        <v>203</v>
      </c>
      <c r="C1136" s="17" t="s">
        <v>113</v>
      </c>
      <c r="D1136" s="17" t="s">
        <v>114</v>
      </c>
      <c r="E1136" s="17" t="s">
        <v>99</v>
      </c>
      <c r="F1136" s="17" t="s">
        <v>147</v>
      </c>
      <c r="G1136" s="17">
        <v>2.0012745498019999E-2</v>
      </c>
      <c r="H1136" s="17">
        <v>1.711661435E-2</v>
      </c>
      <c r="I1136" s="17" t="s">
        <v>115</v>
      </c>
    </row>
    <row r="1137" spans="1:9" ht="15.6" x14ac:dyDescent="0.3">
      <c r="A1137" s="17" t="s">
        <v>195</v>
      </c>
      <c r="B1137" s="17" t="s">
        <v>203</v>
      </c>
      <c r="C1137" s="17" t="s">
        <v>113</v>
      </c>
      <c r="D1137" s="17" t="s">
        <v>114</v>
      </c>
      <c r="E1137" s="17" t="s">
        <v>99</v>
      </c>
      <c r="F1137" s="17" t="s">
        <v>148</v>
      </c>
      <c r="G1137" s="17">
        <v>45.262701464008003</v>
      </c>
      <c r="H1137" s="17">
        <v>38.712539739999997</v>
      </c>
      <c r="I1137" s="17" t="s">
        <v>115</v>
      </c>
    </row>
    <row r="1138" spans="1:9" ht="15.6" x14ac:dyDescent="0.3">
      <c r="A1138" s="17" t="s">
        <v>195</v>
      </c>
      <c r="B1138" s="17" t="s">
        <v>203</v>
      </c>
      <c r="C1138" s="17" t="s">
        <v>113</v>
      </c>
      <c r="D1138" s="17" t="s">
        <v>114</v>
      </c>
      <c r="E1138" s="17" t="s">
        <v>99</v>
      </c>
      <c r="F1138" s="17" t="s">
        <v>150</v>
      </c>
      <c r="G1138" s="17">
        <v>2.81379672E-5</v>
      </c>
      <c r="H1138" s="17">
        <v>2.4066E-5</v>
      </c>
      <c r="I1138" s="17" t="s">
        <v>115</v>
      </c>
    </row>
    <row r="1139" spans="1:9" ht="15.6" x14ac:dyDescent="0.3">
      <c r="A1139" s="17" t="s">
        <v>195</v>
      </c>
      <c r="B1139" s="17" t="s">
        <v>203</v>
      </c>
      <c r="C1139" s="17" t="s">
        <v>113</v>
      </c>
      <c r="D1139" s="17" t="s">
        <v>114</v>
      </c>
      <c r="E1139" s="17" t="s">
        <v>99</v>
      </c>
      <c r="F1139" s="17" t="s">
        <v>152</v>
      </c>
      <c r="G1139" s="17">
        <v>1.1625894624583999</v>
      </c>
      <c r="H1139" s="17">
        <v>0.99434610199999995</v>
      </c>
      <c r="I1139" s="17" t="s">
        <v>115</v>
      </c>
    </row>
    <row r="1140" spans="1:9" ht="15.6" x14ac:dyDescent="0.3">
      <c r="A1140" s="17" t="s">
        <v>195</v>
      </c>
      <c r="B1140" s="17" t="s">
        <v>203</v>
      </c>
      <c r="C1140" s="17" t="s">
        <v>113</v>
      </c>
      <c r="D1140" s="17" t="s">
        <v>114</v>
      </c>
      <c r="E1140" s="17" t="s">
        <v>99</v>
      </c>
      <c r="F1140" s="17" t="s">
        <v>153</v>
      </c>
      <c r="G1140" s="17">
        <v>4.9574079999999997E-8</v>
      </c>
      <c r="H1140" s="17">
        <v>4.2400000000000002E-8</v>
      </c>
      <c r="I1140" s="17" t="s">
        <v>115</v>
      </c>
    </row>
    <row r="1141" spans="1:9" ht="15.6" x14ac:dyDescent="0.3">
      <c r="A1141" s="17" t="s">
        <v>195</v>
      </c>
      <c r="B1141" s="17" t="s">
        <v>203</v>
      </c>
      <c r="C1141" s="17" t="s">
        <v>113</v>
      </c>
      <c r="D1141" s="17" t="s">
        <v>114</v>
      </c>
      <c r="E1141" s="17" t="s">
        <v>99</v>
      </c>
      <c r="F1141" s="17" t="s">
        <v>154</v>
      </c>
      <c r="G1141" s="17">
        <v>1.36623685776E-3</v>
      </c>
      <c r="H1141" s="17">
        <v>1.1685228E-3</v>
      </c>
      <c r="I1141" s="17" t="s">
        <v>115</v>
      </c>
    </row>
    <row r="1142" spans="1:9" ht="15.6" x14ac:dyDescent="0.3">
      <c r="A1142" s="17" t="s">
        <v>195</v>
      </c>
      <c r="B1142" s="17" t="s">
        <v>203</v>
      </c>
      <c r="C1142" s="17" t="s">
        <v>113</v>
      </c>
      <c r="D1142" s="17" t="s">
        <v>114</v>
      </c>
      <c r="E1142" s="17" t="s">
        <v>101</v>
      </c>
      <c r="F1142" s="17" t="s">
        <v>157</v>
      </c>
      <c r="G1142" s="17">
        <v>407.17875968626402</v>
      </c>
      <c r="H1142" s="17">
        <v>348.25415642000002</v>
      </c>
      <c r="I1142" s="17" t="s">
        <v>115</v>
      </c>
    </row>
    <row r="1143" spans="1:9" ht="15.6" x14ac:dyDescent="0.3">
      <c r="A1143" s="17" t="s">
        <v>195</v>
      </c>
      <c r="B1143" s="17" t="s">
        <v>203</v>
      </c>
      <c r="C1143" s="17" t="s">
        <v>113</v>
      </c>
      <c r="D1143" s="17" t="s">
        <v>114</v>
      </c>
      <c r="E1143" s="17" t="s">
        <v>101</v>
      </c>
      <c r="F1143" s="17" t="s">
        <v>158</v>
      </c>
      <c r="G1143" s="17">
        <v>23.94007152</v>
      </c>
      <c r="H1143" s="17">
        <v>20.4756</v>
      </c>
      <c r="I1143" s="17" t="s">
        <v>115</v>
      </c>
    </row>
    <row r="1144" spans="1:9" ht="15.6" x14ac:dyDescent="0.3">
      <c r="A1144" s="17" t="s">
        <v>195</v>
      </c>
      <c r="B1144" s="17" t="s">
        <v>203</v>
      </c>
      <c r="C1144" s="17" t="s">
        <v>113</v>
      </c>
      <c r="D1144" s="17" t="s">
        <v>114</v>
      </c>
      <c r="E1144" s="17" t="s">
        <v>101</v>
      </c>
      <c r="F1144" s="17" t="s">
        <v>160</v>
      </c>
      <c r="G1144" s="17">
        <v>22.613265155891199</v>
      </c>
      <c r="H1144" s="17">
        <v>19.340801536000001</v>
      </c>
      <c r="I1144" s="17" t="s">
        <v>115</v>
      </c>
    </row>
    <row r="1145" spans="1:9" ht="15.6" x14ac:dyDescent="0.3">
      <c r="A1145" s="17" t="s">
        <v>195</v>
      </c>
      <c r="B1145" s="17" t="s">
        <v>203</v>
      </c>
      <c r="C1145" s="17" t="s">
        <v>113</v>
      </c>
      <c r="D1145" s="17" t="s">
        <v>114</v>
      </c>
      <c r="E1145" s="17" t="s">
        <v>102</v>
      </c>
      <c r="F1145" s="17" t="s">
        <v>165</v>
      </c>
      <c r="G1145" s="17">
        <v>1.89620856</v>
      </c>
      <c r="H1145" s="17">
        <v>1.6217999999999999</v>
      </c>
      <c r="I1145" s="17" t="s">
        <v>115</v>
      </c>
    </row>
    <row r="1146" spans="1:9" ht="15.6" x14ac:dyDescent="0.3">
      <c r="A1146" s="17" t="s">
        <v>195</v>
      </c>
      <c r="B1146" s="17" t="s">
        <v>203</v>
      </c>
      <c r="C1146" s="17" t="s">
        <v>113</v>
      </c>
      <c r="D1146" s="17" t="s">
        <v>114</v>
      </c>
      <c r="E1146" s="17" t="s">
        <v>102</v>
      </c>
      <c r="F1146" s="17" t="s">
        <v>166</v>
      </c>
      <c r="G1146" s="17">
        <v>23.2881164580015</v>
      </c>
      <c r="H1146" s="17">
        <v>19.917992180979699</v>
      </c>
      <c r="I1146" s="17" t="s">
        <v>115</v>
      </c>
    </row>
    <row r="1147" spans="1:9" ht="15.6" x14ac:dyDescent="0.3">
      <c r="A1147" s="17" t="s">
        <v>195</v>
      </c>
      <c r="B1147" s="17" t="s">
        <v>203</v>
      </c>
      <c r="C1147" s="17" t="s">
        <v>113</v>
      </c>
      <c r="D1147" s="17" t="s">
        <v>114</v>
      </c>
      <c r="E1147" s="17" t="s">
        <v>103</v>
      </c>
      <c r="F1147" s="17" t="s">
        <v>103</v>
      </c>
      <c r="G1147" s="17">
        <v>6.6574248000000003</v>
      </c>
      <c r="H1147" s="17">
        <v>5.694</v>
      </c>
      <c r="I1147" s="17" t="s">
        <v>115</v>
      </c>
    </row>
  </sheetData>
  <autoFilter ref="A1:I1033" xr:uid="{87D33253-08D5-46B7-89B2-DDED2465344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454B-1DA6-491A-A3D0-1BC4686552CD}">
  <dimension ref="A1:I526"/>
  <sheetViews>
    <sheetView workbookViewId="0">
      <selection activeCell="A25" sqref="A25"/>
    </sheetView>
  </sheetViews>
  <sheetFormatPr defaultRowHeight="15.6" x14ac:dyDescent="0.3"/>
  <cols>
    <col min="1" max="1" width="33" style="17" bestFit="1" customWidth="1"/>
    <col min="2" max="16384" width="8.88671875" style="17"/>
  </cols>
  <sheetData>
    <row r="1" spans="1:9" x14ac:dyDescent="0.3">
      <c r="A1" s="17" t="s">
        <v>59</v>
      </c>
      <c r="B1" s="17" t="s">
        <v>105</v>
      </c>
      <c r="C1" s="17" t="s">
        <v>106</v>
      </c>
      <c r="D1" s="17" t="s">
        <v>107</v>
      </c>
      <c r="E1" s="17" t="s">
        <v>108</v>
      </c>
      <c r="F1" s="17" t="s">
        <v>109</v>
      </c>
      <c r="G1" s="17" t="s">
        <v>110</v>
      </c>
      <c r="H1" s="17" t="s">
        <v>111</v>
      </c>
      <c r="I1" s="17" t="s">
        <v>112</v>
      </c>
    </row>
    <row r="2" spans="1:9" x14ac:dyDescent="0.3">
      <c r="A2" s="17" t="s">
        <v>196</v>
      </c>
      <c r="B2" s="17" t="s">
        <v>61</v>
      </c>
      <c r="C2" s="17" t="s">
        <v>113</v>
      </c>
      <c r="D2" s="17" t="s">
        <v>114</v>
      </c>
      <c r="E2" s="17" t="s">
        <v>179</v>
      </c>
      <c r="F2" s="17" t="s">
        <v>179</v>
      </c>
      <c r="G2" s="17">
        <v>386.94156600000002</v>
      </c>
      <c r="H2" s="17">
        <v>371.25599999999997</v>
      </c>
      <c r="I2" s="17" t="s">
        <v>115</v>
      </c>
    </row>
    <row r="3" spans="1:9" x14ac:dyDescent="0.3">
      <c r="A3" s="17" t="s">
        <v>196</v>
      </c>
      <c r="B3" s="17" t="s">
        <v>61</v>
      </c>
      <c r="C3" s="17" t="s">
        <v>113</v>
      </c>
      <c r="D3" s="17" t="s">
        <v>114</v>
      </c>
      <c r="E3" s="17" t="s">
        <v>72</v>
      </c>
      <c r="F3" s="17" t="s">
        <v>180</v>
      </c>
      <c r="G3" s="17">
        <v>334.24307135999999</v>
      </c>
      <c r="H3" s="17">
        <v>320.69376</v>
      </c>
      <c r="I3" s="17" t="s">
        <v>115</v>
      </c>
    </row>
    <row r="4" spans="1:9" x14ac:dyDescent="0.3">
      <c r="A4" s="17" t="s">
        <v>196</v>
      </c>
      <c r="B4" s="17" t="s">
        <v>61</v>
      </c>
      <c r="C4" s="17" t="s">
        <v>113</v>
      </c>
      <c r="D4" s="17" t="s">
        <v>114</v>
      </c>
      <c r="E4" s="17" t="s">
        <v>73</v>
      </c>
      <c r="F4" s="17" t="s">
        <v>117</v>
      </c>
      <c r="G4" s="17">
        <v>0</v>
      </c>
      <c r="H4" s="17">
        <v>0</v>
      </c>
      <c r="I4" s="17" t="s">
        <v>115</v>
      </c>
    </row>
    <row r="5" spans="1:9" x14ac:dyDescent="0.3">
      <c r="A5" s="17" t="s">
        <v>196</v>
      </c>
      <c r="B5" s="17" t="s">
        <v>61</v>
      </c>
      <c r="C5" s="17" t="s">
        <v>113</v>
      </c>
      <c r="D5" s="17" t="s">
        <v>114</v>
      </c>
      <c r="E5" s="17" t="s">
        <v>73</v>
      </c>
      <c r="F5" s="17" t="s">
        <v>181</v>
      </c>
      <c r="G5" s="17">
        <v>94.602947999999998</v>
      </c>
      <c r="H5" s="17">
        <v>90.768000000000001</v>
      </c>
      <c r="I5" s="17" t="s">
        <v>115</v>
      </c>
    </row>
    <row r="6" spans="1:9" x14ac:dyDescent="0.3">
      <c r="A6" s="17" t="s">
        <v>196</v>
      </c>
      <c r="B6" s="17" t="s">
        <v>61</v>
      </c>
      <c r="C6" s="17" t="s">
        <v>113</v>
      </c>
      <c r="D6" s="17" t="s">
        <v>114</v>
      </c>
      <c r="E6" s="17" t="s">
        <v>73</v>
      </c>
      <c r="F6" s="17" t="s">
        <v>118</v>
      </c>
      <c r="G6" s="17">
        <v>550.85537467107804</v>
      </c>
      <c r="H6" s="17">
        <v>528.52518558030999</v>
      </c>
      <c r="I6" s="17" t="s">
        <v>115</v>
      </c>
    </row>
    <row r="7" spans="1:9" x14ac:dyDescent="0.3">
      <c r="A7" s="17" t="s">
        <v>196</v>
      </c>
      <c r="B7" s="17" t="s">
        <v>61</v>
      </c>
      <c r="C7" s="17" t="s">
        <v>113</v>
      </c>
      <c r="D7" s="17" t="s">
        <v>114</v>
      </c>
      <c r="E7" s="17" t="s">
        <v>73</v>
      </c>
      <c r="F7" s="17" t="s">
        <v>120</v>
      </c>
      <c r="G7" s="17">
        <v>28.868426106164399</v>
      </c>
      <c r="H7" s="17">
        <v>27.698178082191799</v>
      </c>
      <c r="I7" s="17" t="s">
        <v>115</v>
      </c>
    </row>
    <row r="8" spans="1:9" x14ac:dyDescent="0.3">
      <c r="A8" s="17" t="s">
        <v>196</v>
      </c>
      <c r="B8" s="17" t="s">
        <v>61</v>
      </c>
      <c r="C8" s="17" t="s">
        <v>113</v>
      </c>
      <c r="D8" s="17" t="s">
        <v>114</v>
      </c>
      <c r="E8" s="17" t="s">
        <v>74</v>
      </c>
      <c r="F8" s="17" t="s">
        <v>121</v>
      </c>
      <c r="G8" s="17">
        <v>67.046393820725001</v>
      </c>
      <c r="H8" s="17">
        <v>64.328514100000007</v>
      </c>
      <c r="I8" s="17" t="s">
        <v>115</v>
      </c>
    </row>
    <row r="9" spans="1:9" x14ac:dyDescent="0.3">
      <c r="A9" s="17" t="s">
        <v>196</v>
      </c>
      <c r="B9" s="17" t="s">
        <v>61</v>
      </c>
      <c r="C9" s="17" t="s">
        <v>113</v>
      </c>
      <c r="D9" s="17" t="s">
        <v>114</v>
      </c>
      <c r="E9" s="17" t="s">
        <v>75</v>
      </c>
      <c r="F9" s="17" t="s">
        <v>75</v>
      </c>
      <c r="G9" s="17">
        <v>197.839727618117</v>
      </c>
      <c r="H9" s="17">
        <v>189.819839403326</v>
      </c>
      <c r="I9" s="17" t="s">
        <v>115</v>
      </c>
    </row>
    <row r="10" spans="1:9" x14ac:dyDescent="0.3">
      <c r="A10" s="17" t="s">
        <v>196</v>
      </c>
      <c r="B10" s="17" t="s">
        <v>61</v>
      </c>
      <c r="C10" s="17" t="s">
        <v>113</v>
      </c>
      <c r="D10" s="17" t="s">
        <v>114</v>
      </c>
      <c r="E10" s="17" t="s">
        <v>76</v>
      </c>
      <c r="F10" s="17" t="s">
        <v>122</v>
      </c>
      <c r="G10" s="17">
        <v>230.303898</v>
      </c>
      <c r="H10" s="17">
        <v>220.96799999999999</v>
      </c>
      <c r="I10" s="17" t="s">
        <v>115</v>
      </c>
    </row>
    <row r="11" spans="1:9" x14ac:dyDescent="0.3">
      <c r="A11" s="17" t="s">
        <v>196</v>
      </c>
      <c r="B11" s="17" t="s">
        <v>61</v>
      </c>
      <c r="C11" s="17" t="s">
        <v>113</v>
      </c>
      <c r="D11" s="17" t="s">
        <v>114</v>
      </c>
      <c r="E11" s="17" t="s">
        <v>182</v>
      </c>
      <c r="F11" s="17" t="s">
        <v>183</v>
      </c>
      <c r="G11" s="17">
        <v>250.85373279999999</v>
      </c>
      <c r="H11" s="17">
        <v>240.6848</v>
      </c>
      <c r="I11" s="17" t="s">
        <v>115</v>
      </c>
    </row>
    <row r="12" spans="1:9" x14ac:dyDescent="0.3">
      <c r="A12" s="17" t="s">
        <v>196</v>
      </c>
      <c r="B12" s="17" t="s">
        <v>61</v>
      </c>
      <c r="C12" s="17" t="s">
        <v>113</v>
      </c>
      <c r="D12" s="17" t="s">
        <v>114</v>
      </c>
      <c r="E12" s="17" t="s">
        <v>80</v>
      </c>
      <c r="F12" s="17" t="s">
        <v>80</v>
      </c>
      <c r="G12" s="17">
        <v>1.2452626234399999</v>
      </c>
      <c r="H12" s="17">
        <v>1.1947830399999999</v>
      </c>
      <c r="I12" s="17" t="s">
        <v>115</v>
      </c>
    </row>
    <row r="13" spans="1:9" x14ac:dyDescent="0.3">
      <c r="A13" s="17" t="s">
        <v>196</v>
      </c>
      <c r="B13" s="17" t="s">
        <v>61</v>
      </c>
      <c r="C13" s="17" t="s">
        <v>113</v>
      </c>
      <c r="D13" s="17" t="s">
        <v>114</v>
      </c>
      <c r="E13" s="17" t="s">
        <v>77</v>
      </c>
      <c r="F13" s="17" t="s">
        <v>77</v>
      </c>
      <c r="G13" s="17">
        <v>1.4758260000000001E-4</v>
      </c>
      <c r="H13" s="17">
        <v>1.416E-4</v>
      </c>
      <c r="I13" s="17" t="s">
        <v>115</v>
      </c>
    </row>
    <row r="14" spans="1:9" x14ac:dyDescent="0.3">
      <c r="A14" s="17" t="s">
        <v>196</v>
      </c>
      <c r="B14" s="17" t="s">
        <v>61</v>
      </c>
      <c r="C14" s="17" t="s">
        <v>113</v>
      </c>
      <c r="D14" s="17" t="s">
        <v>114</v>
      </c>
      <c r="E14" s="17" t="s">
        <v>79</v>
      </c>
      <c r="F14" s="17" t="s">
        <v>79</v>
      </c>
      <c r="G14" s="17">
        <v>73.838426861949102</v>
      </c>
      <c r="H14" s="17">
        <v>70.845216466249994</v>
      </c>
      <c r="I14" s="17" t="s">
        <v>115</v>
      </c>
    </row>
    <row r="15" spans="1:9" x14ac:dyDescent="0.3">
      <c r="A15" s="17" t="s">
        <v>196</v>
      </c>
      <c r="B15" s="17" t="s">
        <v>61</v>
      </c>
      <c r="C15" s="17" t="s">
        <v>113</v>
      </c>
      <c r="D15" s="17" t="s">
        <v>114</v>
      </c>
      <c r="E15" s="17" t="s">
        <v>81</v>
      </c>
      <c r="F15" s="17" t="s">
        <v>81</v>
      </c>
      <c r="G15" s="17">
        <v>161.407993846772</v>
      </c>
      <c r="H15" s="17">
        <v>154.864949721057</v>
      </c>
      <c r="I15" s="17" t="s">
        <v>115</v>
      </c>
    </row>
    <row r="16" spans="1:9" x14ac:dyDescent="0.3">
      <c r="A16" s="17" t="s">
        <v>196</v>
      </c>
      <c r="B16" s="17" t="s">
        <v>61</v>
      </c>
      <c r="C16" s="17" t="s">
        <v>113</v>
      </c>
      <c r="D16" s="17" t="s">
        <v>114</v>
      </c>
      <c r="E16" s="17" t="s">
        <v>82</v>
      </c>
      <c r="F16" s="17" t="s">
        <v>82</v>
      </c>
      <c r="G16" s="17">
        <v>137.99189591507499</v>
      </c>
      <c r="H16" s="17">
        <v>132.39807715526501</v>
      </c>
      <c r="I16" s="17" t="s">
        <v>115</v>
      </c>
    </row>
    <row r="17" spans="1:9" x14ac:dyDescent="0.3">
      <c r="A17" s="17" t="s">
        <v>196</v>
      </c>
      <c r="B17" s="17" t="s">
        <v>61</v>
      </c>
      <c r="C17" s="17" t="s">
        <v>113</v>
      </c>
      <c r="D17" s="17" t="s">
        <v>114</v>
      </c>
      <c r="E17" s="17" t="s">
        <v>83</v>
      </c>
      <c r="F17" s="17" t="s">
        <v>127</v>
      </c>
      <c r="G17" s="17">
        <v>0.55782794696417004</v>
      </c>
      <c r="H17" s="17">
        <v>0.53521510862477395</v>
      </c>
      <c r="I17" s="17" t="s">
        <v>115</v>
      </c>
    </row>
    <row r="18" spans="1:9" x14ac:dyDescent="0.3">
      <c r="A18" s="17" t="s">
        <v>196</v>
      </c>
      <c r="B18" s="17" t="s">
        <v>61</v>
      </c>
      <c r="C18" s="17" t="s">
        <v>113</v>
      </c>
      <c r="D18" s="17" t="s">
        <v>114</v>
      </c>
      <c r="E18" s="17" t="s">
        <v>83</v>
      </c>
      <c r="F18" s="17" t="s">
        <v>128</v>
      </c>
      <c r="G18" s="17">
        <v>13.137174666219799</v>
      </c>
      <c r="H18" s="17">
        <v>12.604629087282101</v>
      </c>
      <c r="I18" s="17" t="s">
        <v>115</v>
      </c>
    </row>
    <row r="19" spans="1:9" x14ac:dyDescent="0.3">
      <c r="A19" s="17" t="s">
        <v>196</v>
      </c>
      <c r="B19" s="17" t="s">
        <v>61</v>
      </c>
      <c r="C19" s="17" t="s">
        <v>113</v>
      </c>
      <c r="D19" s="17" t="s">
        <v>114</v>
      </c>
      <c r="E19" s="17" t="s">
        <v>84</v>
      </c>
      <c r="F19" s="17" t="s">
        <v>129</v>
      </c>
      <c r="G19" s="17">
        <v>5126.4810539713899</v>
      </c>
      <c r="H19" s="17">
        <v>4918.6673580919996</v>
      </c>
      <c r="I19" s="17" t="s">
        <v>115</v>
      </c>
    </row>
    <row r="20" spans="1:9" x14ac:dyDescent="0.3">
      <c r="A20" s="17" t="s">
        <v>196</v>
      </c>
      <c r="B20" s="17" t="s">
        <v>61</v>
      </c>
      <c r="C20" s="17" t="s">
        <v>113</v>
      </c>
      <c r="D20" s="17" t="s">
        <v>114</v>
      </c>
      <c r="E20" s="17" t="s">
        <v>85</v>
      </c>
      <c r="F20" s="17" t="s">
        <v>85</v>
      </c>
      <c r="G20" s="17">
        <v>117.84649614730399</v>
      </c>
      <c r="H20" s="17">
        <v>113.06931748362101</v>
      </c>
      <c r="I20" s="17" t="s">
        <v>115</v>
      </c>
    </row>
    <row r="21" spans="1:9" x14ac:dyDescent="0.3">
      <c r="A21" s="17" t="s">
        <v>196</v>
      </c>
      <c r="B21" s="17" t="s">
        <v>61</v>
      </c>
      <c r="C21" s="17" t="s">
        <v>113</v>
      </c>
      <c r="D21" s="17" t="s">
        <v>114</v>
      </c>
      <c r="E21" s="17" t="s">
        <v>89</v>
      </c>
      <c r="F21" s="17" t="s">
        <v>89</v>
      </c>
      <c r="G21" s="17">
        <v>8.6673416197500006E-2</v>
      </c>
      <c r="H21" s="17">
        <v>8.3159910000000004E-2</v>
      </c>
      <c r="I21" s="17" t="s">
        <v>115</v>
      </c>
    </row>
    <row r="22" spans="1:9" x14ac:dyDescent="0.3">
      <c r="A22" s="17" t="s">
        <v>196</v>
      </c>
      <c r="B22" s="17" t="s">
        <v>61</v>
      </c>
      <c r="C22" s="17" t="s">
        <v>113</v>
      </c>
      <c r="D22" s="17" t="s">
        <v>114</v>
      </c>
      <c r="E22" s="17" t="s">
        <v>90</v>
      </c>
      <c r="F22" s="17" t="s">
        <v>90</v>
      </c>
      <c r="G22" s="17">
        <v>113.954400308437</v>
      </c>
      <c r="H22" s="17">
        <v>109.33499669794899</v>
      </c>
      <c r="I22" s="17" t="s">
        <v>115</v>
      </c>
    </row>
    <row r="23" spans="1:9" x14ac:dyDescent="0.3">
      <c r="A23" s="17" t="s">
        <v>196</v>
      </c>
      <c r="B23" s="17" t="s">
        <v>61</v>
      </c>
      <c r="C23" s="17" t="s">
        <v>113</v>
      </c>
      <c r="D23" s="17" t="s">
        <v>114</v>
      </c>
      <c r="E23" s="17" t="s">
        <v>91</v>
      </c>
      <c r="F23" s="17" t="s">
        <v>91</v>
      </c>
      <c r="G23" s="17">
        <v>108.782494433192</v>
      </c>
      <c r="H23" s="17">
        <v>104.37274591815</v>
      </c>
      <c r="I23" s="17" t="s">
        <v>115</v>
      </c>
    </row>
    <row r="24" spans="1:9" x14ac:dyDescent="0.3">
      <c r="A24" s="17" t="s">
        <v>196</v>
      </c>
      <c r="B24" s="17" t="s">
        <v>61</v>
      </c>
      <c r="C24" s="17" t="s">
        <v>113</v>
      </c>
      <c r="D24" s="17" t="s">
        <v>114</v>
      </c>
      <c r="E24" s="17" t="s">
        <v>93</v>
      </c>
      <c r="F24" s="17" t="s">
        <v>130</v>
      </c>
      <c r="G24" s="17">
        <v>84.478656569999998</v>
      </c>
      <c r="H24" s="17">
        <v>81.054119999999998</v>
      </c>
      <c r="I24" s="17" t="s">
        <v>115</v>
      </c>
    </row>
    <row r="25" spans="1:9" x14ac:dyDescent="0.3">
      <c r="A25" s="17" t="s">
        <v>196</v>
      </c>
      <c r="B25" s="17" t="s">
        <v>61</v>
      </c>
      <c r="C25" s="17" t="s">
        <v>113</v>
      </c>
      <c r="D25" s="17" t="s">
        <v>114</v>
      </c>
      <c r="E25" s="17" t="s">
        <v>93</v>
      </c>
      <c r="F25" s="17" t="s">
        <v>131</v>
      </c>
      <c r="G25" s="17">
        <v>37.584785699999998</v>
      </c>
      <c r="H25" s="17">
        <v>36.061199999999999</v>
      </c>
      <c r="I25" s="17" t="s">
        <v>115</v>
      </c>
    </row>
    <row r="26" spans="1:9" x14ac:dyDescent="0.3">
      <c r="A26" s="17" t="s">
        <v>196</v>
      </c>
      <c r="B26" s="17" t="s">
        <v>61</v>
      </c>
      <c r="C26" s="17" t="s">
        <v>113</v>
      </c>
      <c r="D26" s="17" t="s">
        <v>114</v>
      </c>
      <c r="E26" s="17" t="s">
        <v>93</v>
      </c>
      <c r="F26" s="17" t="s">
        <v>184</v>
      </c>
      <c r="G26" s="17">
        <v>0.27869923421999998</v>
      </c>
      <c r="H26" s="17">
        <v>0.26740152</v>
      </c>
      <c r="I26" s="17" t="s">
        <v>115</v>
      </c>
    </row>
    <row r="27" spans="1:9" x14ac:dyDescent="0.3">
      <c r="A27" s="17" t="s">
        <v>196</v>
      </c>
      <c r="B27" s="17" t="s">
        <v>61</v>
      </c>
      <c r="C27" s="17" t="s">
        <v>113</v>
      </c>
      <c r="D27" s="17" t="s">
        <v>114</v>
      </c>
      <c r="E27" s="17" t="s">
        <v>93</v>
      </c>
      <c r="F27" s="17" t="s">
        <v>132</v>
      </c>
      <c r="G27" s="17">
        <v>0.35429583837450002</v>
      </c>
      <c r="H27" s="17">
        <v>0.33993364199999998</v>
      </c>
      <c r="I27" s="17" t="s">
        <v>115</v>
      </c>
    </row>
    <row r="28" spans="1:9" x14ac:dyDescent="0.3">
      <c r="A28" s="17" t="s">
        <v>196</v>
      </c>
      <c r="B28" s="17" t="s">
        <v>61</v>
      </c>
      <c r="C28" s="17" t="s">
        <v>113</v>
      </c>
      <c r="D28" s="17" t="s">
        <v>114</v>
      </c>
      <c r="E28" s="17" t="s">
        <v>93</v>
      </c>
      <c r="F28" s="17" t="s">
        <v>134</v>
      </c>
      <c r="G28" s="17">
        <v>12.027641996218801</v>
      </c>
      <c r="H28" s="17">
        <v>11.540073874999999</v>
      </c>
      <c r="I28" s="17" t="s">
        <v>115</v>
      </c>
    </row>
    <row r="29" spans="1:9" x14ac:dyDescent="0.3">
      <c r="A29" s="17" t="s">
        <v>196</v>
      </c>
      <c r="B29" s="17" t="s">
        <v>61</v>
      </c>
      <c r="C29" s="17" t="s">
        <v>113</v>
      </c>
      <c r="D29" s="17" t="s">
        <v>114</v>
      </c>
      <c r="E29" s="17" t="s">
        <v>93</v>
      </c>
      <c r="F29" s="17" t="s">
        <v>136</v>
      </c>
      <c r="G29" s="17">
        <v>42.049271954689999</v>
      </c>
      <c r="H29" s="17">
        <v>40.34470804</v>
      </c>
      <c r="I29" s="17" t="s">
        <v>115</v>
      </c>
    </row>
    <row r="30" spans="1:9" x14ac:dyDescent="0.3">
      <c r="A30" s="17" t="s">
        <v>196</v>
      </c>
      <c r="B30" s="17" t="s">
        <v>61</v>
      </c>
      <c r="C30" s="17" t="s">
        <v>113</v>
      </c>
      <c r="D30" s="17" t="s">
        <v>114</v>
      </c>
      <c r="E30" s="17" t="s">
        <v>93</v>
      </c>
      <c r="F30" s="17" t="s">
        <v>137</v>
      </c>
      <c r="G30" s="17">
        <v>67.498746892499994</v>
      </c>
      <c r="H30" s="17">
        <v>64.762529999999998</v>
      </c>
      <c r="I30" s="17" t="s">
        <v>115</v>
      </c>
    </row>
    <row r="31" spans="1:9" x14ac:dyDescent="0.3">
      <c r="A31" s="17" t="s">
        <v>196</v>
      </c>
      <c r="B31" s="17" t="s">
        <v>61</v>
      </c>
      <c r="C31" s="17" t="s">
        <v>113</v>
      </c>
      <c r="D31" s="17" t="s">
        <v>114</v>
      </c>
      <c r="E31" s="17" t="s">
        <v>95</v>
      </c>
      <c r="F31" s="17" t="s">
        <v>138</v>
      </c>
      <c r="G31" s="17">
        <v>439.98125160000001</v>
      </c>
      <c r="H31" s="17">
        <v>422.1456</v>
      </c>
      <c r="I31" s="17" t="s">
        <v>115</v>
      </c>
    </row>
    <row r="32" spans="1:9" x14ac:dyDescent="0.3">
      <c r="A32" s="17" t="s">
        <v>196</v>
      </c>
      <c r="B32" s="17" t="s">
        <v>61</v>
      </c>
      <c r="C32" s="17" t="s">
        <v>113</v>
      </c>
      <c r="D32" s="17" t="s">
        <v>114</v>
      </c>
      <c r="E32" s="17" t="s">
        <v>95</v>
      </c>
      <c r="F32" s="17" t="s">
        <v>185</v>
      </c>
      <c r="G32" s="17">
        <v>10.080641999999999</v>
      </c>
      <c r="H32" s="17">
        <v>9.6720000000000006</v>
      </c>
      <c r="I32" s="17" t="s">
        <v>115</v>
      </c>
    </row>
    <row r="33" spans="1:9" x14ac:dyDescent="0.3">
      <c r="A33" s="17" t="s">
        <v>196</v>
      </c>
      <c r="B33" s="17" t="s">
        <v>61</v>
      </c>
      <c r="C33" s="17" t="s">
        <v>113</v>
      </c>
      <c r="D33" s="17" t="s">
        <v>114</v>
      </c>
      <c r="E33" s="17" t="s">
        <v>96</v>
      </c>
      <c r="F33" s="17" t="s">
        <v>96</v>
      </c>
      <c r="G33" s="17">
        <v>6.2201907322499998E-3</v>
      </c>
      <c r="H33" s="17">
        <v>5.9680410000000003E-3</v>
      </c>
      <c r="I33" s="17" t="s">
        <v>115</v>
      </c>
    </row>
    <row r="34" spans="1:9" x14ac:dyDescent="0.3">
      <c r="A34" s="17" t="s">
        <v>196</v>
      </c>
      <c r="B34" s="17" t="s">
        <v>61</v>
      </c>
      <c r="C34" s="17" t="s">
        <v>113</v>
      </c>
      <c r="D34" s="17" t="s">
        <v>114</v>
      </c>
      <c r="E34" s="17" t="s">
        <v>97</v>
      </c>
      <c r="F34" s="17" t="s">
        <v>97</v>
      </c>
      <c r="G34" s="17">
        <v>14.421606643313201</v>
      </c>
      <c r="H34" s="17">
        <v>13.8369936611304</v>
      </c>
      <c r="I34" s="17" t="s">
        <v>115</v>
      </c>
    </row>
    <row r="35" spans="1:9" x14ac:dyDescent="0.3">
      <c r="A35" s="17" t="s">
        <v>196</v>
      </c>
      <c r="B35" s="17" t="s">
        <v>61</v>
      </c>
      <c r="C35" s="17" t="s">
        <v>113</v>
      </c>
      <c r="D35" s="17" t="s">
        <v>114</v>
      </c>
      <c r="E35" s="17" t="s">
        <v>99</v>
      </c>
      <c r="F35" s="17" t="s">
        <v>142</v>
      </c>
      <c r="G35" s="17">
        <v>2.8624008550406499</v>
      </c>
      <c r="H35" s="17">
        <v>2.7463668553999998</v>
      </c>
      <c r="I35" s="17" t="s">
        <v>115</v>
      </c>
    </row>
    <row r="36" spans="1:9" x14ac:dyDescent="0.3">
      <c r="A36" s="17" t="s">
        <v>196</v>
      </c>
      <c r="B36" s="17" t="s">
        <v>61</v>
      </c>
      <c r="C36" s="17" t="s">
        <v>113</v>
      </c>
      <c r="D36" s="17" t="s">
        <v>114</v>
      </c>
      <c r="E36" s="17" t="s">
        <v>99</v>
      </c>
      <c r="F36" s="17" t="s">
        <v>143</v>
      </c>
      <c r="G36" s="17">
        <v>1.2585991343728</v>
      </c>
      <c r="H36" s="17">
        <v>1.2075789248</v>
      </c>
      <c r="I36" s="17" t="s">
        <v>115</v>
      </c>
    </row>
    <row r="37" spans="1:9" x14ac:dyDescent="0.3">
      <c r="A37" s="17" t="s">
        <v>196</v>
      </c>
      <c r="B37" s="17" t="s">
        <v>61</v>
      </c>
      <c r="C37" s="17" t="s">
        <v>113</v>
      </c>
      <c r="D37" s="17" t="s">
        <v>114</v>
      </c>
      <c r="E37" s="17" t="s">
        <v>99</v>
      </c>
      <c r="F37" s="17" t="s">
        <v>144</v>
      </c>
      <c r="G37" s="17">
        <v>1.23634678607385</v>
      </c>
      <c r="H37" s="17">
        <v>1.1862286265999999</v>
      </c>
      <c r="I37" s="17" t="s">
        <v>115</v>
      </c>
    </row>
    <row r="38" spans="1:9" x14ac:dyDescent="0.3">
      <c r="A38" s="17" t="s">
        <v>196</v>
      </c>
      <c r="B38" s="17" t="s">
        <v>61</v>
      </c>
      <c r="C38" s="17" t="s">
        <v>113</v>
      </c>
      <c r="D38" s="17" t="s">
        <v>114</v>
      </c>
      <c r="E38" s="17" t="s">
        <v>99</v>
      </c>
      <c r="F38" s="17" t="s">
        <v>145</v>
      </c>
      <c r="G38" s="17">
        <v>2.41935408E-5</v>
      </c>
      <c r="H38" s="17">
        <v>2.3212799999999999E-5</v>
      </c>
      <c r="I38" s="17" t="s">
        <v>115</v>
      </c>
    </row>
    <row r="39" spans="1:9" x14ac:dyDescent="0.3">
      <c r="A39" s="17" t="s">
        <v>196</v>
      </c>
      <c r="B39" s="17" t="s">
        <v>61</v>
      </c>
      <c r="C39" s="17" t="s">
        <v>113</v>
      </c>
      <c r="D39" s="17" t="s">
        <v>114</v>
      </c>
      <c r="E39" s="17" t="s">
        <v>99</v>
      </c>
      <c r="F39" s="17" t="s">
        <v>147</v>
      </c>
      <c r="G39" s="17">
        <v>0.12783261066485199</v>
      </c>
      <c r="H39" s="17">
        <v>0.12265062189000001</v>
      </c>
      <c r="I39" s="17" t="s">
        <v>115</v>
      </c>
    </row>
    <row r="40" spans="1:9" x14ac:dyDescent="0.3">
      <c r="A40" s="17" t="s">
        <v>196</v>
      </c>
      <c r="B40" s="17" t="s">
        <v>61</v>
      </c>
      <c r="C40" s="17" t="s">
        <v>113</v>
      </c>
      <c r="D40" s="17" t="s">
        <v>114</v>
      </c>
      <c r="E40" s="17" t="s">
        <v>99</v>
      </c>
      <c r="F40" s="17" t="s">
        <v>148</v>
      </c>
      <c r="G40" s="17">
        <v>265.452469170516</v>
      </c>
      <c r="H40" s="17">
        <v>254.69174302760001</v>
      </c>
      <c r="I40" s="17" t="s">
        <v>115</v>
      </c>
    </row>
    <row r="41" spans="1:9" x14ac:dyDescent="0.3">
      <c r="A41" s="17" t="s">
        <v>196</v>
      </c>
      <c r="B41" s="17" t="s">
        <v>61</v>
      </c>
      <c r="C41" s="17" t="s">
        <v>113</v>
      </c>
      <c r="D41" s="17" t="s">
        <v>114</v>
      </c>
      <c r="E41" s="17" t="s">
        <v>99</v>
      </c>
      <c r="F41" s="17" t="s">
        <v>150</v>
      </c>
      <c r="G41" s="17">
        <v>7.1570494544999997E-3</v>
      </c>
      <c r="H41" s="17">
        <v>6.8669220000000001E-3</v>
      </c>
      <c r="I41" s="17" t="s">
        <v>115</v>
      </c>
    </row>
    <row r="42" spans="1:9" x14ac:dyDescent="0.3">
      <c r="A42" s="17" t="s">
        <v>196</v>
      </c>
      <c r="B42" s="17" t="s">
        <v>61</v>
      </c>
      <c r="C42" s="17" t="s">
        <v>113</v>
      </c>
      <c r="D42" s="17" t="s">
        <v>114</v>
      </c>
      <c r="E42" s="17" t="s">
        <v>99</v>
      </c>
      <c r="F42" s="17" t="s">
        <v>151</v>
      </c>
      <c r="G42" s="17">
        <v>6.5633943824756997</v>
      </c>
      <c r="H42" s="17">
        <v>6.2973321012000003</v>
      </c>
      <c r="I42" s="17" t="s">
        <v>115</v>
      </c>
    </row>
    <row r="43" spans="1:9" x14ac:dyDescent="0.3">
      <c r="A43" s="17" t="s">
        <v>196</v>
      </c>
      <c r="B43" s="17" t="s">
        <v>61</v>
      </c>
      <c r="C43" s="17" t="s">
        <v>113</v>
      </c>
      <c r="D43" s="17" t="s">
        <v>114</v>
      </c>
      <c r="E43" s="17" t="s">
        <v>99</v>
      </c>
      <c r="F43" s="17" t="s">
        <v>152</v>
      </c>
      <c r="G43" s="17">
        <v>19.738348628854599</v>
      </c>
      <c r="H43" s="17">
        <v>18.938209286500001</v>
      </c>
      <c r="I43" s="17" t="s">
        <v>115</v>
      </c>
    </row>
    <row r="44" spans="1:9" x14ac:dyDescent="0.3">
      <c r="A44" s="17" t="s">
        <v>196</v>
      </c>
      <c r="B44" s="17" t="s">
        <v>61</v>
      </c>
      <c r="C44" s="17" t="s">
        <v>113</v>
      </c>
      <c r="D44" s="17" t="s">
        <v>114</v>
      </c>
      <c r="E44" s="17" t="s">
        <v>99</v>
      </c>
      <c r="F44" s="17" t="s">
        <v>153</v>
      </c>
      <c r="G44" s="17">
        <v>5.4539518786500003E-3</v>
      </c>
      <c r="H44" s="17">
        <v>5.2328634000000001E-3</v>
      </c>
      <c r="I44" s="17" t="s">
        <v>115</v>
      </c>
    </row>
    <row r="45" spans="1:9" x14ac:dyDescent="0.3">
      <c r="A45" s="17" t="s">
        <v>196</v>
      </c>
      <c r="B45" s="17" t="s">
        <v>61</v>
      </c>
      <c r="C45" s="17" t="s">
        <v>113</v>
      </c>
      <c r="D45" s="17" t="s">
        <v>114</v>
      </c>
      <c r="E45" s="17" t="s">
        <v>99</v>
      </c>
      <c r="F45" s="17" t="s">
        <v>154</v>
      </c>
      <c r="G45" s="17">
        <v>4.2527873112999997E-3</v>
      </c>
      <c r="H45" s="17">
        <v>4.0803908E-3</v>
      </c>
      <c r="I45" s="17" t="s">
        <v>115</v>
      </c>
    </row>
    <row r="46" spans="1:9" x14ac:dyDescent="0.3">
      <c r="A46" s="17" t="s">
        <v>196</v>
      </c>
      <c r="B46" s="17" t="s">
        <v>61</v>
      </c>
      <c r="C46" s="17" t="s">
        <v>113</v>
      </c>
      <c r="D46" s="17" t="s">
        <v>114</v>
      </c>
      <c r="E46" s="17" t="s">
        <v>101</v>
      </c>
      <c r="F46" s="17" t="s">
        <v>186</v>
      </c>
      <c r="G46" s="17">
        <v>1867.9369120823601</v>
      </c>
      <c r="H46" s="17">
        <v>1792.2157947539999</v>
      </c>
      <c r="I46" s="17" t="s">
        <v>115</v>
      </c>
    </row>
    <row r="47" spans="1:9" x14ac:dyDescent="0.3">
      <c r="A47" s="17" t="s">
        <v>196</v>
      </c>
      <c r="B47" s="17" t="s">
        <v>61</v>
      </c>
      <c r="C47" s="17" t="s">
        <v>113</v>
      </c>
      <c r="D47" s="17" t="s">
        <v>114</v>
      </c>
      <c r="E47" s="17" t="s">
        <v>101</v>
      </c>
      <c r="F47" s="17" t="s">
        <v>155</v>
      </c>
      <c r="G47" s="17">
        <v>124.404695651838</v>
      </c>
      <c r="H47" s="17">
        <v>119.36166529320001</v>
      </c>
      <c r="I47" s="17" t="s">
        <v>115</v>
      </c>
    </row>
    <row r="48" spans="1:9" x14ac:dyDescent="0.3">
      <c r="A48" s="17" t="s">
        <v>196</v>
      </c>
      <c r="B48" s="17" t="s">
        <v>61</v>
      </c>
      <c r="C48" s="17" t="s">
        <v>113</v>
      </c>
      <c r="D48" s="17" t="s">
        <v>114</v>
      </c>
      <c r="E48" s="17" t="s">
        <v>101</v>
      </c>
      <c r="F48" s="17" t="s">
        <v>187</v>
      </c>
      <c r="G48" s="17">
        <v>82.1116804214751</v>
      </c>
      <c r="H48" s="17">
        <v>78.783094671599997</v>
      </c>
      <c r="I48" s="17" t="s">
        <v>115</v>
      </c>
    </row>
    <row r="49" spans="1:9" x14ac:dyDescent="0.3">
      <c r="A49" s="17" t="s">
        <v>196</v>
      </c>
      <c r="B49" s="17" t="s">
        <v>61</v>
      </c>
      <c r="C49" s="17" t="s">
        <v>113</v>
      </c>
      <c r="D49" s="17" t="s">
        <v>114</v>
      </c>
      <c r="E49" s="17" t="s">
        <v>101</v>
      </c>
      <c r="F49" s="17" t="s">
        <v>157</v>
      </c>
      <c r="G49" s="17">
        <v>396.94466460000001</v>
      </c>
      <c r="H49" s="17">
        <v>380.85359999999997</v>
      </c>
      <c r="I49" s="17" t="s">
        <v>115</v>
      </c>
    </row>
    <row r="50" spans="1:9" x14ac:dyDescent="0.3">
      <c r="A50" s="17" t="s">
        <v>196</v>
      </c>
      <c r="B50" s="17" t="s">
        <v>61</v>
      </c>
      <c r="C50" s="17" t="s">
        <v>113</v>
      </c>
      <c r="D50" s="17" t="s">
        <v>114</v>
      </c>
      <c r="E50" s="17" t="s">
        <v>101</v>
      </c>
      <c r="F50" s="17" t="s">
        <v>158</v>
      </c>
      <c r="G50" s="17">
        <v>94.680491399999994</v>
      </c>
      <c r="H50" s="17">
        <v>90.842399999999998</v>
      </c>
      <c r="I50" s="17" t="s">
        <v>115</v>
      </c>
    </row>
    <row r="51" spans="1:9" x14ac:dyDescent="0.3">
      <c r="A51" s="17" t="s">
        <v>196</v>
      </c>
      <c r="B51" s="17" t="s">
        <v>61</v>
      </c>
      <c r="C51" s="17" t="s">
        <v>113</v>
      </c>
      <c r="D51" s="17" t="s">
        <v>114</v>
      </c>
      <c r="E51" s="17" t="s">
        <v>101</v>
      </c>
      <c r="F51" s="17" t="s">
        <v>159</v>
      </c>
      <c r="G51" s="17">
        <v>30.123268388928</v>
      </c>
      <c r="H51" s="17">
        <v>28.902152447999999</v>
      </c>
      <c r="I51" s="17" t="s">
        <v>115</v>
      </c>
    </row>
    <row r="52" spans="1:9" x14ac:dyDescent="0.3">
      <c r="A52" s="17" t="s">
        <v>196</v>
      </c>
      <c r="B52" s="17" t="s">
        <v>61</v>
      </c>
      <c r="C52" s="17" t="s">
        <v>113</v>
      </c>
      <c r="D52" s="17" t="s">
        <v>114</v>
      </c>
      <c r="E52" s="17" t="s">
        <v>101</v>
      </c>
      <c r="F52" s="17" t="s">
        <v>160</v>
      </c>
      <c r="G52" s="17">
        <v>1090.9256795629501</v>
      </c>
      <c r="H52" s="17">
        <v>1046.702498981</v>
      </c>
      <c r="I52" s="17" t="s">
        <v>115</v>
      </c>
    </row>
    <row r="53" spans="1:9" x14ac:dyDescent="0.3">
      <c r="A53" s="17" t="s">
        <v>196</v>
      </c>
      <c r="B53" s="17" t="s">
        <v>61</v>
      </c>
      <c r="C53" s="17" t="s">
        <v>113</v>
      </c>
      <c r="D53" s="17" t="s">
        <v>114</v>
      </c>
      <c r="E53" s="17" t="s">
        <v>101</v>
      </c>
      <c r="F53" s="17" t="s">
        <v>188</v>
      </c>
      <c r="G53" s="17">
        <v>136.134339356997</v>
      </c>
      <c r="H53" s="17">
        <v>130.615820923</v>
      </c>
      <c r="I53" s="17" t="s">
        <v>115</v>
      </c>
    </row>
    <row r="54" spans="1:9" x14ac:dyDescent="0.3">
      <c r="A54" s="17" t="s">
        <v>196</v>
      </c>
      <c r="B54" s="17" t="s">
        <v>61</v>
      </c>
      <c r="C54" s="17" t="s">
        <v>113</v>
      </c>
      <c r="D54" s="17" t="s">
        <v>114</v>
      </c>
      <c r="E54" s="17" t="s">
        <v>101</v>
      </c>
      <c r="F54" s="17" t="s">
        <v>189</v>
      </c>
      <c r="G54" s="17">
        <v>46.519793879129999</v>
      </c>
      <c r="H54" s="17">
        <v>44.634007080000003</v>
      </c>
      <c r="I54" s="17" t="s">
        <v>115</v>
      </c>
    </row>
    <row r="55" spans="1:9" x14ac:dyDescent="0.3">
      <c r="A55" s="17" t="s">
        <v>196</v>
      </c>
      <c r="B55" s="17" t="s">
        <v>61</v>
      </c>
      <c r="C55" s="17" t="s">
        <v>113</v>
      </c>
      <c r="D55" s="17" t="s">
        <v>114</v>
      </c>
      <c r="E55" s="17" t="s">
        <v>190</v>
      </c>
      <c r="F55" s="17" t="s">
        <v>191</v>
      </c>
      <c r="G55" s="17">
        <v>84.979960012807197</v>
      </c>
      <c r="H55" s="17">
        <v>81.535101955200005</v>
      </c>
      <c r="I55" s="17" t="s">
        <v>115</v>
      </c>
    </row>
    <row r="56" spans="1:9" x14ac:dyDescent="0.3">
      <c r="A56" s="17" t="s">
        <v>196</v>
      </c>
      <c r="B56" s="17" t="s">
        <v>61</v>
      </c>
      <c r="C56" s="17" t="s">
        <v>113</v>
      </c>
      <c r="D56" s="17" t="s">
        <v>114</v>
      </c>
      <c r="E56" s="17" t="s">
        <v>102</v>
      </c>
      <c r="F56" s="17" t="s">
        <v>165</v>
      </c>
      <c r="G56" s="17">
        <v>24.658801199999999</v>
      </c>
      <c r="H56" s="17">
        <v>23.659199999999998</v>
      </c>
      <c r="I56" s="17" t="s">
        <v>115</v>
      </c>
    </row>
    <row r="57" spans="1:9" x14ac:dyDescent="0.3">
      <c r="A57" s="17" t="s">
        <v>196</v>
      </c>
      <c r="B57" s="17" t="s">
        <v>61</v>
      </c>
      <c r="C57" s="17" t="s">
        <v>113</v>
      </c>
      <c r="D57" s="17" t="s">
        <v>114</v>
      </c>
      <c r="E57" s="17" t="s">
        <v>102</v>
      </c>
      <c r="F57" s="17" t="s">
        <v>166</v>
      </c>
      <c r="G57" s="17">
        <v>216.386434136383</v>
      </c>
      <c r="H57" s="17">
        <v>207.61471253190899</v>
      </c>
      <c r="I57" s="17" t="s">
        <v>115</v>
      </c>
    </row>
    <row r="58" spans="1:9" x14ac:dyDescent="0.3">
      <c r="A58" s="17" t="s">
        <v>196</v>
      </c>
      <c r="B58" s="17" t="s">
        <v>61</v>
      </c>
      <c r="C58" s="17" t="s">
        <v>113</v>
      </c>
      <c r="D58" s="17" t="s">
        <v>114</v>
      </c>
      <c r="E58" s="17" t="s">
        <v>103</v>
      </c>
      <c r="F58" s="17" t="s">
        <v>103</v>
      </c>
      <c r="G58" s="17">
        <v>14.4414785504406</v>
      </c>
      <c r="H58" s="17">
        <v>13.8560600148147</v>
      </c>
      <c r="I58" s="17" t="s">
        <v>115</v>
      </c>
    </row>
    <row r="59" spans="1:9" x14ac:dyDescent="0.3">
      <c r="A59" s="17" t="s">
        <v>196</v>
      </c>
      <c r="B59" s="17" t="s">
        <v>61</v>
      </c>
      <c r="C59" s="17" t="s">
        <v>167</v>
      </c>
      <c r="D59" s="17" t="s">
        <v>168</v>
      </c>
      <c r="E59" s="17" t="s">
        <v>100</v>
      </c>
      <c r="F59" s="17" t="s">
        <v>100</v>
      </c>
      <c r="G59" s="17">
        <v>0</v>
      </c>
      <c r="H59" s="17">
        <v>0</v>
      </c>
      <c r="I59" s="17" t="s">
        <v>115</v>
      </c>
    </row>
    <row r="60" spans="1:9" x14ac:dyDescent="0.3">
      <c r="A60" s="17" t="s">
        <v>196</v>
      </c>
      <c r="B60" s="17" t="s">
        <v>61</v>
      </c>
      <c r="C60" s="17" t="s">
        <v>167</v>
      </c>
      <c r="D60" s="17" t="s">
        <v>114</v>
      </c>
      <c r="E60" s="17" t="s">
        <v>100</v>
      </c>
      <c r="F60" s="17" t="s">
        <v>100</v>
      </c>
      <c r="G60" s="17">
        <v>245.03714400000001</v>
      </c>
      <c r="H60" s="17">
        <v>235.10400000000001</v>
      </c>
      <c r="I60" s="17" t="s">
        <v>115</v>
      </c>
    </row>
    <row r="61" spans="1:9" x14ac:dyDescent="0.3">
      <c r="A61" s="17" t="s">
        <v>196</v>
      </c>
      <c r="B61" s="17" t="s">
        <v>62</v>
      </c>
      <c r="C61" s="17" t="s">
        <v>113</v>
      </c>
      <c r="D61" s="17" t="s">
        <v>114</v>
      </c>
      <c r="E61" s="17" t="s">
        <v>179</v>
      </c>
      <c r="F61" s="17" t="s">
        <v>179</v>
      </c>
      <c r="G61" s="17">
        <v>349.41177599999997</v>
      </c>
      <c r="H61" s="17">
        <v>335.32799999999997</v>
      </c>
      <c r="I61" s="17" t="s">
        <v>115</v>
      </c>
    </row>
    <row r="62" spans="1:9" x14ac:dyDescent="0.3">
      <c r="A62" s="17" t="s">
        <v>196</v>
      </c>
      <c r="B62" s="17" t="s">
        <v>62</v>
      </c>
      <c r="C62" s="17" t="s">
        <v>113</v>
      </c>
      <c r="D62" s="17" t="s">
        <v>114</v>
      </c>
      <c r="E62" s="17" t="s">
        <v>72</v>
      </c>
      <c r="F62" s="17" t="s">
        <v>180</v>
      </c>
      <c r="G62" s="17">
        <v>301.68512102966702</v>
      </c>
      <c r="H62" s="17">
        <v>289.52506816666698</v>
      </c>
      <c r="I62" s="17" t="s">
        <v>115</v>
      </c>
    </row>
    <row r="63" spans="1:9" x14ac:dyDescent="0.3">
      <c r="A63" s="17" t="s">
        <v>196</v>
      </c>
      <c r="B63" s="17" t="s">
        <v>62</v>
      </c>
      <c r="C63" s="17" t="s">
        <v>113</v>
      </c>
      <c r="D63" s="17" t="s">
        <v>114</v>
      </c>
      <c r="E63" s="17" t="s">
        <v>73</v>
      </c>
      <c r="F63" s="17" t="s">
        <v>169</v>
      </c>
      <c r="G63" s="17">
        <v>0</v>
      </c>
      <c r="H63" s="17">
        <v>0</v>
      </c>
      <c r="I63" s="17" t="s">
        <v>115</v>
      </c>
    </row>
    <row r="64" spans="1:9" x14ac:dyDescent="0.3">
      <c r="A64" s="17" t="s">
        <v>196</v>
      </c>
      <c r="B64" s="17" t="s">
        <v>62</v>
      </c>
      <c r="C64" s="17" t="s">
        <v>113</v>
      </c>
      <c r="D64" s="17" t="s">
        <v>114</v>
      </c>
      <c r="E64" s="17" t="s">
        <v>73</v>
      </c>
      <c r="F64" s="17" t="s">
        <v>117</v>
      </c>
      <c r="G64" s="17">
        <v>0</v>
      </c>
      <c r="H64" s="17">
        <v>0</v>
      </c>
      <c r="I64" s="17" t="s">
        <v>115</v>
      </c>
    </row>
    <row r="65" spans="1:9" x14ac:dyDescent="0.3">
      <c r="A65" s="17" t="s">
        <v>196</v>
      </c>
      <c r="B65" s="17" t="s">
        <v>62</v>
      </c>
      <c r="C65" s="17" t="s">
        <v>113</v>
      </c>
      <c r="D65" s="17" t="s">
        <v>114</v>
      </c>
      <c r="E65" s="17" t="s">
        <v>73</v>
      </c>
      <c r="F65" s="17" t="s">
        <v>181</v>
      </c>
      <c r="G65" s="17">
        <v>85.427328000000003</v>
      </c>
      <c r="H65" s="17">
        <v>81.983999999999995</v>
      </c>
      <c r="I65" s="17" t="s">
        <v>115</v>
      </c>
    </row>
    <row r="66" spans="1:9" x14ac:dyDescent="0.3">
      <c r="A66" s="17" t="s">
        <v>196</v>
      </c>
      <c r="B66" s="17" t="s">
        <v>62</v>
      </c>
      <c r="C66" s="17" t="s">
        <v>113</v>
      </c>
      <c r="D66" s="17" t="s">
        <v>114</v>
      </c>
      <c r="E66" s="17" t="s">
        <v>73</v>
      </c>
      <c r="F66" s="17" t="s">
        <v>118</v>
      </c>
      <c r="G66" s="17">
        <v>1933.4181484350599</v>
      </c>
      <c r="H66" s="17">
        <v>1855.4876664444</v>
      </c>
      <c r="I66" s="17" t="s">
        <v>115</v>
      </c>
    </row>
    <row r="67" spans="1:9" x14ac:dyDescent="0.3">
      <c r="A67" s="17" t="s">
        <v>196</v>
      </c>
      <c r="B67" s="17" t="s">
        <v>62</v>
      </c>
      <c r="C67" s="17" t="s">
        <v>113</v>
      </c>
      <c r="D67" s="17" t="s">
        <v>114</v>
      </c>
      <c r="E67" s="17" t="s">
        <v>73</v>
      </c>
      <c r="F67" s="17" t="s">
        <v>120</v>
      </c>
      <c r="G67" s="17">
        <v>30.5431953534247</v>
      </c>
      <c r="H67" s="17">
        <v>29.312087671232899</v>
      </c>
      <c r="I67" s="17" t="s">
        <v>115</v>
      </c>
    </row>
    <row r="68" spans="1:9" x14ac:dyDescent="0.3">
      <c r="A68" s="17" t="s">
        <v>196</v>
      </c>
      <c r="B68" s="17" t="s">
        <v>62</v>
      </c>
      <c r="C68" s="17" t="s">
        <v>113</v>
      </c>
      <c r="D68" s="17" t="s">
        <v>114</v>
      </c>
      <c r="E68" s="17" t="s">
        <v>74</v>
      </c>
      <c r="F68" s="17" t="s">
        <v>121</v>
      </c>
      <c r="G68" s="17">
        <v>34.722774399999999</v>
      </c>
      <c r="H68" s="17">
        <v>33.3232</v>
      </c>
      <c r="I68" s="17" t="s">
        <v>115</v>
      </c>
    </row>
    <row r="69" spans="1:9" x14ac:dyDescent="0.3">
      <c r="A69" s="17" t="s">
        <v>196</v>
      </c>
      <c r="B69" s="17" t="s">
        <v>62</v>
      </c>
      <c r="C69" s="17" t="s">
        <v>113</v>
      </c>
      <c r="D69" s="17" t="s">
        <v>114</v>
      </c>
      <c r="E69" s="17" t="s">
        <v>75</v>
      </c>
      <c r="F69" s="17" t="s">
        <v>75</v>
      </c>
      <c r="G69" s="17">
        <v>136.603068970816</v>
      </c>
      <c r="H69" s="17">
        <v>131.096995173528</v>
      </c>
      <c r="I69" s="17" t="s">
        <v>115</v>
      </c>
    </row>
    <row r="70" spans="1:9" x14ac:dyDescent="0.3">
      <c r="A70" s="17" t="s">
        <v>196</v>
      </c>
      <c r="B70" s="17" t="s">
        <v>62</v>
      </c>
      <c r="C70" s="17" t="s">
        <v>113</v>
      </c>
      <c r="D70" s="17" t="s">
        <v>114</v>
      </c>
      <c r="E70" s="17" t="s">
        <v>76</v>
      </c>
      <c r="F70" s="17" t="s">
        <v>122</v>
      </c>
      <c r="G70" s="17">
        <v>211.01437799999999</v>
      </c>
      <c r="H70" s="17">
        <v>202.50899999999999</v>
      </c>
      <c r="I70" s="17" t="s">
        <v>115</v>
      </c>
    </row>
    <row r="71" spans="1:9" x14ac:dyDescent="0.3">
      <c r="A71" s="17" t="s">
        <v>196</v>
      </c>
      <c r="B71" s="17" t="s">
        <v>62</v>
      </c>
      <c r="C71" s="17" t="s">
        <v>113</v>
      </c>
      <c r="D71" s="17" t="s">
        <v>114</v>
      </c>
      <c r="E71" s="17" t="s">
        <v>182</v>
      </c>
      <c r="F71" s="17" t="s">
        <v>183</v>
      </c>
      <c r="G71" s="17">
        <v>226.523216929032</v>
      </c>
      <c r="H71" s="17">
        <v>217.392722580645</v>
      </c>
      <c r="I71" s="17" t="s">
        <v>115</v>
      </c>
    </row>
    <row r="72" spans="1:9" x14ac:dyDescent="0.3">
      <c r="A72" s="17" t="s">
        <v>196</v>
      </c>
      <c r="B72" s="17" t="s">
        <v>62</v>
      </c>
      <c r="C72" s="17" t="s">
        <v>113</v>
      </c>
      <c r="D72" s="17" t="s">
        <v>114</v>
      </c>
      <c r="E72" s="17" t="s">
        <v>80</v>
      </c>
      <c r="F72" s="17" t="s">
        <v>80</v>
      </c>
      <c r="G72" s="17">
        <v>1.1253530765486499</v>
      </c>
      <c r="H72" s="17">
        <v>1.0799933556129</v>
      </c>
      <c r="I72" s="17" t="s">
        <v>115</v>
      </c>
    </row>
    <row r="73" spans="1:9" x14ac:dyDescent="0.3">
      <c r="A73" s="17" t="s">
        <v>196</v>
      </c>
      <c r="B73" s="17" t="s">
        <v>62</v>
      </c>
      <c r="C73" s="17" t="s">
        <v>113</v>
      </c>
      <c r="D73" s="17" t="s">
        <v>114</v>
      </c>
      <c r="E73" s="17" t="s">
        <v>77</v>
      </c>
      <c r="F73" s="17" t="s">
        <v>77</v>
      </c>
      <c r="G73" s="17">
        <v>1.4139940000000001E-4</v>
      </c>
      <c r="H73" s="17">
        <v>1.3569999999999999E-4</v>
      </c>
      <c r="I73" s="17" t="s">
        <v>115</v>
      </c>
    </row>
    <row r="74" spans="1:9" x14ac:dyDescent="0.3">
      <c r="A74" s="17" t="s">
        <v>196</v>
      </c>
      <c r="B74" s="17" t="s">
        <v>62</v>
      </c>
      <c r="C74" s="17" t="s">
        <v>113</v>
      </c>
      <c r="D74" s="17" t="s">
        <v>114</v>
      </c>
      <c r="E74" s="17" t="s">
        <v>79</v>
      </c>
      <c r="F74" s="17" t="s">
        <v>79</v>
      </c>
      <c r="G74" s="17">
        <v>19.170178181859502</v>
      </c>
      <c r="H74" s="17">
        <v>18.39748385975</v>
      </c>
      <c r="I74" s="17" t="s">
        <v>115</v>
      </c>
    </row>
    <row r="75" spans="1:9" x14ac:dyDescent="0.3">
      <c r="A75" s="17" t="s">
        <v>196</v>
      </c>
      <c r="B75" s="17" t="s">
        <v>62</v>
      </c>
      <c r="C75" s="17" t="s">
        <v>113</v>
      </c>
      <c r="D75" s="17" t="s">
        <v>114</v>
      </c>
      <c r="E75" s="17" t="s">
        <v>81</v>
      </c>
      <c r="F75" s="17" t="s">
        <v>81</v>
      </c>
      <c r="G75" s="17">
        <v>102.89714893019</v>
      </c>
      <c r="H75" s="17">
        <v>98.749663080796694</v>
      </c>
      <c r="I75" s="17" t="s">
        <v>115</v>
      </c>
    </row>
    <row r="76" spans="1:9" x14ac:dyDescent="0.3">
      <c r="A76" s="17" t="s">
        <v>196</v>
      </c>
      <c r="B76" s="17" t="s">
        <v>62</v>
      </c>
      <c r="C76" s="17" t="s">
        <v>113</v>
      </c>
      <c r="D76" s="17" t="s">
        <v>114</v>
      </c>
      <c r="E76" s="17" t="s">
        <v>82</v>
      </c>
      <c r="F76" s="17" t="s">
        <v>82</v>
      </c>
      <c r="G76" s="17">
        <v>148.19939516856999</v>
      </c>
      <c r="H76" s="17">
        <v>142.225907071564</v>
      </c>
      <c r="I76" s="17" t="s">
        <v>115</v>
      </c>
    </row>
    <row r="77" spans="1:9" x14ac:dyDescent="0.3">
      <c r="A77" s="17" t="s">
        <v>196</v>
      </c>
      <c r="B77" s="17" t="s">
        <v>62</v>
      </c>
      <c r="C77" s="17" t="s">
        <v>113</v>
      </c>
      <c r="D77" s="17" t="s">
        <v>114</v>
      </c>
      <c r="E77" s="17" t="s">
        <v>83</v>
      </c>
      <c r="F77" s="17" t="s">
        <v>127</v>
      </c>
      <c r="G77" s="17">
        <v>0.75864372077821396</v>
      </c>
      <c r="H77" s="17">
        <v>0.72806499114991796</v>
      </c>
      <c r="I77" s="17" t="s">
        <v>115</v>
      </c>
    </row>
    <row r="78" spans="1:9" x14ac:dyDescent="0.3">
      <c r="A78" s="17" t="s">
        <v>196</v>
      </c>
      <c r="B78" s="17" t="s">
        <v>62</v>
      </c>
      <c r="C78" s="17" t="s">
        <v>113</v>
      </c>
      <c r="D78" s="17" t="s">
        <v>114</v>
      </c>
      <c r="E78" s="17" t="s">
        <v>83</v>
      </c>
      <c r="F78" s="17" t="s">
        <v>128</v>
      </c>
      <c r="G78" s="17">
        <v>11.419052320807801</v>
      </c>
      <c r="H78" s="17">
        <v>10.9587834172819</v>
      </c>
      <c r="I78" s="17" t="s">
        <v>115</v>
      </c>
    </row>
    <row r="79" spans="1:9" x14ac:dyDescent="0.3">
      <c r="A79" s="17" t="s">
        <v>196</v>
      </c>
      <c r="B79" s="17" t="s">
        <v>62</v>
      </c>
      <c r="C79" s="17" t="s">
        <v>113</v>
      </c>
      <c r="D79" s="17" t="s">
        <v>114</v>
      </c>
      <c r="E79" s="17" t="s">
        <v>84</v>
      </c>
      <c r="F79" s="17" t="s">
        <v>129</v>
      </c>
      <c r="G79" s="17">
        <v>6740.4870094825501</v>
      </c>
      <c r="H79" s="17">
        <v>6468.7975138988004</v>
      </c>
      <c r="I79" s="17" t="s">
        <v>115</v>
      </c>
    </row>
    <row r="80" spans="1:9" x14ac:dyDescent="0.3">
      <c r="A80" s="17" t="s">
        <v>196</v>
      </c>
      <c r="B80" s="17" t="s">
        <v>62</v>
      </c>
      <c r="C80" s="17" t="s">
        <v>113</v>
      </c>
      <c r="D80" s="17" t="s">
        <v>114</v>
      </c>
      <c r="E80" s="17" t="s">
        <v>85</v>
      </c>
      <c r="F80" s="17" t="s">
        <v>85</v>
      </c>
      <c r="G80" s="17">
        <v>129.15345939980901</v>
      </c>
      <c r="H80" s="17">
        <v>123.94765777332999</v>
      </c>
      <c r="I80" s="17" t="s">
        <v>115</v>
      </c>
    </row>
    <row r="81" spans="1:9" x14ac:dyDescent="0.3">
      <c r="A81" s="17" t="s">
        <v>196</v>
      </c>
      <c r="B81" s="17" t="s">
        <v>62</v>
      </c>
      <c r="C81" s="17" t="s">
        <v>113</v>
      </c>
      <c r="D81" s="17" t="s">
        <v>114</v>
      </c>
      <c r="E81" s="17" t="s">
        <v>89</v>
      </c>
      <c r="F81" s="17" t="s">
        <v>89</v>
      </c>
      <c r="G81" s="17">
        <v>5.8819691280000003E-2</v>
      </c>
      <c r="H81" s="17">
        <v>5.644884E-2</v>
      </c>
      <c r="I81" s="17" t="s">
        <v>115</v>
      </c>
    </row>
    <row r="82" spans="1:9" x14ac:dyDescent="0.3">
      <c r="A82" s="17" t="s">
        <v>196</v>
      </c>
      <c r="B82" s="17" t="s">
        <v>62</v>
      </c>
      <c r="C82" s="17" t="s">
        <v>113</v>
      </c>
      <c r="D82" s="17" t="s">
        <v>114</v>
      </c>
      <c r="E82" s="17" t="s">
        <v>90</v>
      </c>
      <c r="F82" s="17" t="s">
        <v>90</v>
      </c>
      <c r="G82" s="17">
        <v>102.96210830757499</v>
      </c>
      <c r="H82" s="17">
        <v>98.812004133949301</v>
      </c>
      <c r="I82" s="17" t="s">
        <v>115</v>
      </c>
    </row>
    <row r="83" spans="1:9" x14ac:dyDescent="0.3">
      <c r="A83" s="17" t="s">
        <v>196</v>
      </c>
      <c r="B83" s="17" t="s">
        <v>62</v>
      </c>
      <c r="C83" s="17" t="s">
        <v>113</v>
      </c>
      <c r="D83" s="17" t="s">
        <v>114</v>
      </c>
      <c r="E83" s="17" t="s">
        <v>91</v>
      </c>
      <c r="F83" s="17" t="s">
        <v>91</v>
      </c>
      <c r="G83" s="17">
        <v>11.7274078971853</v>
      </c>
      <c r="H83" s="17">
        <v>11.2547100740742</v>
      </c>
      <c r="I83" s="17" t="s">
        <v>115</v>
      </c>
    </row>
    <row r="84" spans="1:9" x14ac:dyDescent="0.3">
      <c r="A84" s="17" t="s">
        <v>196</v>
      </c>
      <c r="B84" s="17" t="s">
        <v>62</v>
      </c>
      <c r="C84" s="17" t="s">
        <v>113</v>
      </c>
      <c r="D84" s="17" t="s">
        <v>114</v>
      </c>
      <c r="E84" s="17" t="s">
        <v>93</v>
      </c>
      <c r="F84" s="17" t="s">
        <v>130</v>
      </c>
      <c r="G84" s="17">
        <v>72.394098283999995</v>
      </c>
      <c r="H84" s="17">
        <v>69.476101999999997</v>
      </c>
      <c r="I84" s="17" t="s">
        <v>115</v>
      </c>
    </row>
    <row r="85" spans="1:9" x14ac:dyDescent="0.3">
      <c r="A85" s="17" t="s">
        <v>196</v>
      </c>
      <c r="B85" s="17" t="s">
        <v>62</v>
      </c>
      <c r="C85" s="17" t="s">
        <v>113</v>
      </c>
      <c r="D85" s="17" t="s">
        <v>114</v>
      </c>
      <c r="E85" s="17" t="s">
        <v>93</v>
      </c>
      <c r="F85" s="17" t="s">
        <v>131</v>
      </c>
      <c r="G85" s="17">
        <v>78.520326800000007</v>
      </c>
      <c r="H85" s="17">
        <v>75.355400000000003</v>
      </c>
      <c r="I85" s="17" t="s">
        <v>115</v>
      </c>
    </row>
    <row r="86" spans="1:9" x14ac:dyDescent="0.3">
      <c r="A86" s="17" t="s">
        <v>196</v>
      </c>
      <c r="B86" s="17" t="s">
        <v>62</v>
      </c>
      <c r="C86" s="17" t="s">
        <v>113</v>
      </c>
      <c r="D86" s="17" t="s">
        <v>114</v>
      </c>
      <c r="E86" s="17" t="s">
        <v>93</v>
      </c>
      <c r="F86" s="17" t="s">
        <v>184</v>
      </c>
      <c r="G86" s="17">
        <v>0.24530747327999999</v>
      </c>
      <c r="H86" s="17">
        <v>0.23541983999999999</v>
      </c>
      <c r="I86" s="17" t="s">
        <v>115</v>
      </c>
    </row>
    <row r="87" spans="1:9" x14ac:dyDescent="0.3">
      <c r="A87" s="17" t="s">
        <v>196</v>
      </c>
      <c r="B87" s="17" t="s">
        <v>62</v>
      </c>
      <c r="C87" s="17" t="s">
        <v>113</v>
      </c>
      <c r="D87" s="17" t="s">
        <v>114</v>
      </c>
      <c r="E87" s="17" t="s">
        <v>93</v>
      </c>
      <c r="F87" s="17" t="s">
        <v>132</v>
      </c>
      <c r="G87" s="17">
        <v>0.70197456000000003</v>
      </c>
      <c r="H87" s="17">
        <v>0.67367999999999995</v>
      </c>
      <c r="I87" s="17" t="s">
        <v>115</v>
      </c>
    </row>
    <row r="88" spans="1:9" x14ac:dyDescent="0.3">
      <c r="A88" s="17" t="s">
        <v>196</v>
      </c>
      <c r="B88" s="17" t="s">
        <v>62</v>
      </c>
      <c r="C88" s="17" t="s">
        <v>113</v>
      </c>
      <c r="D88" s="17" t="s">
        <v>114</v>
      </c>
      <c r="E88" s="17" t="s">
        <v>93</v>
      </c>
      <c r="F88" s="17" t="s">
        <v>134</v>
      </c>
      <c r="G88" s="17">
        <v>13.227858643999999</v>
      </c>
      <c r="H88" s="17">
        <v>12.694682</v>
      </c>
      <c r="I88" s="17" t="s">
        <v>115</v>
      </c>
    </row>
    <row r="89" spans="1:9" x14ac:dyDescent="0.3">
      <c r="A89" s="17" t="s">
        <v>196</v>
      </c>
      <c r="B89" s="17" t="s">
        <v>62</v>
      </c>
      <c r="C89" s="17" t="s">
        <v>113</v>
      </c>
      <c r="D89" s="17" t="s">
        <v>114</v>
      </c>
      <c r="E89" s="17" t="s">
        <v>93</v>
      </c>
      <c r="F89" s="17" t="s">
        <v>136</v>
      </c>
      <c r="G89" s="17">
        <v>35.074599489679997</v>
      </c>
      <c r="H89" s="17">
        <v>33.660844040000001</v>
      </c>
      <c r="I89" s="17" t="s">
        <v>115</v>
      </c>
    </row>
    <row r="90" spans="1:9" x14ac:dyDescent="0.3">
      <c r="A90" s="17" t="s">
        <v>196</v>
      </c>
      <c r="B90" s="17" t="s">
        <v>62</v>
      </c>
      <c r="C90" s="17" t="s">
        <v>113</v>
      </c>
      <c r="D90" s="17" t="s">
        <v>114</v>
      </c>
      <c r="E90" s="17" t="s">
        <v>93</v>
      </c>
      <c r="F90" s="17" t="s">
        <v>137</v>
      </c>
      <c r="G90" s="17">
        <v>67.504073559999995</v>
      </c>
      <c r="H90" s="17">
        <v>64.783180000000002</v>
      </c>
      <c r="I90" s="17" t="s">
        <v>115</v>
      </c>
    </row>
    <row r="91" spans="1:9" x14ac:dyDescent="0.3">
      <c r="A91" s="17" t="s">
        <v>196</v>
      </c>
      <c r="B91" s="17" t="s">
        <v>62</v>
      </c>
      <c r="C91" s="17" t="s">
        <v>113</v>
      </c>
      <c r="D91" s="17" t="s">
        <v>114</v>
      </c>
      <c r="E91" s="17" t="s">
        <v>95</v>
      </c>
      <c r="F91" s="17" t="s">
        <v>138</v>
      </c>
      <c r="G91" s="17">
        <v>397.30709760000002</v>
      </c>
      <c r="H91" s="17">
        <v>381.2928</v>
      </c>
      <c r="I91" s="17" t="s">
        <v>115</v>
      </c>
    </row>
    <row r="92" spans="1:9" x14ac:dyDescent="0.3">
      <c r="A92" s="17" t="s">
        <v>196</v>
      </c>
      <c r="B92" s="17" t="s">
        <v>62</v>
      </c>
      <c r="C92" s="17" t="s">
        <v>113</v>
      </c>
      <c r="D92" s="17" t="s">
        <v>114</v>
      </c>
      <c r="E92" s="17" t="s">
        <v>95</v>
      </c>
      <c r="F92" s="17" t="s">
        <v>185</v>
      </c>
      <c r="G92" s="17">
        <v>9.1029119999999999</v>
      </c>
      <c r="H92" s="17">
        <v>8.7360000000000007</v>
      </c>
      <c r="I92" s="17" t="s">
        <v>115</v>
      </c>
    </row>
    <row r="93" spans="1:9" x14ac:dyDescent="0.3">
      <c r="A93" s="17" t="s">
        <v>196</v>
      </c>
      <c r="B93" s="17" t="s">
        <v>62</v>
      </c>
      <c r="C93" s="17" t="s">
        <v>113</v>
      </c>
      <c r="D93" s="17" t="s">
        <v>114</v>
      </c>
      <c r="E93" s="17" t="s">
        <v>96</v>
      </c>
      <c r="F93" s="17" t="s">
        <v>96</v>
      </c>
      <c r="G93" s="17">
        <v>4.6551654264E-2</v>
      </c>
      <c r="H93" s="17">
        <v>4.4675291999999998E-2</v>
      </c>
      <c r="I93" s="17" t="s">
        <v>115</v>
      </c>
    </row>
    <row r="94" spans="1:9" x14ac:dyDescent="0.3">
      <c r="A94" s="17" t="s">
        <v>196</v>
      </c>
      <c r="B94" s="17" t="s">
        <v>62</v>
      </c>
      <c r="C94" s="17" t="s">
        <v>113</v>
      </c>
      <c r="D94" s="17" t="s">
        <v>114</v>
      </c>
      <c r="E94" s="17" t="s">
        <v>97</v>
      </c>
      <c r="F94" s="17" t="s">
        <v>97</v>
      </c>
      <c r="G94" s="17">
        <v>27.717199999999998</v>
      </c>
      <c r="H94" s="17">
        <v>26.6</v>
      </c>
      <c r="I94" s="17" t="s">
        <v>115</v>
      </c>
    </row>
    <row r="95" spans="1:9" x14ac:dyDescent="0.3">
      <c r="A95" s="17" t="s">
        <v>196</v>
      </c>
      <c r="B95" s="17" t="s">
        <v>62</v>
      </c>
      <c r="C95" s="17" t="s">
        <v>113</v>
      </c>
      <c r="D95" s="17" t="s">
        <v>114</v>
      </c>
      <c r="E95" s="17" t="s">
        <v>99</v>
      </c>
      <c r="F95" s="17" t="s">
        <v>142</v>
      </c>
      <c r="G95" s="17">
        <v>2.7955356946259999</v>
      </c>
      <c r="H95" s="17">
        <v>2.6828557530000001</v>
      </c>
      <c r="I95" s="17" t="s">
        <v>115</v>
      </c>
    </row>
    <row r="96" spans="1:9" x14ac:dyDescent="0.3">
      <c r="A96" s="17" t="s">
        <v>196</v>
      </c>
      <c r="B96" s="17" t="s">
        <v>62</v>
      </c>
      <c r="C96" s="17" t="s">
        <v>113</v>
      </c>
      <c r="D96" s="17" t="s">
        <v>114</v>
      </c>
      <c r="E96" s="17" t="s">
        <v>99</v>
      </c>
      <c r="F96" s="17" t="s">
        <v>143</v>
      </c>
      <c r="G96" s="17">
        <v>1.7595612390583999</v>
      </c>
      <c r="H96" s="17">
        <v>1.6886384252</v>
      </c>
      <c r="I96" s="17" t="s">
        <v>115</v>
      </c>
    </row>
    <row r="97" spans="1:9" x14ac:dyDescent="0.3">
      <c r="A97" s="17" t="s">
        <v>196</v>
      </c>
      <c r="B97" s="17" t="s">
        <v>62</v>
      </c>
      <c r="C97" s="17" t="s">
        <v>113</v>
      </c>
      <c r="D97" s="17" t="s">
        <v>114</v>
      </c>
      <c r="E97" s="17" t="s">
        <v>99</v>
      </c>
      <c r="F97" s="17" t="s">
        <v>144</v>
      </c>
      <c r="G97" s="17">
        <v>1.2402508545624</v>
      </c>
      <c r="H97" s="17">
        <v>1.1902599372</v>
      </c>
      <c r="I97" s="17" t="s">
        <v>115</v>
      </c>
    </row>
    <row r="98" spans="1:9" x14ac:dyDescent="0.3">
      <c r="A98" s="17" t="s">
        <v>196</v>
      </c>
      <c r="B98" s="17" t="s">
        <v>62</v>
      </c>
      <c r="C98" s="17" t="s">
        <v>113</v>
      </c>
      <c r="D98" s="17" t="s">
        <v>114</v>
      </c>
      <c r="E98" s="17" t="s">
        <v>99</v>
      </c>
      <c r="F98" s="17" t="s">
        <v>145</v>
      </c>
      <c r="G98" s="17">
        <v>2.1846988799999999E-5</v>
      </c>
      <c r="H98" s="17">
        <v>2.09664E-5</v>
      </c>
      <c r="I98" s="17" t="s">
        <v>115</v>
      </c>
    </row>
    <row r="99" spans="1:9" x14ac:dyDescent="0.3">
      <c r="A99" s="17" t="s">
        <v>196</v>
      </c>
      <c r="B99" s="17" t="s">
        <v>62</v>
      </c>
      <c r="C99" s="17" t="s">
        <v>113</v>
      </c>
      <c r="D99" s="17" t="s">
        <v>114</v>
      </c>
      <c r="E99" s="17" t="s">
        <v>99</v>
      </c>
      <c r="F99" s="17" t="s">
        <v>147</v>
      </c>
      <c r="G99" s="17">
        <v>0.70896764123680001</v>
      </c>
      <c r="H99" s="17">
        <v>0.68039121039999995</v>
      </c>
      <c r="I99" s="17" t="s">
        <v>115</v>
      </c>
    </row>
    <row r="100" spans="1:9" x14ac:dyDescent="0.3">
      <c r="A100" s="17" t="s">
        <v>196</v>
      </c>
      <c r="B100" s="17" t="s">
        <v>62</v>
      </c>
      <c r="C100" s="17" t="s">
        <v>113</v>
      </c>
      <c r="D100" s="17" t="s">
        <v>114</v>
      </c>
      <c r="E100" s="17" t="s">
        <v>99</v>
      </c>
      <c r="F100" s="17" t="s">
        <v>148</v>
      </c>
      <c r="G100" s="17">
        <v>282.42127022891202</v>
      </c>
      <c r="H100" s="17">
        <v>271.03768735979997</v>
      </c>
      <c r="I100" s="17" t="s">
        <v>115</v>
      </c>
    </row>
    <row r="101" spans="1:9" x14ac:dyDescent="0.3">
      <c r="A101" s="17" t="s">
        <v>196</v>
      </c>
      <c r="B101" s="17" t="s">
        <v>62</v>
      </c>
      <c r="C101" s="17" t="s">
        <v>113</v>
      </c>
      <c r="D101" s="17" t="s">
        <v>114</v>
      </c>
      <c r="E101" s="17" t="s">
        <v>99</v>
      </c>
      <c r="F101" s="17" t="s">
        <v>150</v>
      </c>
      <c r="G101" s="17">
        <v>7.0828032720000001E-3</v>
      </c>
      <c r="H101" s="17">
        <v>6.7973160000000003E-3</v>
      </c>
      <c r="I101" s="17" t="s">
        <v>115</v>
      </c>
    </row>
    <row r="102" spans="1:9" x14ac:dyDescent="0.3">
      <c r="A102" s="17" t="s">
        <v>196</v>
      </c>
      <c r="B102" s="17" t="s">
        <v>62</v>
      </c>
      <c r="C102" s="17" t="s">
        <v>113</v>
      </c>
      <c r="D102" s="17" t="s">
        <v>114</v>
      </c>
      <c r="E102" s="17" t="s">
        <v>99</v>
      </c>
      <c r="F102" s="17" t="s">
        <v>151</v>
      </c>
      <c r="G102" s="17">
        <v>6.6023100258480003</v>
      </c>
      <c r="H102" s="17">
        <v>6.3361900440000003</v>
      </c>
      <c r="I102" s="17" t="s">
        <v>115</v>
      </c>
    </row>
    <row r="103" spans="1:9" x14ac:dyDescent="0.3">
      <c r="A103" s="17" t="s">
        <v>196</v>
      </c>
      <c r="B103" s="17" t="s">
        <v>62</v>
      </c>
      <c r="C103" s="17" t="s">
        <v>113</v>
      </c>
      <c r="D103" s="17" t="s">
        <v>114</v>
      </c>
      <c r="E103" s="17" t="s">
        <v>99</v>
      </c>
      <c r="F103" s="17" t="s">
        <v>152</v>
      </c>
      <c r="G103" s="17">
        <v>30.520576025124999</v>
      </c>
      <c r="H103" s="17">
        <v>29.290380062499999</v>
      </c>
      <c r="I103" s="17" t="s">
        <v>115</v>
      </c>
    </row>
    <row r="104" spans="1:9" x14ac:dyDescent="0.3">
      <c r="A104" s="17" t="s">
        <v>196</v>
      </c>
      <c r="B104" s="17" t="s">
        <v>62</v>
      </c>
      <c r="C104" s="17" t="s">
        <v>113</v>
      </c>
      <c r="D104" s="17" t="s">
        <v>114</v>
      </c>
      <c r="E104" s="17" t="s">
        <v>99</v>
      </c>
      <c r="F104" s="17" t="s">
        <v>153</v>
      </c>
      <c r="G104" s="17">
        <v>1.3818164148E-3</v>
      </c>
      <c r="H104" s="17">
        <v>1.3261194000000001E-3</v>
      </c>
      <c r="I104" s="17" t="s">
        <v>115</v>
      </c>
    </row>
    <row r="105" spans="1:9" x14ac:dyDescent="0.3">
      <c r="A105" s="17" t="s">
        <v>196</v>
      </c>
      <c r="B105" s="17" t="s">
        <v>62</v>
      </c>
      <c r="C105" s="17" t="s">
        <v>113</v>
      </c>
      <c r="D105" s="17" t="s">
        <v>114</v>
      </c>
      <c r="E105" s="17" t="s">
        <v>99</v>
      </c>
      <c r="F105" s="17" t="s">
        <v>154</v>
      </c>
      <c r="G105" s="17">
        <v>6.7462035112E-3</v>
      </c>
      <c r="H105" s="17">
        <v>6.4742836000000002E-3</v>
      </c>
      <c r="I105" s="17" t="s">
        <v>115</v>
      </c>
    </row>
    <row r="106" spans="1:9" x14ac:dyDescent="0.3">
      <c r="A106" s="17" t="s">
        <v>196</v>
      </c>
      <c r="B106" s="17" t="s">
        <v>62</v>
      </c>
      <c r="C106" s="17" t="s">
        <v>113</v>
      </c>
      <c r="D106" s="17" t="s">
        <v>114</v>
      </c>
      <c r="E106" s="17" t="s">
        <v>101</v>
      </c>
      <c r="F106" s="17" t="s">
        <v>186</v>
      </c>
      <c r="G106" s="17">
        <v>1685.83572302264</v>
      </c>
      <c r="H106" s="17">
        <v>1617.8845710390001</v>
      </c>
      <c r="I106" s="17" t="s">
        <v>115</v>
      </c>
    </row>
    <row r="107" spans="1:9" x14ac:dyDescent="0.3">
      <c r="A107" s="17" t="s">
        <v>196</v>
      </c>
      <c r="B107" s="17" t="s">
        <v>62</v>
      </c>
      <c r="C107" s="17" t="s">
        <v>113</v>
      </c>
      <c r="D107" s="17" t="s">
        <v>114</v>
      </c>
      <c r="E107" s="17" t="s">
        <v>101</v>
      </c>
      <c r="F107" s="17" t="s">
        <v>155</v>
      </c>
      <c r="G107" s="17">
        <v>131.547815975758</v>
      </c>
      <c r="H107" s="17">
        <v>126.2455047752</v>
      </c>
      <c r="I107" s="17" t="s">
        <v>115</v>
      </c>
    </row>
    <row r="108" spans="1:9" x14ac:dyDescent="0.3">
      <c r="A108" s="17" t="s">
        <v>196</v>
      </c>
      <c r="B108" s="17" t="s">
        <v>62</v>
      </c>
      <c r="C108" s="17" t="s">
        <v>113</v>
      </c>
      <c r="D108" s="17" t="s">
        <v>114</v>
      </c>
      <c r="E108" s="17" t="s">
        <v>101</v>
      </c>
      <c r="F108" s="17" t="s">
        <v>187</v>
      </c>
      <c r="G108" s="17">
        <v>179.16067761852801</v>
      </c>
      <c r="H108" s="17">
        <v>171.93922996020001</v>
      </c>
      <c r="I108" s="17" t="s">
        <v>115</v>
      </c>
    </row>
    <row r="109" spans="1:9" x14ac:dyDescent="0.3">
      <c r="A109" s="17" t="s">
        <v>196</v>
      </c>
      <c r="B109" s="17" t="s">
        <v>62</v>
      </c>
      <c r="C109" s="17" t="s">
        <v>113</v>
      </c>
      <c r="D109" s="17" t="s">
        <v>114</v>
      </c>
      <c r="E109" s="17" t="s">
        <v>101</v>
      </c>
      <c r="F109" s="17" t="s">
        <v>157</v>
      </c>
      <c r="G109" s="17">
        <v>358.43578609352898</v>
      </c>
      <c r="H109" s="17">
        <v>343.98827840069998</v>
      </c>
      <c r="I109" s="17" t="s">
        <v>115</v>
      </c>
    </row>
    <row r="110" spans="1:9" x14ac:dyDescent="0.3">
      <c r="A110" s="17" t="s">
        <v>196</v>
      </c>
      <c r="B110" s="17" t="s">
        <v>62</v>
      </c>
      <c r="C110" s="17" t="s">
        <v>113</v>
      </c>
      <c r="D110" s="17" t="s">
        <v>114</v>
      </c>
      <c r="E110" s="17" t="s">
        <v>101</v>
      </c>
      <c r="F110" s="17" t="s">
        <v>158</v>
      </c>
      <c r="G110" s="17">
        <v>85.497350400000002</v>
      </c>
      <c r="H110" s="17">
        <v>82.051199999999994</v>
      </c>
      <c r="I110" s="17" t="s">
        <v>115</v>
      </c>
    </row>
    <row r="111" spans="1:9" x14ac:dyDescent="0.3">
      <c r="A111" s="17" t="s">
        <v>196</v>
      </c>
      <c r="B111" s="17" t="s">
        <v>62</v>
      </c>
      <c r="C111" s="17" t="s">
        <v>113</v>
      </c>
      <c r="D111" s="17" t="s">
        <v>114</v>
      </c>
      <c r="E111" s="17" t="s">
        <v>101</v>
      </c>
      <c r="F111" s="17" t="s">
        <v>159</v>
      </c>
      <c r="G111" s="17">
        <v>8.0058453009600008</v>
      </c>
      <c r="H111" s="17">
        <v>7.6831528799999997</v>
      </c>
      <c r="I111" s="17" t="s">
        <v>115</v>
      </c>
    </row>
    <row r="112" spans="1:9" x14ac:dyDescent="0.3">
      <c r="A112" s="17" t="s">
        <v>196</v>
      </c>
      <c r="B112" s="17" t="s">
        <v>62</v>
      </c>
      <c r="C112" s="17" t="s">
        <v>113</v>
      </c>
      <c r="D112" s="17" t="s">
        <v>114</v>
      </c>
      <c r="E112" s="17" t="s">
        <v>101</v>
      </c>
      <c r="F112" s="17" t="s">
        <v>160</v>
      </c>
      <c r="G112" s="17">
        <v>985.17164644943398</v>
      </c>
      <c r="H112" s="17">
        <v>945.46223267699997</v>
      </c>
      <c r="I112" s="17" t="s">
        <v>115</v>
      </c>
    </row>
    <row r="113" spans="1:9" x14ac:dyDescent="0.3">
      <c r="A113" s="17" t="s">
        <v>196</v>
      </c>
      <c r="B113" s="17" t="s">
        <v>62</v>
      </c>
      <c r="C113" s="17" t="s">
        <v>113</v>
      </c>
      <c r="D113" s="17" t="s">
        <v>114</v>
      </c>
      <c r="E113" s="17" t="s">
        <v>101</v>
      </c>
      <c r="F113" s="17" t="s">
        <v>188</v>
      </c>
      <c r="G113" s="17">
        <v>166.633502669292</v>
      </c>
      <c r="H113" s="17">
        <v>159.916989126</v>
      </c>
      <c r="I113" s="17" t="s">
        <v>115</v>
      </c>
    </row>
    <row r="114" spans="1:9" x14ac:dyDescent="0.3">
      <c r="A114" s="17" t="s">
        <v>196</v>
      </c>
      <c r="B114" s="17" t="s">
        <v>62</v>
      </c>
      <c r="C114" s="17" t="s">
        <v>113</v>
      </c>
      <c r="D114" s="17" t="s">
        <v>114</v>
      </c>
      <c r="E114" s="17" t="s">
        <v>101</v>
      </c>
      <c r="F114" s="17" t="s">
        <v>189</v>
      </c>
      <c r="G114" s="17">
        <v>41.947797688679998</v>
      </c>
      <c r="H114" s="17">
        <v>40.257003539999999</v>
      </c>
      <c r="I114" s="17" t="s">
        <v>115</v>
      </c>
    </row>
    <row r="115" spans="1:9" x14ac:dyDescent="0.3">
      <c r="A115" s="17" t="s">
        <v>196</v>
      </c>
      <c r="B115" s="17" t="s">
        <v>62</v>
      </c>
      <c r="C115" s="17" t="s">
        <v>113</v>
      </c>
      <c r="D115" s="17" t="s">
        <v>114</v>
      </c>
      <c r="E115" s="17" t="s">
        <v>190</v>
      </c>
      <c r="F115" s="17" t="s">
        <v>191</v>
      </c>
      <c r="G115" s="17">
        <v>76.742649259329596</v>
      </c>
      <c r="H115" s="17">
        <v>73.649375488800004</v>
      </c>
      <c r="I115" s="17" t="s">
        <v>115</v>
      </c>
    </row>
    <row r="116" spans="1:9" x14ac:dyDescent="0.3">
      <c r="A116" s="17" t="s">
        <v>196</v>
      </c>
      <c r="B116" s="17" t="s">
        <v>62</v>
      </c>
      <c r="C116" s="17" t="s">
        <v>113</v>
      </c>
      <c r="D116" s="17" t="s">
        <v>114</v>
      </c>
      <c r="E116" s="17" t="s">
        <v>102</v>
      </c>
      <c r="F116" s="17" t="s">
        <v>165</v>
      </c>
      <c r="G116" s="17">
        <v>23.267022912194399</v>
      </c>
      <c r="H116" s="17">
        <v>22.329196652777799</v>
      </c>
      <c r="I116" s="17" t="s">
        <v>115</v>
      </c>
    </row>
    <row r="117" spans="1:9" x14ac:dyDescent="0.3">
      <c r="A117" s="17" t="s">
        <v>196</v>
      </c>
      <c r="B117" s="17" t="s">
        <v>62</v>
      </c>
      <c r="C117" s="17" t="s">
        <v>113</v>
      </c>
      <c r="D117" s="17" t="s">
        <v>114</v>
      </c>
      <c r="E117" s="17" t="s">
        <v>102</v>
      </c>
      <c r="F117" s="17" t="s">
        <v>166</v>
      </c>
      <c r="G117" s="17">
        <v>210.95936152116201</v>
      </c>
      <c r="H117" s="17">
        <v>202.45620107597099</v>
      </c>
      <c r="I117" s="17" t="s">
        <v>115</v>
      </c>
    </row>
    <row r="118" spans="1:9" x14ac:dyDescent="0.3">
      <c r="A118" s="17" t="s">
        <v>196</v>
      </c>
      <c r="B118" s="17" t="s">
        <v>62</v>
      </c>
      <c r="C118" s="17" t="s">
        <v>113</v>
      </c>
      <c r="D118" s="17" t="s">
        <v>114</v>
      </c>
      <c r="E118" s="17" t="s">
        <v>103</v>
      </c>
      <c r="F118" s="17" t="s">
        <v>103</v>
      </c>
      <c r="G118" s="17">
        <v>27.688023999999999</v>
      </c>
      <c r="H118" s="17">
        <v>26.571999999999999</v>
      </c>
      <c r="I118" s="17" t="s">
        <v>115</v>
      </c>
    </row>
    <row r="119" spans="1:9" x14ac:dyDescent="0.3">
      <c r="A119" s="17" t="s">
        <v>196</v>
      </c>
      <c r="B119" s="17" t="s">
        <v>62</v>
      </c>
      <c r="C119" s="17" t="s">
        <v>167</v>
      </c>
      <c r="D119" s="17" t="s">
        <v>168</v>
      </c>
      <c r="E119" s="17" t="s">
        <v>100</v>
      </c>
      <c r="F119" s="17" t="s">
        <v>100</v>
      </c>
      <c r="G119" s="17">
        <v>0</v>
      </c>
      <c r="H119" s="17">
        <v>0</v>
      </c>
      <c r="I119" s="17" t="s">
        <v>115</v>
      </c>
    </row>
    <row r="120" spans="1:9" x14ac:dyDescent="0.3">
      <c r="A120" s="17" t="s">
        <v>196</v>
      </c>
      <c r="B120" s="17" t="s">
        <v>62</v>
      </c>
      <c r="C120" s="17" t="s">
        <v>167</v>
      </c>
      <c r="D120" s="17" t="s">
        <v>114</v>
      </c>
      <c r="E120" s="17" t="s">
        <v>100</v>
      </c>
      <c r="F120" s="17" t="s">
        <v>100</v>
      </c>
      <c r="G120" s="17">
        <v>221.27078399999999</v>
      </c>
      <c r="H120" s="17">
        <v>212.352</v>
      </c>
      <c r="I120" s="17" t="s">
        <v>115</v>
      </c>
    </row>
    <row r="121" spans="1:9" x14ac:dyDescent="0.3">
      <c r="A121" s="17" t="s">
        <v>196</v>
      </c>
      <c r="B121" s="17" t="s">
        <v>63</v>
      </c>
      <c r="C121" s="17" t="s">
        <v>113</v>
      </c>
      <c r="D121" s="17" t="s">
        <v>114</v>
      </c>
      <c r="E121" s="17" t="s">
        <v>179</v>
      </c>
      <c r="F121" s="17" t="s">
        <v>179</v>
      </c>
      <c r="G121" s="17">
        <v>390.06011640000003</v>
      </c>
      <c r="H121" s="17">
        <v>371.25599999999997</v>
      </c>
      <c r="I121" s="17" t="s">
        <v>115</v>
      </c>
    </row>
    <row r="122" spans="1:9" x14ac:dyDescent="0.3">
      <c r="A122" s="17" t="s">
        <v>196</v>
      </c>
      <c r="B122" s="17" t="s">
        <v>63</v>
      </c>
      <c r="C122" s="17" t="s">
        <v>113</v>
      </c>
      <c r="D122" s="17" t="s">
        <v>114</v>
      </c>
      <c r="E122" s="17" t="s">
        <v>71</v>
      </c>
      <c r="F122" s="17" t="s">
        <v>71</v>
      </c>
      <c r="G122" s="17">
        <v>25.2912468</v>
      </c>
      <c r="H122" s="17">
        <v>24.071999999999999</v>
      </c>
      <c r="I122" s="17" t="s">
        <v>115</v>
      </c>
    </row>
    <row r="123" spans="1:9" x14ac:dyDescent="0.3">
      <c r="A123" s="17" t="s">
        <v>196</v>
      </c>
      <c r="B123" s="17" t="s">
        <v>63</v>
      </c>
      <c r="C123" s="17" t="s">
        <v>113</v>
      </c>
      <c r="D123" s="17" t="s">
        <v>114</v>
      </c>
      <c r="E123" s="17" t="s">
        <v>72</v>
      </c>
      <c r="F123" s="17" t="s">
        <v>180</v>
      </c>
      <c r="G123" s="17">
        <v>336.93689894400001</v>
      </c>
      <c r="H123" s="17">
        <v>320.69376</v>
      </c>
      <c r="I123" s="17" t="s">
        <v>115</v>
      </c>
    </row>
    <row r="124" spans="1:9" x14ac:dyDescent="0.3">
      <c r="A124" s="17" t="s">
        <v>196</v>
      </c>
      <c r="B124" s="17" t="s">
        <v>63</v>
      </c>
      <c r="C124" s="17" t="s">
        <v>113</v>
      </c>
      <c r="D124" s="17" t="s">
        <v>114</v>
      </c>
      <c r="E124" s="17" t="s">
        <v>73</v>
      </c>
      <c r="F124" s="17" t="s">
        <v>117</v>
      </c>
      <c r="G124" s="17">
        <v>0</v>
      </c>
      <c r="H124" s="17">
        <v>0</v>
      </c>
      <c r="I124" s="17" t="s">
        <v>115</v>
      </c>
    </row>
    <row r="125" spans="1:9" x14ac:dyDescent="0.3">
      <c r="A125" s="17" t="s">
        <v>196</v>
      </c>
      <c r="B125" s="17" t="s">
        <v>63</v>
      </c>
      <c r="C125" s="17" t="s">
        <v>113</v>
      </c>
      <c r="D125" s="17" t="s">
        <v>114</v>
      </c>
      <c r="E125" s="17" t="s">
        <v>73</v>
      </c>
      <c r="F125" s="17" t="s">
        <v>181</v>
      </c>
      <c r="G125" s="17">
        <v>95.365399199999999</v>
      </c>
      <c r="H125" s="17">
        <v>90.768000000000001</v>
      </c>
      <c r="I125" s="17" t="s">
        <v>115</v>
      </c>
    </row>
    <row r="126" spans="1:9" x14ac:dyDescent="0.3">
      <c r="A126" s="17" t="s">
        <v>196</v>
      </c>
      <c r="B126" s="17" t="s">
        <v>63</v>
      </c>
      <c r="C126" s="17" t="s">
        <v>113</v>
      </c>
      <c r="D126" s="17" t="s">
        <v>114</v>
      </c>
      <c r="E126" s="17" t="s">
        <v>73</v>
      </c>
      <c r="F126" s="17" t="s">
        <v>118</v>
      </c>
      <c r="G126" s="17">
        <v>526.84692956399999</v>
      </c>
      <c r="H126" s="17">
        <v>501.44855999999999</v>
      </c>
      <c r="I126" s="17" t="s">
        <v>115</v>
      </c>
    </row>
    <row r="127" spans="1:9" x14ac:dyDescent="0.3">
      <c r="A127" s="17" t="s">
        <v>196</v>
      </c>
      <c r="B127" s="17" t="s">
        <v>63</v>
      </c>
      <c r="C127" s="17" t="s">
        <v>113</v>
      </c>
      <c r="D127" s="17" t="s">
        <v>114</v>
      </c>
      <c r="E127" s="17" t="s">
        <v>73</v>
      </c>
      <c r="F127" s="17" t="s">
        <v>120</v>
      </c>
      <c r="G127" s="17">
        <v>34.096396152328801</v>
      </c>
      <c r="H127" s="17">
        <v>32.452668493150703</v>
      </c>
      <c r="I127" s="17" t="s">
        <v>115</v>
      </c>
    </row>
    <row r="128" spans="1:9" x14ac:dyDescent="0.3">
      <c r="A128" s="17" t="s">
        <v>196</v>
      </c>
      <c r="B128" s="17" t="s">
        <v>63</v>
      </c>
      <c r="C128" s="17" t="s">
        <v>113</v>
      </c>
      <c r="D128" s="17" t="s">
        <v>114</v>
      </c>
      <c r="E128" s="17" t="s">
        <v>74</v>
      </c>
      <c r="F128" s="17" t="s">
        <v>121</v>
      </c>
      <c r="G128" s="17">
        <v>42.257458194999998</v>
      </c>
      <c r="H128" s="17">
        <v>40.220300000000002</v>
      </c>
      <c r="I128" s="17" t="s">
        <v>115</v>
      </c>
    </row>
    <row r="129" spans="1:9" x14ac:dyDescent="0.3">
      <c r="A129" s="17" t="s">
        <v>196</v>
      </c>
      <c r="B129" s="17" t="s">
        <v>63</v>
      </c>
      <c r="C129" s="17" t="s">
        <v>113</v>
      </c>
      <c r="D129" s="17" t="s">
        <v>114</v>
      </c>
      <c r="E129" s="17" t="s">
        <v>76</v>
      </c>
      <c r="F129" s="17" t="s">
        <v>122</v>
      </c>
      <c r="G129" s="17">
        <v>232.550871</v>
      </c>
      <c r="H129" s="17">
        <v>221.34</v>
      </c>
      <c r="I129" s="17" t="s">
        <v>115</v>
      </c>
    </row>
    <row r="130" spans="1:9" x14ac:dyDescent="0.3">
      <c r="A130" s="17" t="s">
        <v>196</v>
      </c>
      <c r="B130" s="17" t="s">
        <v>63</v>
      </c>
      <c r="C130" s="17" t="s">
        <v>113</v>
      </c>
      <c r="D130" s="17" t="s">
        <v>114</v>
      </c>
      <c r="E130" s="17" t="s">
        <v>182</v>
      </c>
      <c r="F130" s="17" t="s">
        <v>183</v>
      </c>
      <c r="G130" s="17">
        <v>252.87548512000001</v>
      </c>
      <c r="H130" s="17">
        <v>240.6848</v>
      </c>
      <c r="I130" s="17" t="s">
        <v>115</v>
      </c>
    </row>
    <row r="131" spans="1:9" x14ac:dyDescent="0.3">
      <c r="A131" s="17" t="s">
        <v>196</v>
      </c>
      <c r="B131" s="17" t="s">
        <v>63</v>
      </c>
      <c r="C131" s="17" t="s">
        <v>113</v>
      </c>
      <c r="D131" s="17" t="s">
        <v>114</v>
      </c>
      <c r="E131" s="17" t="s">
        <v>80</v>
      </c>
      <c r="F131" s="17" t="s">
        <v>80</v>
      </c>
      <c r="G131" s="17">
        <v>1.259517728077</v>
      </c>
      <c r="H131" s="17">
        <v>1.1987985800000001</v>
      </c>
      <c r="I131" s="17" t="s">
        <v>115</v>
      </c>
    </row>
    <row r="132" spans="1:9" x14ac:dyDescent="0.3">
      <c r="A132" s="17" t="s">
        <v>196</v>
      </c>
      <c r="B132" s="17" t="s">
        <v>63</v>
      </c>
      <c r="C132" s="17" t="s">
        <v>113</v>
      </c>
      <c r="D132" s="17" t="s">
        <v>114</v>
      </c>
      <c r="E132" s="17" t="s">
        <v>77</v>
      </c>
      <c r="F132" s="17" t="s">
        <v>77</v>
      </c>
      <c r="G132" s="17">
        <v>1.5497087499999999E-4</v>
      </c>
      <c r="H132" s="17">
        <v>1.4750000000000001E-4</v>
      </c>
      <c r="I132" s="17" t="s">
        <v>115</v>
      </c>
    </row>
    <row r="133" spans="1:9" x14ac:dyDescent="0.3">
      <c r="A133" s="17" t="s">
        <v>196</v>
      </c>
      <c r="B133" s="17" t="s">
        <v>63</v>
      </c>
      <c r="C133" s="17" t="s">
        <v>113</v>
      </c>
      <c r="D133" s="17" t="s">
        <v>114</v>
      </c>
      <c r="E133" s="17" t="s">
        <v>81</v>
      </c>
      <c r="F133" s="17" t="s">
        <v>81</v>
      </c>
      <c r="G133" s="17">
        <v>105.10849386690801</v>
      </c>
      <c r="H133" s="17">
        <v>100.04139710361</v>
      </c>
      <c r="I133" s="17" t="s">
        <v>115</v>
      </c>
    </row>
    <row r="134" spans="1:9" x14ac:dyDescent="0.3">
      <c r="A134" s="17" t="s">
        <v>196</v>
      </c>
      <c r="B134" s="17" t="s">
        <v>63</v>
      </c>
      <c r="C134" s="17" t="s">
        <v>113</v>
      </c>
      <c r="D134" s="17" t="s">
        <v>114</v>
      </c>
      <c r="E134" s="17" t="s">
        <v>82</v>
      </c>
      <c r="F134" s="17" t="s">
        <v>82</v>
      </c>
      <c r="G134" s="17">
        <v>177.973781750657</v>
      </c>
      <c r="H134" s="17">
        <v>169.393976824497</v>
      </c>
      <c r="I134" s="17" t="s">
        <v>115</v>
      </c>
    </row>
    <row r="135" spans="1:9" x14ac:dyDescent="0.3">
      <c r="A135" s="17" t="s">
        <v>196</v>
      </c>
      <c r="B135" s="17" t="s">
        <v>63</v>
      </c>
      <c r="C135" s="17" t="s">
        <v>113</v>
      </c>
      <c r="D135" s="17" t="s">
        <v>114</v>
      </c>
      <c r="E135" s="17" t="s">
        <v>83</v>
      </c>
      <c r="F135" s="17" t="s">
        <v>127</v>
      </c>
      <c r="G135" s="17">
        <v>0.74009228221796897</v>
      </c>
      <c r="H135" s="17">
        <v>0.70441372694805005</v>
      </c>
      <c r="I135" s="17" t="s">
        <v>115</v>
      </c>
    </row>
    <row r="136" spans="1:9" x14ac:dyDescent="0.3">
      <c r="A136" s="17" t="s">
        <v>196</v>
      </c>
      <c r="B136" s="17" t="s">
        <v>63</v>
      </c>
      <c r="C136" s="17" t="s">
        <v>113</v>
      </c>
      <c r="D136" s="17" t="s">
        <v>114</v>
      </c>
      <c r="E136" s="17" t="s">
        <v>83</v>
      </c>
      <c r="F136" s="17" t="s">
        <v>128</v>
      </c>
      <c r="G136" s="17">
        <v>19.276749394673601</v>
      </c>
      <c r="H136" s="17">
        <v>18.3474510014501</v>
      </c>
      <c r="I136" s="17" t="s">
        <v>115</v>
      </c>
    </row>
    <row r="137" spans="1:9" x14ac:dyDescent="0.3">
      <c r="A137" s="17" t="s">
        <v>196</v>
      </c>
      <c r="B137" s="17" t="s">
        <v>63</v>
      </c>
      <c r="C137" s="17" t="s">
        <v>113</v>
      </c>
      <c r="D137" s="17" t="s">
        <v>114</v>
      </c>
      <c r="E137" s="17" t="s">
        <v>84</v>
      </c>
      <c r="F137" s="17" t="s">
        <v>129</v>
      </c>
      <c r="G137" s="17">
        <v>120.067780189598</v>
      </c>
      <c r="H137" s="17">
        <v>114.27952238100001</v>
      </c>
      <c r="I137" s="17" t="s">
        <v>115</v>
      </c>
    </row>
    <row r="138" spans="1:9" x14ac:dyDescent="0.3">
      <c r="A138" s="17" t="s">
        <v>196</v>
      </c>
      <c r="B138" s="17" t="s">
        <v>63</v>
      </c>
      <c r="C138" s="17" t="s">
        <v>113</v>
      </c>
      <c r="D138" s="17" t="s">
        <v>114</v>
      </c>
      <c r="E138" s="17" t="s">
        <v>85</v>
      </c>
      <c r="F138" s="17" t="s">
        <v>85</v>
      </c>
      <c r="G138" s="17">
        <v>144.180209858572</v>
      </c>
      <c r="H138" s="17">
        <v>137.229533963329</v>
      </c>
      <c r="I138" s="17" t="s">
        <v>115</v>
      </c>
    </row>
    <row r="139" spans="1:9" x14ac:dyDescent="0.3">
      <c r="A139" s="17" t="s">
        <v>196</v>
      </c>
      <c r="B139" s="17" t="s">
        <v>63</v>
      </c>
      <c r="C139" s="17" t="s">
        <v>113</v>
      </c>
      <c r="D139" s="17" t="s">
        <v>114</v>
      </c>
      <c r="E139" s="17" t="s">
        <v>89</v>
      </c>
      <c r="F139" s="17" t="s">
        <v>89</v>
      </c>
      <c r="G139" s="17">
        <v>7.2249281575499993E-2</v>
      </c>
      <c r="H139" s="17">
        <v>6.8766270000000004E-2</v>
      </c>
      <c r="I139" s="17" t="s">
        <v>115</v>
      </c>
    </row>
    <row r="140" spans="1:9" x14ac:dyDescent="0.3">
      <c r="A140" s="17" t="s">
        <v>196</v>
      </c>
      <c r="B140" s="17" t="s">
        <v>63</v>
      </c>
      <c r="C140" s="17" t="s">
        <v>113</v>
      </c>
      <c r="D140" s="17" t="s">
        <v>114</v>
      </c>
      <c r="E140" s="17" t="s">
        <v>90</v>
      </c>
      <c r="F140" s="17" t="s">
        <v>90</v>
      </c>
      <c r="G140" s="17">
        <v>115.281716654131</v>
      </c>
      <c r="H140" s="17">
        <v>109.72418660270399</v>
      </c>
      <c r="I140" s="17" t="s">
        <v>115</v>
      </c>
    </row>
    <row r="141" spans="1:9" x14ac:dyDescent="0.3">
      <c r="A141" s="17" t="s">
        <v>196</v>
      </c>
      <c r="B141" s="17" t="s">
        <v>63</v>
      </c>
      <c r="C141" s="17" t="s">
        <v>113</v>
      </c>
      <c r="D141" s="17" t="s">
        <v>114</v>
      </c>
      <c r="E141" s="17" t="s">
        <v>91</v>
      </c>
      <c r="F141" s="17" t="s">
        <v>91</v>
      </c>
      <c r="G141" s="17">
        <v>78.235264942637002</v>
      </c>
      <c r="H141" s="17">
        <v>74.463679572299995</v>
      </c>
      <c r="I141" s="17" t="s">
        <v>115</v>
      </c>
    </row>
    <row r="142" spans="1:9" x14ac:dyDescent="0.3">
      <c r="A142" s="17" t="s">
        <v>196</v>
      </c>
      <c r="B142" s="17" t="s">
        <v>63</v>
      </c>
      <c r="C142" s="17" t="s">
        <v>113</v>
      </c>
      <c r="D142" s="17" t="s">
        <v>114</v>
      </c>
      <c r="E142" s="17" t="s">
        <v>93</v>
      </c>
      <c r="F142" s="17" t="s">
        <v>130</v>
      </c>
      <c r="G142" s="17">
        <v>120.1493123306</v>
      </c>
      <c r="H142" s="17">
        <v>114.357124</v>
      </c>
      <c r="I142" s="17" t="s">
        <v>115</v>
      </c>
    </row>
    <row r="143" spans="1:9" x14ac:dyDescent="0.3">
      <c r="A143" s="17" t="s">
        <v>196</v>
      </c>
      <c r="B143" s="17" t="s">
        <v>63</v>
      </c>
      <c r="C143" s="17" t="s">
        <v>113</v>
      </c>
      <c r="D143" s="17" t="s">
        <v>114</v>
      </c>
      <c r="E143" s="17" t="s">
        <v>93</v>
      </c>
      <c r="F143" s="17" t="s">
        <v>131</v>
      </c>
      <c r="G143" s="17">
        <v>49.715076959999998</v>
      </c>
      <c r="H143" s="17">
        <v>47.318399999999997</v>
      </c>
      <c r="I143" s="17" t="s">
        <v>115</v>
      </c>
    </row>
    <row r="144" spans="1:9" x14ac:dyDescent="0.3">
      <c r="A144" s="17" t="s">
        <v>196</v>
      </c>
      <c r="B144" s="17" t="s">
        <v>63</v>
      </c>
      <c r="C144" s="17" t="s">
        <v>113</v>
      </c>
      <c r="D144" s="17" t="s">
        <v>114</v>
      </c>
      <c r="E144" s="17" t="s">
        <v>93</v>
      </c>
      <c r="F144" s="17" t="s">
        <v>184</v>
      </c>
      <c r="G144" s="17">
        <v>0.32309188040064002</v>
      </c>
      <c r="H144" s="17">
        <v>0.30751618559999999</v>
      </c>
      <c r="I144" s="17" t="s">
        <v>115</v>
      </c>
    </row>
    <row r="145" spans="1:9" x14ac:dyDescent="0.3">
      <c r="A145" s="17" t="s">
        <v>196</v>
      </c>
      <c r="B145" s="17" t="s">
        <v>63</v>
      </c>
      <c r="C145" s="17" t="s">
        <v>113</v>
      </c>
      <c r="D145" s="17" t="s">
        <v>114</v>
      </c>
      <c r="E145" s="17" t="s">
        <v>93</v>
      </c>
      <c r="F145" s="17" t="s">
        <v>132</v>
      </c>
      <c r="G145" s="17">
        <v>0.78363780900000002</v>
      </c>
      <c r="H145" s="17">
        <v>0.74585999999999997</v>
      </c>
      <c r="I145" s="17" t="s">
        <v>115</v>
      </c>
    </row>
    <row r="146" spans="1:9" x14ac:dyDescent="0.3">
      <c r="A146" s="17" t="s">
        <v>196</v>
      </c>
      <c r="B146" s="17" t="s">
        <v>63</v>
      </c>
      <c r="C146" s="17" t="s">
        <v>113</v>
      </c>
      <c r="D146" s="17" t="s">
        <v>114</v>
      </c>
      <c r="E146" s="17" t="s">
        <v>93</v>
      </c>
      <c r="F146" s="17" t="s">
        <v>134</v>
      </c>
      <c r="G146" s="17">
        <v>12.416827814762501</v>
      </c>
      <c r="H146" s="17">
        <v>11.81823425</v>
      </c>
      <c r="I146" s="17" t="s">
        <v>115</v>
      </c>
    </row>
    <row r="147" spans="1:9" x14ac:dyDescent="0.3">
      <c r="A147" s="17" t="s">
        <v>196</v>
      </c>
      <c r="B147" s="17" t="s">
        <v>63</v>
      </c>
      <c r="C147" s="17" t="s">
        <v>113</v>
      </c>
      <c r="D147" s="17" t="s">
        <v>114</v>
      </c>
      <c r="E147" s="17" t="s">
        <v>93</v>
      </c>
      <c r="F147" s="17" t="s">
        <v>136</v>
      </c>
      <c r="G147" s="17">
        <v>39.125875528549003</v>
      </c>
      <c r="H147" s="17">
        <v>37.239685459999997</v>
      </c>
      <c r="I147" s="17" t="s">
        <v>115</v>
      </c>
    </row>
    <row r="148" spans="1:9" x14ac:dyDescent="0.3">
      <c r="A148" s="17" t="s">
        <v>196</v>
      </c>
      <c r="B148" s="17" t="s">
        <v>63</v>
      </c>
      <c r="C148" s="17" t="s">
        <v>113</v>
      </c>
      <c r="D148" s="17" t="s">
        <v>114</v>
      </c>
      <c r="E148" s="17" t="s">
        <v>93</v>
      </c>
      <c r="F148" s="17" t="s">
        <v>137</v>
      </c>
      <c r="G148" s="17">
        <v>81.797967009499999</v>
      </c>
      <c r="H148" s="17">
        <v>77.85463</v>
      </c>
      <c r="I148" s="17" t="s">
        <v>115</v>
      </c>
    </row>
    <row r="149" spans="1:9" x14ac:dyDescent="0.3">
      <c r="A149" s="17" t="s">
        <v>196</v>
      </c>
      <c r="B149" s="17" t="s">
        <v>63</v>
      </c>
      <c r="C149" s="17" t="s">
        <v>113</v>
      </c>
      <c r="D149" s="17" t="s">
        <v>114</v>
      </c>
      <c r="E149" s="17" t="s">
        <v>95</v>
      </c>
      <c r="F149" s="17" t="s">
        <v>138</v>
      </c>
      <c r="G149" s="17">
        <v>622.57342637065301</v>
      </c>
      <c r="H149" s="17">
        <v>592.56024972222201</v>
      </c>
      <c r="I149" s="17" t="s">
        <v>115</v>
      </c>
    </row>
    <row r="150" spans="1:9" x14ac:dyDescent="0.3">
      <c r="A150" s="17" t="s">
        <v>196</v>
      </c>
      <c r="B150" s="17" t="s">
        <v>63</v>
      </c>
      <c r="C150" s="17" t="s">
        <v>113</v>
      </c>
      <c r="D150" s="17" t="s">
        <v>114</v>
      </c>
      <c r="E150" s="17" t="s">
        <v>95</v>
      </c>
      <c r="F150" s="17" t="s">
        <v>185</v>
      </c>
      <c r="G150" s="17">
        <v>10.1618868</v>
      </c>
      <c r="H150" s="17">
        <v>9.6720000000000006</v>
      </c>
      <c r="I150" s="17" t="s">
        <v>115</v>
      </c>
    </row>
    <row r="151" spans="1:9" x14ac:dyDescent="0.3">
      <c r="A151" s="17" t="s">
        <v>196</v>
      </c>
      <c r="B151" s="17" t="s">
        <v>63</v>
      </c>
      <c r="C151" s="17" t="s">
        <v>113</v>
      </c>
      <c r="D151" s="17" t="s">
        <v>114</v>
      </c>
      <c r="E151" s="17" t="s">
        <v>96</v>
      </c>
      <c r="F151" s="17" t="s">
        <v>96</v>
      </c>
      <c r="G151" s="17">
        <v>2.5859697830550001E-2</v>
      </c>
      <c r="H151" s="17">
        <v>2.4613046999999999E-2</v>
      </c>
      <c r="I151" s="17" t="s">
        <v>115</v>
      </c>
    </row>
    <row r="152" spans="1:9" x14ac:dyDescent="0.3">
      <c r="A152" s="17" t="s">
        <v>196</v>
      </c>
      <c r="B152" s="17" t="s">
        <v>63</v>
      </c>
      <c r="C152" s="17" t="s">
        <v>113</v>
      </c>
      <c r="D152" s="17" t="s">
        <v>114</v>
      </c>
      <c r="E152" s="17" t="s">
        <v>97</v>
      </c>
      <c r="F152" s="17" t="s">
        <v>97</v>
      </c>
      <c r="G152" s="17">
        <v>30.9416425</v>
      </c>
      <c r="H152" s="17">
        <v>29.45</v>
      </c>
      <c r="I152" s="17" t="s">
        <v>115</v>
      </c>
    </row>
    <row r="153" spans="1:9" x14ac:dyDescent="0.3">
      <c r="A153" s="17" t="s">
        <v>196</v>
      </c>
      <c r="B153" s="17" t="s">
        <v>63</v>
      </c>
      <c r="C153" s="17" t="s">
        <v>113</v>
      </c>
      <c r="D153" s="17" t="s">
        <v>114</v>
      </c>
      <c r="E153" s="17" t="s">
        <v>99</v>
      </c>
      <c r="F153" s="17" t="s">
        <v>142</v>
      </c>
      <c r="G153" s="17">
        <v>2.7907856167882601</v>
      </c>
      <c r="H153" s="17">
        <v>2.6562467204</v>
      </c>
      <c r="I153" s="17" t="s">
        <v>115</v>
      </c>
    </row>
    <row r="154" spans="1:9" x14ac:dyDescent="0.3">
      <c r="A154" s="17" t="s">
        <v>196</v>
      </c>
      <c r="B154" s="17" t="s">
        <v>63</v>
      </c>
      <c r="C154" s="17" t="s">
        <v>113</v>
      </c>
      <c r="D154" s="17" t="s">
        <v>114</v>
      </c>
      <c r="E154" s="17" t="s">
        <v>99</v>
      </c>
      <c r="F154" s="17" t="s">
        <v>143</v>
      </c>
      <c r="G154" s="17">
        <v>1.82035913896442</v>
      </c>
      <c r="H154" s="17">
        <v>1.7326028067999999</v>
      </c>
      <c r="I154" s="17" t="s">
        <v>115</v>
      </c>
    </row>
    <row r="155" spans="1:9" x14ac:dyDescent="0.3">
      <c r="A155" s="17" t="s">
        <v>196</v>
      </c>
      <c r="B155" s="17" t="s">
        <v>63</v>
      </c>
      <c r="C155" s="17" t="s">
        <v>113</v>
      </c>
      <c r="D155" s="17" t="s">
        <v>114</v>
      </c>
      <c r="E155" s="17" t="s">
        <v>99</v>
      </c>
      <c r="F155" s="17" t="s">
        <v>144</v>
      </c>
      <c r="G155" s="17">
        <v>1.24580476468149</v>
      </c>
      <c r="H155" s="17">
        <v>1.1857466945999999</v>
      </c>
      <c r="I155" s="17" t="s">
        <v>115</v>
      </c>
    </row>
    <row r="156" spans="1:9" x14ac:dyDescent="0.3">
      <c r="A156" s="17" t="s">
        <v>196</v>
      </c>
      <c r="B156" s="17" t="s">
        <v>63</v>
      </c>
      <c r="C156" s="17" t="s">
        <v>113</v>
      </c>
      <c r="D156" s="17" t="s">
        <v>114</v>
      </c>
      <c r="E156" s="17" t="s">
        <v>99</v>
      </c>
      <c r="F156" s="17" t="s">
        <v>145</v>
      </c>
      <c r="G156" s="17">
        <v>2.438852832E-5</v>
      </c>
      <c r="H156" s="17">
        <v>2.3212799999999999E-5</v>
      </c>
      <c r="I156" s="17" t="s">
        <v>115</v>
      </c>
    </row>
    <row r="157" spans="1:9" x14ac:dyDescent="0.3">
      <c r="A157" s="17" t="s">
        <v>196</v>
      </c>
      <c r="B157" s="17" t="s">
        <v>63</v>
      </c>
      <c r="C157" s="17" t="s">
        <v>113</v>
      </c>
      <c r="D157" s="17" t="s">
        <v>114</v>
      </c>
      <c r="E157" s="17" t="s">
        <v>99</v>
      </c>
      <c r="F157" s="17" t="s">
        <v>147</v>
      </c>
      <c r="G157" s="17">
        <v>9.3396476235490494E-2</v>
      </c>
      <c r="H157" s="17">
        <v>8.8893995370000006E-2</v>
      </c>
      <c r="I157" s="17" t="s">
        <v>115</v>
      </c>
    </row>
    <row r="158" spans="1:9" x14ac:dyDescent="0.3">
      <c r="A158" s="17" t="s">
        <v>196</v>
      </c>
      <c r="B158" s="17" t="s">
        <v>63</v>
      </c>
      <c r="C158" s="17" t="s">
        <v>113</v>
      </c>
      <c r="D158" s="17" t="s">
        <v>114</v>
      </c>
      <c r="E158" s="17" t="s">
        <v>99</v>
      </c>
      <c r="F158" s="17" t="s">
        <v>148</v>
      </c>
      <c r="G158" s="17">
        <v>307.01187839314798</v>
      </c>
      <c r="H158" s="17">
        <v>292.21137238199998</v>
      </c>
      <c r="I158" s="17" t="s">
        <v>115</v>
      </c>
    </row>
    <row r="159" spans="1:9" x14ac:dyDescent="0.3">
      <c r="A159" s="17" t="s">
        <v>196</v>
      </c>
      <c r="B159" s="17" t="s">
        <v>63</v>
      </c>
      <c r="C159" s="17" t="s">
        <v>113</v>
      </c>
      <c r="D159" s="17" t="s">
        <v>114</v>
      </c>
      <c r="E159" s="17" t="s">
        <v>99</v>
      </c>
      <c r="F159" s="17" t="s">
        <v>150</v>
      </c>
      <c r="G159" s="17">
        <v>6.0769722078000002E-3</v>
      </c>
      <c r="H159" s="17">
        <v>5.7840119999999998E-3</v>
      </c>
      <c r="I159" s="17" t="s">
        <v>115</v>
      </c>
    </row>
    <row r="160" spans="1:9" x14ac:dyDescent="0.3">
      <c r="A160" s="17" t="s">
        <v>196</v>
      </c>
      <c r="B160" s="17" t="s">
        <v>63</v>
      </c>
      <c r="C160" s="17" t="s">
        <v>113</v>
      </c>
      <c r="D160" s="17" t="s">
        <v>114</v>
      </c>
      <c r="E160" s="17" t="s">
        <v>99</v>
      </c>
      <c r="F160" s="17" t="s">
        <v>151</v>
      </c>
      <c r="G160" s="17">
        <v>7.6513279533745502</v>
      </c>
      <c r="H160" s="17">
        <v>7.2824708070000002</v>
      </c>
      <c r="I160" s="17" t="s">
        <v>115</v>
      </c>
    </row>
    <row r="161" spans="1:9" x14ac:dyDescent="0.3">
      <c r="A161" s="17" t="s">
        <v>196</v>
      </c>
      <c r="B161" s="17" t="s">
        <v>63</v>
      </c>
      <c r="C161" s="17" t="s">
        <v>113</v>
      </c>
      <c r="D161" s="17" t="s">
        <v>114</v>
      </c>
      <c r="E161" s="17" t="s">
        <v>99</v>
      </c>
      <c r="F161" s="17" t="s">
        <v>152</v>
      </c>
      <c r="G161" s="17">
        <v>42.073923517510501</v>
      </c>
      <c r="H161" s="17">
        <v>40.045613208500001</v>
      </c>
      <c r="I161" s="17" t="s">
        <v>115</v>
      </c>
    </row>
    <row r="162" spans="1:9" x14ac:dyDescent="0.3">
      <c r="A162" s="17" t="s">
        <v>196</v>
      </c>
      <c r="B162" s="17" t="s">
        <v>63</v>
      </c>
      <c r="C162" s="17" t="s">
        <v>113</v>
      </c>
      <c r="D162" s="17" t="s">
        <v>114</v>
      </c>
      <c r="E162" s="17" t="s">
        <v>99</v>
      </c>
      <c r="F162" s="17" t="s">
        <v>153</v>
      </c>
      <c r="G162" s="17">
        <v>0</v>
      </c>
      <c r="H162" s="17">
        <v>0</v>
      </c>
      <c r="I162" s="17" t="s">
        <v>115</v>
      </c>
    </row>
    <row r="163" spans="1:9" x14ac:dyDescent="0.3">
      <c r="A163" s="17" t="s">
        <v>196</v>
      </c>
      <c r="B163" s="17" t="s">
        <v>63</v>
      </c>
      <c r="C163" s="17" t="s">
        <v>113</v>
      </c>
      <c r="D163" s="17" t="s">
        <v>114</v>
      </c>
      <c r="E163" s="17" t="s">
        <v>99</v>
      </c>
      <c r="F163" s="17" t="s">
        <v>154</v>
      </c>
      <c r="G163" s="17">
        <v>4.580260450165E-3</v>
      </c>
      <c r="H163" s="17">
        <v>4.3594541000000001E-3</v>
      </c>
      <c r="I163" s="17" t="s">
        <v>115</v>
      </c>
    </row>
    <row r="164" spans="1:9" x14ac:dyDescent="0.3">
      <c r="A164" s="17" t="s">
        <v>196</v>
      </c>
      <c r="B164" s="17" t="s">
        <v>63</v>
      </c>
      <c r="C164" s="17" t="s">
        <v>113</v>
      </c>
      <c r="D164" s="17" t="s">
        <v>114</v>
      </c>
      <c r="E164" s="17" t="s">
        <v>101</v>
      </c>
      <c r="F164" s="17" t="s">
        <v>186</v>
      </c>
      <c r="G164" s="17">
        <v>1882.9915247582901</v>
      </c>
      <c r="H164" s="17">
        <v>1792.2157947539999</v>
      </c>
      <c r="I164" s="17" t="s">
        <v>115</v>
      </c>
    </row>
    <row r="165" spans="1:9" x14ac:dyDescent="0.3">
      <c r="A165" s="17" t="s">
        <v>196</v>
      </c>
      <c r="B165" s="17" t="s">
        <v>63</v>
      </c>
      <c r="C165" s="17" t="s">
        <v>113</v>
      </c>
      <c r="D165" s="17" t="s">
        <v>114</v>
      </c>
      <c r="E165" s="17" t="s">
        <v>101</v>
      </c>
      <c r="F165" s="17" t="s">
        <v>155</v>
      </c>
      <c r="G165" s="17">
        <v>188.08431944682101</v>
      </c>
      <c r="H165" s="17">
        <v>179.01710317120001</v>
      </c>
      <c r="I165" s="17" t="s">
        <v>115</v>
      </c>
    </row>
    <row r="166" spans="1:9" x14ac:dyDescent="0.3">
      <c r="A166" s="17" t="s">
        <v>196</v>
      </c>
      <c r="B166" s="17" t="s">
        <v>63</v>
      </c>
      <c r="C166" s="17" t="s">
        <v>113</v>
      </c>
      <c r="D166" s="17" t="s">
        <v>114</v>
      </c>
      <c r="E166" s="17" t="s">
        <v>101</v>
      </c>
      <c r="F166" s="17" t="s">
        <v>187</v>
      </c>
      <c r="G166" s="17">
        <v>200.02835750535601</v>
      </c>
      <c r="H166" s="17">
        <v>190.38534003269999</v>
      </c>
      <c r="I166" s="17" t="s">
        <v>115</v>
      </c>
    </row>
    <row r="167" spans="1:9" x14ac:dyDescent="0.3">
      <c r="A167" s="17" t="s">
        <v>196</v>
      </c>
      <c r="B167" s="17" t="s">
        <v>63</v>
      </c>
      <c r="C167" s="17" t="s">
        <v>113</v>
      </c>
      <c r="D167" s="17" t="s">
        <v>114</v>
      </c>
      <c r="E167" s="17" t="s">
        <v>101</v>
      </c>
      <c r="F167" s="17" t="s">
        <v>157</v>
      </c>
      <c r="G167" s="17">
        <v>619.42520617361197</v>
      </c>
      <c r="H167" s="17">
        <v>589.5637997179</v>
      </c>
      <c r="I167" s="17" t="s">
        <v>115</v>
      </c>
    </row>
    <row r="168" spans="1:9" x14ac:dyDescent="0.3">
      <c r="A168" s="17" t="s">
        <v>196</v>
      </c>
      <c r="B168" s="17" t="s">
        <v>63</v>
      </c>
      <c r="C168" s="17" t="s">
        <v>113</v>
      </c>
      <c r="D168" s="17" t="s">
        <v>114</v>
      </c>
      <c r="E168" s="17" t="s">
        <v>101</v>
      </c>
      <c r="F168" s="17" t="s">
        <v>158</v>
      </c>
      <c r="G168" s="17">
        <v>95.4307542610551</v>
      </c>
      <c r="H168" s="17">
        <v>90.830204407799997</v>
      </c>
      <c r="I168" s="17" t="s">
        <v>115</v>
      </c>
    </row>
    <row r="169" spans="1:9" x14ac:dyDescent="0.3">
      <c r="A169" s="17" t="s">
        <v>196</v>
      </c>
      <c r="B169" s="17" t="s">
        <v>63</v>
      </c>
      <c r="C169" s="17" t="s">
        <v>113</v>
      </c>
      <c r="D169" s="17" t="s">
        <v>114</v>
      </c>
      <c r="E169" s="17" t="s">
        <v>101</v>
      </c>
      <c r="F169" s="17" t="s">
        <v>160</v>
      </c>
      <c r="G169" s="17">
        <v>1139.39478127652</v>
      </c>
      <c r="H169" s="17">
        <v>1084.4665504940001</v>
      </c>
      <c r="I169" s="17" t="s">
        <v>115</v>
      </c>
    </row>
    <row r="170" spans="1:9" x14ac:dyDescent="0.3">
      <c r="A170" s="17" t="s">
        <v>196</v>
      </c>
      <c r="B170" s="17" t="s">
        <v>63</v>
      </c>
      <c r="C170" s="17" t="s">
        <v>113</v>
      </c>
      <c r="D170" s="17" t="s">
        <v>114</v>
      </c>
      <c r="E170" s="17" t="s">
        <v>101</v>
      </c>
      <c r="F170" s="17" t="s">
        <v>188</v>
      </c>
      <c r="G170" s="17">
        <v>186.03236910434899</v>
      </c>
      <c r="H170" s="17">
        <v>177.06407376799999</v>
      </c>
      <c r="I170" s="17" t="s">
        <v>115</v>
      </c>
    </row>
    <row r="171" spans="1:9" x14ac:dyDescent="0.3">
      <c r="A171" s="17" t="s">
        <v>196</v>
      </c>
      <c r="B171" s="17" t="s">
        <v>63</v>
      </c>
      <c r="C171" s="17" t="s">
        <v>113</v>
      </c>
      <c r="D171" s="17" t="s">
        <v>114</v>
      </c>
      <c r="E171" s="17" t="s">
        <v>101</v>
      </c>
      <c r="F171" s="17" t="s">
        <v>189</v>
      </c>
      <c r="G171" s="17">
        <v>46.898917179534003</v>
      </c>
      <c r="H171" s="17">
        <v>44.638002360000002</v>
      </c>
      <c r="I171" s="17" t="s">
        <v>115</v>
      </c>
    </row>
    <row r="172" spans="1:9" x14ac:dyDescent="0.3">
      <c r="A172" s="17" t="s">
        <v>196</v>
      </c>
      <c r="B172" s="17" t="s">
        <v>63</v>
      </c>
      <c r="C172" s="17" t="s">
        <v>113</v>
      </c>
      <c r="D172" s="17" t="s">
        <v>114</v>
      </c>
      <c r="E172" s="17" t="s">
        <v>190</v>
      </c>
      <c r="F172" s="17" t="s">
        <v>191</v>
      </c>
      <c r="G172" s="17">
        <v>85.666771791923196</v>
      </c>
      <c r="H172" s="17">
        <v>81.536926466400004</v>
      </c>
      <c r="I172" s="17" t="s">
        <v>115</v>
      </c>
    </row>
    <row r="173" spans="1:9" x14ac:dyDescent="0.3">
      <c r="A173" s="17" t="s">
        <v>196</v>
      </c>
      <c r="B173" s="17" t="s">
        <v>63</v>
      </c>
      <c r="C173" s="17" t="s">
        <v>113</v>
      </c>
      <c r="D173" s="17" t="s">
        <v>114</v>
      </c>
      <c r="E173" s="17" t="s">
        <v>102</v>
      </c>
      <c r="F173" s="17" t="s">
        <v>165</v>
      </c>
      <c r="G173" s="17">
        <v>24.857538479999999</v>
      </c>
      <c r="H173" s="17">
        <v>23.659199999999998</v>
      </c>
      <c r="I173" s="17" t="s">
        <v>115</v>
      </c>
    </row>
    <row r="174" spans="1:9" x14ac:dyDescent="0.3">
      <c r="A174" s="17" t="s">
        <v>196</v>
      </c>
      <c r="B174" s="17" t="s">
        <v>63</v>
      </c>
      <c r="C174" s="17" t="s">
        <v>113</v>
      </c>
      <c r="D174" s="17" t="s">
        <v>114</v>
      </c>
      <c r="E174" s="17" t="s">
        <v>102</v>
      </c>
      <c r="F174" s="17" t="s">
        <v>166</v>
      </c>
      <c r="G174" s="17">
        <v>245.182570363282</v>
      </c>
      <c r="H174" s="17">
        <v>233.36274721675301</v>
      </c>
      <c r="I174" s="17" t="s">
        <v>115</v>
      </c>
    </row>
    <row r="175" spans="1:9" x14ac:dyDescent="0.3">
      <c r="A175" s="17" t="s">
        <v>196</v>
      </c>
      <c r="B175" s="17" t="s">
        <v>63</v>
      </c>
      <c r="C175" s="17" t="s">
        <v>113</v>
      </c>
      <c r="D175" s="17" t="s">
        <v>114</v>
      </c>
      <c r="E175" s="17" t="s">
        <v>103</v>
      </c>
      <c r="F175" s="17" t="s">
        <v>103</v>
      </c>
      <c r="G175" s="17">
        <v>30.909072349999999</v>
      </c>
      <c r="H175" s="17">
        <v>29.419</v>
      </c>
      <c r="I175" s="17" t="s">
        <v>115</v>
      </c>
    </row>
    <row r="176" spans="1:9" x14ac:dyDescent="0.3">
      <c r="A176" s="17" t="s">
        <v>196</v>
      </c>
      <c r="B176" s="17" t="s">
        <v>63</v>
      </c>
      <c r="C176" s="17" t="s">
        <v>167</v>
      </c>
      <c r="D176" s="17" t="s">
        <v>168</v>
      </c>
      <c r="E176" s="17" t="s">
        <v>100</v>
      </c>
      <c r="F176" s="17" t="s">
        <v>100</v>
      </c>
      <c r="G176" s="17">
        <v>0</v>
      </c>
      <c r="H176" s="17">
        <v>0</v>
      </c>
      <c r="I176" s="17" t="s">
        <v>115</v>
      </c>
    </row>
    <row r="177" spans="1:9" x14ac:dyDescent="0.3">
      <c r="A177" s="17" t="s">
        <v>196</v>
      </c>
      <c r="B177" s="17" t="s">
        <v>63</v>
      </c>
      <c r="C177" s="17" t="s">
        <v>167</v>
      </c>
      <c r="D177" s="17" t="s">
        <v>114</v>
      </c>
      <c r="E177" s="17" t="s">
        <v>100</v>
      </c>
      <c r="F177" s="17" t="s">
        <v>100</v>
      </c>
      <c r="G177" s="17">
        <v>346.72753389694401</v>
      </c>
      <c r="H177" s="17">
        <v>330.01240555555597</v>
      </c>
      <c r="I177" s="17" t="s">
        <v>115</v>
      </c>
    </row>
    <row r="178" spans="1:9" x14ac:dyDescent="0.3">
      <c r="A178" s="17" t="s">
        <v>196</v>
      </c>
      <c r="B178" s="17" t="s">
        <v>64</v>
      </c>
      <c r="C178" s="17" t="s">
        <v>113</v>
      </c>
      <c r="D178" s="17" t="s">
        <v>114</v>
      </c>
      <c r="E178" s="17" t="s">
        <v>179</v>
      </c>
      <c r="F178" s="17" t="s">
        <v>179</v>
      </c>
      <c r="G178" s="17">
        <v>387.95054399999998</v>
      </c>
      <c r="H178" s="17">
        <v>359.28</v>
      </c>
      <c r="I178" s="17" t="s">
        <v>115</v>
      </c>
    </row>
    <row r="179" spans="1:9" x14ac:dyDescent="0.3">
      <c r="A179" s="17" t="s">
        <v>196</v>
      </c>
      <c r="B179" s="17" t="s">
        <v>64</v>
      </c>
      <c r="C179" s="17" t="s">
        <v>113</v>
      </c>
      <c r="D179" s="17" t="s">
        <v>114</v>
      </c>
      <c r="E179" s="17" t="s">
        <v>71</v>
      </c>
      <c r="F179" s="17" t="s">
        <v>71</v>
      </c>
      <c r="G179" s="17">
        <v>45.869903999999998</v>
      </c>
      <c r="H179" s="17">
        <v>42.48</v>
      </c>
      <c r="I179" s="17" t="s">
        <v>115</v>
      </c>
    </row>
    <row r="180" spans="1:9" x14ac:dyDescent="0.3">
      <c r="A180" s="17" t="s">
        <v>196</v>
      </c>
      <c r="B180" s="17" t="s">
        <v>64</v>
      </c>
      <c r="C180" s="17" t="s">
        <v>113</v>
      </c>
      <c r="D180" s="17" t="s">
        <v>114</v>
      </c>
      <c r="E180" s="17" t="s">
        <v>72</v>
      </c>
      <c r="F180" s="17" t="s">
        <v>180</v>
      </c>
      <c r="G180" s="17">
        <v>335.11463423999999</v>
      </c>
      <c r="H180" s="17">
        <v>310.34879999999998</v>
      </c>
      <c r="I180" s="17" t="s">
        <v>115</v>
      </c>
    </row>
    <row r="181" spans="1:9" x14ac:dyDescent="0.3">
      <c r="A181" s="17" t="s">
        <v>196</v>
      </c>
      <c r="B181" s="17" t="s">
        <v>64</v>
      </c>
      <c r="C181" s="17" t="s">
        <v>113</v>
      </c>
      <c r="D181" s="17" t="s">
        <v>114</v>
      </c>
      <c r="E181" s="17" t="s">
        <v>73</v>
      </c>
      <c r="F181" s="17" t="s">
        <v>117</v>
      </c>
      <c r="G181" s="17">
        <v>0</v>
      </c>
      <c r="H181" s="17">
        <v>0</v>
      </c>
      <c r="I181" s="17" t="s">
        <v>115</v>
      </c>
    </row>
    <row r="182" spans="1:9" x14ac:dyDescent="0.3">
      <c r="A182" s="17" t="s">
        <v>196</v>
      </c>
      <c r="B182" s="17" t="s">
        <v>64</v>
      </c>
      <c r="C182" s="17" t="s">
        <v>113</v>
      </c>
      <c r="D182" s="17" t="s">
        <v>114</v>
      </c>
      <c r="E182" s="17" t="s">
        <v>73</v>
      </c>
      <c r="F182" s="17" t="s">
        <v>181</v>
      </c>
      <c r="G182" s="17">
        <v>94.849632</v>
      </c>
      <c r="H182" s="17">
        <v>87.84</v>
      </c>
      <c r="I182" s="17" t="s">
        <v>115</v>
      </c>
    </row>
    <row r="183" spans="1:9" x14ac:dyDescent="0.3">
      <c r="A183" s="17" t="s">
        <v>196</v>
      </c>
      <c r="B183" s="17" t="s">
        <v>64</v>
      </c>
      <c r="C183" s="17" t="s">
        <v>113</v>
      </c>
      <c r="D183" s="17" t="s">
        <v>114</v>
      </c>
      <c r="E183" s="17" t="s">
        <v>73</v>
      </c>
      <c r="F183" s="17" t="s">
        <v>118</v>
      </c>
      <c r="G183" s="17">
        <v>523.86766950000003</v>
      </c>
      <c r="H183" s="17">
        <v>485.15249999999997</v>
      </c>
      <c r="I183" s="17" t="s">
        <v>115</v>
      </c>
    </row>
    <row r="184" spans="1:9" x14ac:dyDescent="0.3">
      <c r="A184" s="17" t="s">
        <v>196</v>
      </c>
      <c r="B184" s="17" t="s">
        <v>64</v>
      </c>
      <c r="C184" s="17" t="s">
        <v>113</v>
      </c>
      <c r="D184" s="17" t="s">
        <v>114</v>
      </c>
      <c r="E184" s="17" t="s">
        <v>73</v>
      </c>
      <c r="F184" s="17" t="s">
        <v>120</v>
      </c>
      <c r="G184" s="17">
        <v>33.888441720821902</v>
      </c>
      <c r="H184" s="17">
        <v>31.383998630137</v>
      </c>
      <c r="I184" s="17" t="s">
        <v>115</v>
      </c>
    </row>
    <row r="185" spans="1:9" x14ac:dyDescent="0.3">
      <c r="A185" s="17" t="s">
        <v>196</v>
      </c>
      <c r="B185" s="17" t="s">
        <v>64</v>
      </c>
      <c r="C185" s="17" t="s">
        <v>113</v>
      </c>
      <c r="D185" s="17" t="s">
        <v>114</v>
      </c>
      <c r="E185" s="17" t="s">
        <v>74</v>
      </c>
      <c r="F185" s="17" t="s">
        <v>121</v>
      </c>
      <c r="G185" s="17">
        <v>61.867033020000001</v>
      </c>
      <c r="H185" s="17">
        <v>57.294899999999998</v>
      </c>
      <c r="I185" s="17" t="s">
        <v>115</v>
      </c>
    </row>
    <row r="186" spans="1:9" x14ac:dyDescent="0.3">
      <c r="A186" s="17" t="s">
        <v>196</v>
      </c>
      <c r="B186" s="17" t="s">
        <v>64</v>
      </c>
      <c r="C186" s="17" t="s">
        <v>113</v>
      </c>
      <c r="D186" s="17" t="s">
        <v>114</v>
      </c>
      <c r="E186" s="17" t="s">
        <v>76</v>
      </c>
      <c r="F186" s="17" t="s">
        <v>122</v>
      </c>
      <c r="G186" s="17">
        <v>231.29316</v>
      </c>
      <c r="H186" s="17">
        <v>214.2</v>
      </c>
      <c r="I186" s="17" t="s">
        <v>115</v>
      </c>
    </row>
    <row r="187" spans="1:9" x14ac:dyDescent="0.3">
      <c r="A187" s="17" t="s">
        <v>196</v>
      </c>
      <c r="B187" s="17" t="s">
        <v>64</v>
      </c>
      <c r="C187" s="17" t="s">
        <v>113</v>
      </c>
      <c r="D187" s="17" t="s">
        <v>114</v>
      </c>
      <c r="E187" s="17" t="s">
        <v>182</v>
      </c>
      <c r="F187" s="17" t="s">
        <v>182</v>
      </c>
      <c r="G187" s="17">
        <v>8.3706095999999999</v>
      </c>
      <c r="H187" s="17">
        <v>7.7519999999999998</v>
      </c>
      <c r="I187" s="17" t="s">
        <v>115</v>
      </c>
    </row>
    <row r="188" spans="1:9" x14ac:dyDescent="0.3">
      <c r="A188" s="17" t="s">
        <v>196</v>
      </c>
      <c r="B188" s="17" t="s">
        <v>64</v>
      </c>
      <c r="C188" s="17" t="s">
        <v>113</v>
      </c>
      <c r="D188" s="17" t="s">
        <v>114</v>
      </c>
      <c r="E188" s="17" t="s">
        <v>182</v>
      </c>
      <c r="F188" s="17" t="s">
        <v>192</v>
      </c>
      <c r="G188" s="17">
        <v>5.1636791012287096E-6</v>
      </c>
      <c r="H188" s="17">
        <v>4.7820699214935296E-6</v>
      </c>
      <c r="I188" s="17" t="s">
        <v>115</v>
      </c>
    </row>
    <row r="189" spans="1:9" x14ac:dyDescent="0.3">
      <c r="A189" s="17" t="s">
        <v>196</v>
      </c>
      <c r="B189" s="17" t="s">
        <v>64</v>
      </c>
      <c r="C189" s="17" t="s">
        <v>113</v>
      </c>
      <c r="D189" s="17" t="s">
        <v>114</v>
      </c>
      <c r="E189" s="17" t="s">
        <v>182</v>
      </c>
      <c r="F189" s="17" t="s">
        <v>183</v>
      </c>
      <c r="G189" s="17">
        <v>251.50785197419401</v>
      </c>
      <c r="H189" s="17">
        <v>232.920774193548</v>
      </c>
      <c r="I189" s="17" t="s">
        <v>115</v>
      </c>
    </row>
    <row r="190" spans="1:9" x14ac:dyDescent="0.3">
      <c r="A190" s="17" t="s">
        <v>196</v>
      </c>
      <c r="B190" s="17" t="s">
        <v>64</v>
      </c>
      <c r="C190" s="17" t="s">
        <v>113</v>
      </c>
      <c r="D190" s="17" t="s">
        <v>114</v>
      </c>
      <c r="E190" s="17" t="s">
        <v>80</v>
      </c>
      <c r="F190" s="17" t="s">
        <v>80</v>
      </c>
      <c r="G190" s="17">
        <v>1.2538262216934699</v>
      </c>
      <c r="H190" s="17">
        <v>1.1611652358709701</v>
      </c>
      <c r="I190" s="17" t="s">
        <v>115</v>
      </c>
    </row>
    <row r="191" spans="1:9" x14ac:dyDescent="0.3">
      <c r="A191" s="17" t="s">
        <v>196</v>
      </c>
      <c r="B191" s="17" t="s">
        <v>64</v>
      </c>
      <c r="C191" s="17" t="s">
        <v>113</v>
      </c>
      <c r="D191" s="17" t="s">
        <v>114</v>
      </c>
      <c r="E191" s="17" t="s">
        <v>77</v>
      </c>
      <c r="F191" s="17" t="s">
        <v>77</v>
      </c>
      <c r="G191" s="17">
        <v>1.2104558E-4</v>
      </c>
      <c r="H191" s="17">
        <v>1.121E-4</v>
      </c>
      <c r="I191" s="17" t="s">
        <v>115</v>
      </c>
    </row>
    <row r="192" spans="1:9" x14ac:dyDescent="0.3">
      <c r="A192" s="17" t="s">
        <v>196</v>
      </c>
      <c r="B192" s="17" t="s">
        <v>64</v>
      </c>
      <c r="C192" s="17" t="s">
        <v>113</v>
      </c>
      <c r="D192" s="17" t="s">
        <v>114</v>
      </c>
      <c r="E192" s="17" t="s">
        <v>81</v>
      </c>
      <c r="F192" s="17" t="s">
        <v>81</v>
      </c>
      <c r="G192" s="17">
        <v>63.867255320466299</v>
      </c>
      <c r="H192" s="17">
        <v>59.147300722787797</v>
      </c>
      <c r="I192" s="17" t="s">
        <v>115</v>
      </c>
    </row>
    <row r="193" spans="1:9" x14ac:dyDescent="0.3">
      <c r="A193" s="17" t="s">
        <v>196</v>
      </c>
      <c r="B193" s="17" t="s">
        <v>64</v>
      </c>
      <c r="C193" s="17" t="s">
        <v>113</v>
      </c>
      <c r="D193" s="17" t="s">
        <v>114</v>
      </c>
      <c r="E193" s="17" t="s">
        <v>82</v>
      </c>
      <c r="F193" s="17" t="s">
        <v>82</v>
      </c>
      <c r="G193" s="17">
        <v>192.59066807229999</v>
      </c>
      <c r="H193" s="17">
        <v>178.35772186729</v>
      </c>
      <c r="I193" s="17" t="s">
        <v>115</v>
      </c>
    </row>
    <row r="194" spans="1:9" x14ac:dyDescent="0.3">
      <c r="A194" s="17" t="s">
        <v>196</v>
      </c>
      <c r="B194" s="17" t="s">
        <v>64</v>
      </c>
      <c r="C194" s="17" t="s">
        <v>113</v>
      </c>
      <c r="D194" s="17" t="s">
        <v>114</v>
      </c>
      <c r="E194" s="17" t="s">
        <v>83</v>
      </c>
      <c r="F194" s="17" t="s">
        <v>127</v>
      </c>
      <c r="G194" s="17">
        <v>1.1206117537874001</v>
      </c>
      <c r="H194" s="17">
        <v>1.03779566011058</v>
      </c>
      <c r="I194" s="17" t="s">
        <v>115</v>
      </c>
    </row>
    <row r="195" spans="1:9" x14ac:dyDescent="0.3">
      <c r="A195" s="17" t="s">
        <v>196</v>
      </c>
      <c r="B195" s="17" t="s">
        <v>64</v>
      </c>
      <c r="C195" s="17" t="s">
        <v>113</v>
      </c>
      <c r="D195" s="17" t="s">
        <v>114</v>
      </c>
      <c r="E195" s="17" t="s">
        <v>83</v>
      </c>
      <c r="F195" s="17" t="s">
        <v>128</v>
      </c>
      <c r="G195" s="17">
        <v>21.157626269826299</v>
      </c>
      <c r="H195" s="17">
        <v>19.594023217101501</v>
      </c>
      <c r="I195" s="17" t="s">
        <v>115</v>
      </c>
    </row>
    <row r="196" spans="1:9" x14ac:dyDescent="0.3">
      <c r="A196" s="17" t="s">
        <v>196</v>
      </c>
      <c r="B196" s="17" t="s">
        <v>64</v>
      </c>
      <c r="C196" s="17" t="s">
        <v>113</v>
      </c>
      <c r="D196" s="17" t="s">
        <v>114</v>
      </c>
      <c r="E196" s="17" t="s">
        <v>84</v>
      </c>
      <c r="F196" s="17" t="s">
        <v>172</v>
      </c>
      <c r="G196" s="17">
        <v>8.4064589599999994E-5</v>
      </c>
      <c r="H196" s="17">
        <v>7.7851999999999999E-5</v>
      </c>
      <c r="I196" s="17" t="s">
        <v>115</v>
      </c>
    </row>
    <row r="197" spans="1:9" x14ac:dyDescent="0.3">
      <c r="A197" s="17" t="s">
        <v>196</v>
      </c>
      <c r="B197" s="17" t="s">
        <v>64</v>
      </c>
      <c r="C197" s="17" t="s">
        <v>113</v>
      </c>
      <c r="D197" s="17" t="s">
        <v>114</v>
      </c>
      <c r="E197" s="17" t="s">
        <v>84</v>
      </c>
      <c r="F197" s="17" t="s">
        <v>129</v>
      </c>
      <c r="G197" s="17">
        <v>6343.3860936794799</v>
      </c>
      <c r="H197" s="17">
        <v>5874.5935299865496</v>
      </c>
      <c r="I197" s="17" t="s">
        <v>115</v>
      </c>
    </row>
    <row r="198" spans="1:9" x14ac:dyDescent="0.3">
      <c r="A198" s="17" t="s">
        <v>196</v>
      </c>
      <c r="B198" s="17" t="s">
        <v>64</v>
      </c>
      <c r="C198" s="17" t="s">
        <v>113</v>
      </c>
      <c r="D198" s="17" t="s">
        <v>114</v>
      </c>
      <c r="E198" s="17" t="s">
        <v>85</v>
      </c>
      <c r="F198" s="17" t="s">
        <v>85</v>
      </c>
      <c r="G198" s="17">
        <v>143.39858663961601</v>
      </c>
      <c r="H198" s="17">
        <v>132.801061899996</v>
      </c>
      <c r="I198" s="17" t="s">
        <v>115</v>
      </c>
    </row>
    <row r="199" spans="1:9" x14ac:dyDescent="0.3">
      <c r="A199" s="17" t="s">
        <v>196</v>
      </c>
      <c r="B199" s="17" t="s">
        <v>64</v>
      </c>
      <c r="C199" s="17" t="s">
        <v>113</v>
      </c>
      <c r="D199" s="17" t="s">
        <v>114</v>
      </c>
      <c r="E199" s="17" t="s">
        <v>89</v>
      </c>
      <c r="F199" s="17" t="s">
        <v>89</v>
      </c>
      <c r="G199" s="17">
        <v>4.9346460474000001E-2</v>
      </c>
      <c r="H199" s="17">
        <v>4.5699629999999998E-2</v>
      </c>
      <c r="I199" s="17" t="s">
        <v>115</v>
      </c>
    </row>
    <row r="200" spans="1:9" x14ac:dyDescent="0.3">
      <c r="A200" s="17" t="s">
        <v>196</v>
      </c>
      <c r="B200" s="17" t="s">
        <v>64</v>
      </c>
      <c r="C200" s="17" t="s">
        <v>113</v>
      </c>
      <c r="D200" s="17" t="s">
        <v>114</v>
      </c>
      <c r="E200" s="17" t="s">
        <v>90</v>
      </c>
      <c r="F200" s="17" t="s">
        <v>90</v>
      </c>
      <c r="G200" s="17">
        <v>114.858969747477</v>
      </c>
      <c r="H200" s="17">
        <v>106.37059617288099</v>
      </c>
      <c r="I200" s="17" t="s">
        <v>115</v>
      </c>
    </row>
    <row r="201" spans="1:9" x14ac:dyDescent="0.3">
      <c r="A201" s="17" t="s">
        <v>196</v>
      </c>
      <c r="B201" s="17" t="s">
        <v>64</v>
      </c>
      <c r="C201" s="17" t="s">
        <v>113</v>
      </c>
      <c r="D201" s="17" t="s">
        <v>114</v>
      </c>
      <c r="E201" s="17" t="s">
        <v>91</v>
      </c>
      <c r="F201" s="17" t="s">
        <v>91</v>
      </c>
      <c r="G201" s="17">
        <v>77.813089933610001</v>
      </c>
      <c r="H201" s="17">
        <v>72.062502253760002</v>
      </c>
      <c r="I201" s="17" t="s">
        <v>115</v>
      </c>
    </row>
    <row r="202" spans="1:9" x14ac:dyDescent="0.3">
      <c r="A202" s="17" t="s">
        <v>196</v>
      </c>
      <c r="B202" s="17" t="s">
        <v>64</v>
      </c>
      <c r="C202" s="17" t="s">
        <v>113</v>
      </c>
      <c r="D202" s="17" t="s">
        <v>114</v>
      </c>
      <c r="E202" s="17" t="s">
        <v>93</v>
      </c>
      <c r="F202" s="17" t="s">
        <v>130</v>
      </c>
      <c r="G202" s="17">
        <v>149.18771848759999</v>
      </c>
      <c r="H202" s="17">
        <v>138.162362</v>
      </c>
      <c r="I202" s="17" t="s">
        <v>115</v>
      </c>
    </row>
    <row r="203" spans="1:9" x14ac:dyDescent="0.3">
      <c r="A203" s="17" t="s">
        <v>196</v>
      </c>
      <c r="B203" s="17" t="s">
        <v>64</v>
      </c>
      <c r="C203" s="17" t="s">
        <v>113</v>
      </c>
      <c r="D203" s="17" t="s">
        <v>114</v>
      </c>
      <c r="E203" s="17" t="s">
        <v>93</v>
      </c>
      <c r="F203" s="17" t="s">
        <v>131</v>
      </c>
      <c r="G203" s="17">
        <v>49.446201600000002</v>
      </c>
      <c r="H203" s="17">
        <v>45.792000000000002</v>
      </c>
      <c r="I203" s="17" t="s">
        <v>115</v>
      </c>
    </row>
    <row r="204" spans="1:9" x14ac:dyDescent="0.3">
      <c r="A204" s="17" t="s">
        <v>196</v>
      </c>
      <c r="B204" s="17" t="s">
        <v>64</v>
      </c>
      <c r="C204" s="17" t="s">
        <v>113</v>
      </c>
      <c r="D204" s="17" t="s">
        <v>114</v>
      </c>
      <c r="E204" s="17" t="s">
        <v>93</v>
      </c>
      <c r="F204" s="17" t="s">
        <v>184</v>
      </c>
      <c r="G204" s="17">
        <v>0.35246692348991998</v>
      </c>
      <c r="H204" s="17">
        <v>0.32641871039999998</v>
      </c>
      <c r="I204" s="17" t="s">
        <v>115</v>
      </c>
    </row>
    <row r="205" spans="1:9" x14ac:dyDescent="0.3">
      <c r="A205" s="17" t="s">
        <v>196</v>
      </c>
      <c r="B205" s="17" t="s">
        <v>64</v>
      </c>
      <c r="C205" s="17" t="s">
        <v>113</v>
      </c>
      <c r="D205" s="17" t="s">
        <v>114</v>
      </c>
      <c r="E205" s="17" t="s">
        <v>93</v>
      </c>
      <c r="F205" s="17" t="s">
        <v>132</v>
      </c>
      <c r="G205" s="17">
        <v>0.77939963999999995</v>
      </c>
      <c r="H205" s="17">
        <v>0.7218</v>
      </c>
      <c r="I205" s="17" t="s">
        <v>115</v>
      </c>
    </row>
    <row r="206" spans="1:9" x14ac:dyDescent="0.3">
      <c r="A206" s="17" t="s">
        <v>196</v>
      </c>
      <c r="B206" s="17" t="s">
        <v>64</v>
      </c>
      <c r="C206" s="17" t="s">
        <v>113</v>
      </c>
      <c r="D206" s="17" t="s">
        <v>114</v>
      </c>
      <c r="E206" s="17" t="s">
        <v>93</v>
      </c>
      <c r="F206" s="17" t="s">
        <v>134</v>
      </c>
      <c r="G206" s="17">
        <v>8.1633865317499996</v>
      </c>
      <c r="H206" s="17">
        <v>7.5600912500000002</v>
      </c>
      <c r="I206" s="17" t="s">
        <v>115</v>
      </c>
    </row>
    <row r="207" spans="1:9" x14ac:dyDescent="0.3">
      <c r="A207" s="17" t="s">
        <v>196</v>
      </c>
      <c r="B207" s="17" t="s">
        <v>64</v>
      </c>
      <c r="C207" s="17" t="s">
        <v>113</v>
      </c>
      <c r="D207" s="17" t="s">
        <v>114</v>
      </c>
      <c r="E207" s="17" t="s">
        <v>93</v>
      </c>
      <c r="F207" s="17" t="s">
        <v>136</v>
      </c>
      <c r="G207" s="17">
        <v>38.908590986012001</v>
      </c>
      <c r="H207" s="17">
        <v>36.033145939999997</v>
      </c>
      <c r="I207" s="17" t="s">
        <v>115</v>
      </c>
    </row>
    <row r="208" spans="1:9" x14ac:dyDescent="0.3">
      <c r="A208" s="17" t="s">
        <v>196</v>
      </c>
      <c r="B208" s="17" t="s">
        <v>64</v>
      </c>
      <c r="C208" s="17" t="s">
        <v>113</v>
      </c>
      <c r="D208" s="17" t="s">
        <v>114</v>
      </c>
      <c r="E208" s="17" t="s">
        <v>93</v>
      </c>
      <c r="F208" s="17" t="s">
        <v>137</v>
      </c>
      <c r="G208" s="17">
        <v>84.165540101999994</v>
      </c>
      <c r="H208" s="17">
        <v>77.945490000000007</v>
      </c>
      <c r="I208" s="17" t="s">
        <v>115</v>
      </c>
    </row>
    <row r="209" spans="1:9" x14ac:dyDescent="0.3">
      <c r="A209" s="17" t="s">
        <v>196</v>
      </c>
      <c r="B209" s="17" t="s">
        <v>64</v>
      </c>
      <c r="C209" s="17" t="s">
        <v>113</v>
      </c>
      <c r="D209" s="17" t="s">
        <v>114</v>
      </c>
      <c r="E209" s="17" t="s">
        <v>95</v>
      </c>
      <c r="F209" s="17" t="s">
        <v>138</v>
      </c>
      <c r="G209" s="17">
        <v>882.25706879999996</v>
      </c>
      <c r="H209" s="17">
        <v>817.05600000000004</v>
      </c>
      <c r="I209" s="17" t="s">
        <v>115</v>
      </c>
    </row>
    <row r="210" spans="1:9" x14ac:dyDescent="0.3">
      <c r="A210" s="17" t="s">
        <v>196</v>
      </c>
      <c r="B210" s="17" t="s">
        <v>64</v>
      </c>
      <c r="C210" s="17" t="s">
        <v>113</v>
      </c>
      <c r="D210" s="17" t="s">
        <v>114</v>
      </c>
      <c r="E210" s="17" t="s">
        <v>95</v>
      </c>
      <c r="F210" s="17" t="s">
        <v>185</v>
      </c>
      <c r="G210" s="17">
        <v>10.106928</v>
      </c>
      <c r="H210" s="17">
        <v>9.36</v>
      </c>
      <c r="I210" s="17" t="s">
        <v>115</v>
      </c>
    </row>
    <row r="211" spans="1:9" x14ac:dyDescent="0.3">
      <c r="A211" s="17" t="s">
        <v>196</v>
      </c>
      <c r="B211" s="17" t="s">
        <v>64</v>
      </c>
      <c r="C211" s="17" t="s">
        <v>113</v>
      </c>
      <c r="D211" s="17" t="s">
        <v>114</v>
      </c>
      <c r="E211" s="17" t="s">
        <v>96</v>
      </c>
      <c r="F211" s="17" t="s">
        <v>96</v>
      </c>
      <c r="G211" s="17">
        <v>1.4633539223400001E-2</v>
      </c>
      <c r="H211" s="17">
        <v>1.3552082999999999E-2</v>
      </c>
      <c r="I211" s="17" t="s">
        <v>115</v>
      </c>
    </row>
    <row r="212" spans="1:9" x14ac:dyDescent="0.3">
      <c r="A212" s="17" t="s">
        <v>196</v>
      </c>
      <c r="B212" s="17" t="s">
        <v>64</v>
      </c>
      <c r="C212" s="17" t="s">
        <v>113</v>
      </c>
      <c r="D212" s="17" t="s">
        <v>114</v>
      </c>
      <c r="E212" s="17" t="s">
        <v>97</v>
      </c>
      <c r="F212" s="17" t="s">
        <v>97</v>
      </c>
      <c r="G212" s="17">
        <v>30.7743</v>
      </c>
      <c r="H212" s="17">
        <v>28.5</v>
      </c>
      <c r="I212" s="17" t="s">
        <v>115</v>
      </c>
    </row>
    <row r="213" spans="1:9" x14ac:dyDescent="0.3">
      <c r="A213" s="17" t="s">
        <v>196</v>
      </c>
      <c r="B213" s="17" t="s">
        <v>64</v>
      </c>
      <c r="C213" s="17" t="s">
        <v>113</v>
      </c>
      <c r="D213" s="17" t="s">
        <v>114</v>
      </c>
      <c r="E213" s="17" t="s">
        <v>99</v>
      </c>
      <c r="F213" s="17" t="s">
        <v>142</v>
      </c>
      <c r="G213" s="17">
        <v>2.8095416979893599</v>
      </c>
      <c r="H213" s="17">
        <v>2.6019093332000001</v>
      </c>
      <c r="I213" s="17" t="s">
        <v>115</v>
      </c>
    </row>
    <row r="214" spans="1:9" x14ac:dyDescent="0.3">
      <c r="A214" s="17" t="s">
        <v>196</v>
      </c>
      <c r="B214" s="17" t="s">
        <v>64</v>
      </c>
      <c r="C214" s="17" t="s">
        <v>113</v>
      </c>
      <c r="D214" s="17" t="s">
        <v>114</v>
      </c>
      <c r="E214" s="17" t="s">
        <v>99</v>
      </c>
      <c r="F214" s="17" t="s">
        <v>143</v>
      </c>
      <c r="G214" s="17">
        <v>2.4753569309278398</v>
      </c>
      <c r="H214" s="17">
        <v>2.2924216808</v>
      </c>
      <c r="I214" s="17" t="s">
        <v>115</v>
      </c>
    </row>
    <row r="215" spans="1:9" x14ac:dyDescent="0.3">
      <c r="A215" s="17" t="s">
        <v>196</v>
      </c>
      <c r="B215" s="17" t="s">
        <v>64</v>
      </c>
      <c r="C215" s="17" t="s">
        <v>113</v>
      </c>
      <c r="D215" s="17" t="s">
        <v>114</v>
      </c>
      <c r="E215" s="17" t="s">
        <v>99</v>
      </c>
      <c r="F215" s="17" t="s">
        <v>144</v>
      </c>
      <c r="G215" s="17">
        <v>1.3100961882186</v>
      </c>
      <c r="H215" s="17">
        <v>1.2132767069999999</v>
      </c>
      <c r="I215" s="17" t="s">
        <v>115</v>
      </c>
    </row>
    <row r="216" spans="1:9" x14ac:dyDescent="0.3">
      <c r="A216" s="17" t="s">
        <v>196</v>
      </c>
      <c r="B216" s="17" t="s">
        <v>64</v>
      </c>
      <c r="C216" s="17" t="s">
        <v>113</v>
      </c>
      <c r="D216" s="17" t="s">
        <v>114</v>
      </c>
      <c r="E216" s="17" t="s">
        <v>99</v>
      </c>
      <c r="F216" s="17" t="s">
        <v>145</v>
      </c>
      <c r="G216" s="17">
        <v>2.4256627200000001E-5</v>
      </c>
      <c r="H216" s="17">
        <v>2.2464E-5</v>
      </c>
      <c r="I216" s="17" t="s">
        <v>115</v>
      </c>
    </row>
    <row r="217" spans="1:9" x14ac:dyDescent="0.3">
      <c r="A217" s="17" t="s">
        <v>196</v>
      </c>
      <c r="B217" s="17" t="s">
        <v>64</v>
      </c>
      <c r="C217" s="17" t="s">
        <v>113</v>
      </c>
      <c r="D217" s="17" t="s">
        <v>114</v>
      </c>
      <c r="E217" s="17" t="s">
        <v>99</v>
      </c>
      <c r="F217" s="17" t="s">
        <v>147</v>
      </c>
      <c r="G217" s="17">
        <v>9.0817139632159996E-2</v>
      </c>
      <c r="H217" s="17">
        <v>8.4105519200000006E-2</v>
      </c>
      <c r="I217" s="17" t="s">
        <v>115</v>
      </c>
    </row>
    <row r="218" spans="1:9" x14ac:dyDescent="0.3">
      <c r="A218" s="17" t="s">
        <v>196</v>
      </c>
      <c r="B218" s="17" t="s">
        <v>64</v>
      </c>
      <c r="C218" s="17" t="s">
        <v>113</v>
      </c>
      <c r="D218" s="17" t="s">
        <v>114</v>
      </c>
      <c r="E218" s="17" t="s">
        <v>99</v>
      </c>
      <c r="F218" s="17" t="s">
        <v>148</v>
      </c>
      <c r="G218" s="17">
        <v>332.35812783986398</v>
      </c>
      <c r="H218" s="17">
        <v>307.79600651959998</v>
      </c>
      <c r="I218" s="17" t="s">
        <v>115</v>
      </c>
    </row>
    <row r="219" spans="1:9" x14ac:dyDescent="0.3">
      <c r="A219" s="17" t="s">
        <v>196</v>
      </c>
      <c r="B219" s="17" t="s">
        <v>64</v>
      </c>
      <c r="C219" s="17" t="s">
        <v>113</v>
      </c>
      <c r="D219" s="17" t="s">
        <v>114</v>
      </c>
      <c r="E219" s="17" t="s">
        <v>99</v>
      </c>
      <c r="F219" s="17" t="s">
        <v>150</v>
      </c>
      <c r="G219" s="17">
        <v>3.7785009479999999E-4</v>
      </c>
      <c r="H219" s="17">
        <v>3.4992600000000002E-4</v>
      </c>
      <c r="I219" s="17" t="s">
        <v>115</v>
      </c>
    </row>
    <row r="220" spans="1:9" x14ac:dyDescent="0.3">
      <c r="A220" s="17" t="s">
        <v>196</v>
      </c>
      <c r="B220" s="17" t="s">
        <v>64</v>
      </c>
      <c r="C220" s="17" t="s">
        <v>113</v>
      </c>
      <c r="D220" s="17" t="s">
        <v>114</v>
      </c>
      <c r="E220" s="17" t="s">
        <v>99</v>
      </c>
      <c r="F220" s="17" t="s">
        <v>151</v>
      </c>
      <c r="G220" s="17">
        <v>8.3777545281880794</v>
      </c>
      <c r="H220" s="17">
        <v>7.7586168995999998</v>
      </c>
      <c r="I220" s="17" t="s">
        <v>115</v>
      </c>
    </row>
    <row r="221" spans="1:9" x14ac:dyDescent="0.3">
      <c r="A221" s="17" t="s">
        <v>196</v>
      </c>
      <c r="B221" s="17" t="s">
        <v>64</v>
      </c>
      <c r="C221" s="17" t="s">
        <v>113</v>
      </c>
      <c r="D221" s="17" t="s">
        <v>114</v>
      </c>
      <c r="E221" s="17" t="s">
        <v>99</v>
      </c>
      <c r="F221" s="17" t="s">
        <v>152</v>
      </c>
      <c r="G221" s="17">
        <v>28.902964918100299</v>
      </c>
      <c r="H221" s="17">
        <v>26.766961398500001</v>
      </c>
      <c r="I221" s="17" t="s">
        <v>115</v>
      </c>
    </row>
    <row r="222" spans="1:9" x14ac:dyDescent="0.3">
      <c r="A222" s="17" t="s">
        <v>196</v>
      </c>
      <c r="B222" s="17" t="s">
        <v>64</v>
      </c>
      <c r="C222" s="17" t="s">
        <v>113</v>
      </c>
      <c r="D222" s="17" t="s">
        <v>114</v>
      </c>
      <c r="E222" s="17" t="s">
        <v>99</v>
      </c>
      <c r="F222" s="17" t="s">
        <v>153</v>
      </c>
      <c r="G222" s="17">
        <v>0</v>
      </c>
      <c r="H222" s="17">
        <v>0</v>
      </c>
      <c r="I222" s="17" t="s">
        <v>115</v>
      </c>
    </row>
    <row r="223" spans="1:9" x14ac:dyDescent="0.3">
      <c r="A223" s="17" t="s">
        <v>196</v>
      </c>
      <c r="B223" s="17" t="s">
        <v>64</v>
      </c>
      <c r="C223" s="17" t="s">
        <v>113</v>
      </c>
      <c r="D223" s="17" t="s">
        <v>114</v>
      </c>
      <c r="E223" s="17" t="s">
        <v>99</v>
      </c>
      <c r="F223" s="17" t="s">
        <v>154</v>
      </c>
      <c r="G223" s="17">
        <v>3.40950596906E-3</v>
      </c>
      <c r="H223" s="17">
        <v>3.1575346999999998E-3</v>
      </c>
      <c r="I223" s="17" t="s">
        <v>115</v>
      </c>
    </row>
    <row r="224" spans="1:9" x14ac:dyDescent="0.3">
      <c r="A224" s="17" t="s">
        <v>196</v>
      </c>
      <c r="B224" s="17" t="s">
        <v>64</v>
      </c>
      <c r="C224" s="17" t="s">
        <v>113</v>
      </c>
      <c r="D224" s="17" t="s">
        <v>114</v>
      </c>
      <c r="E224" s="17" t="s">
        <v>101</v>
      </c>
      <c r="F224" s="17" t="s">
        <v>186</v>
      </c>
      <c r="G224" s="17">
        <v>1555.7728384667701</v>
      </c>
      <c r="H224" s="17">
        <v>1440.7972202878</v>
      </c>
      <c r="I224" s="17" t="s">
        <v>115</v>
      </c>
    </row>
    <row r="225" spans="1:9" x14ac:dyDescent="0.3">
      <c r="A225" s="17" t="s">
        <v>196</v>
      </c>
      <c r="B225" s="17" t="s">
        <v>64</v>
      </c>
      <c r="C225" s="17" t="s">
        <v>113</v>
      </c>
      <c r="D225" s="17" t="s">
        <v>114</v>
      </c>
      <c r="E225" s="17" t="s">
        <v>101</v>
      </c>
      <c r="F225" s="17" t="s">
        <v>155</v>
      </c>
      <c r="G225" s="17">
        <v>201.547024032243</v>
      </c>
      <c r="H225" s="17">
        <v>186.65218006320001</v>
      </c>
      <c r="I225" s="17" t="s">
        <v>115</v>
      </c>
    </row>
    <row r="226" spans="1:9" x14ac:dyDescent="0.3">
      <c r="A226" s="17" t="s">
        <v>196</v>
      </c>
      <c r="B226" s="17" t="s">
        <v>64</v>
      </c>
      <c r="C226" s="17" t="s">
        <v>113</v>
      </c>
      <c r="D226" s="17" t="s">
        <v>114</v>
      </c>
      <c r="E226" s="17" t="s">
        <v>101</v>
      </c>
      <c r="F226" s="17" t="s">
        <v>187</v>
      </c>
      <c r="G226" s="17">
        <v>198.93719066192801</v>
      </c>
      <c r="H226" s="17">
        <v>184.2352200981</v>
      </c>
      <c r="I226" s="17" t="s">
        <v>115</v>
      </c>
    </row>
    <row r="227" spans="1:9" x14ac:dyDescent="0.3">
      <c r="A227" s="17" t="s">
        <v>196</v>
      </c>
      <c r="B227" s="17" t="s">
        <v>64</v>
      </c>
      <c r="C227" s="17" t="s">
        <v>113</v>
      </c>
      <c r="D227" s="17" t="s">
        <v>114</v>
      </c>
      <c r="E227" s="17" t="s">
        <v>101</v>
      </c>
      <c r="F227" s="17" t="s">
        <v>157</v>
      </c>
      <c r="G227" s="17">
        <v>795.93184793122805</v>
      </c>
      <c r="H227" s="17">
        <v>737.11043520210001</v>
      </c>
      <c r="I227" s="17" t="s">
        <v>115</v>
      </c>
    </row>
    <row r="228" spans="1:9" x14ac:dyDescent="0.3">
      <c r="A228" s="17" t="s">
        <v>196</v>
      </c>
      <c r="B228" s="17" t="s">
        <v>64</v>
      </c>
      <c r="C228" s="17" t="s">
        <v>113</v>
      </c>
      <c r="D228" s="17" t="s">
        <v>114</v>
      </c>
      <c r="E228" s="17" t="s">
        <v>101</v>
      </c>
      <c r="F228" s="17" t="s">
        <v>158</v>
      </c>
      <c r="G228" s="17">
        <v>94.912013999466197</v>
      </c>
      <c r="H228" s="17">
        <v>87.897771809100007</v>
      </c>
      <c r="I228" s="17" t="s">
        <v>115</v>
      </c>
    </row>
    <row r="229" spans="1:9" x14ac:dyDescent="0.3">
      <c r="A229" s="17" t="s">
        <v>196</v>
      </c>
      <c r="B229" s="17" t="s">
        <v>64</v>
      </c>
      <c r="C229" s="17" t="s">
        <v>113</v>
      </c>
      <c r="D229" s="17" t="s">
        <v>114</v>
      </c>
      <c r="E229" s="17" t="s">
        <v>101</v>
      </c>
      <c r="F229" s="17" t="s">
        <v>160</v>
      </c>
      <c r="G229" s="17">
        <v>1143.5435128419299</v>
      </c>
      <c r="H229" s="17">
        <v>1059.0327031320001</v>
      </c>
      <c r="I229" s="17" t="s">
        <v>115</v>
      </c>
    </row>
    <row r="230" spans="1:9" x14ac:dyDescent="0.3">
      <c r="A230" s="17" t="s">
        <v>196</v>
      </c>
      <c r="B230" s="17" t="s">
        <v>64</v>
      </c>
      <c r="C230" s="17" t="s">
        <v>113</v>
      </c>
      <c r="D230" s="17" t="s">
        <v>114</v>
      </c>
      <c r="E230" s="17" t="s">
        <v>101</v>
      </c>
      <c r="F230" s="17" t="s">
        <v>188</v>
      </c>
      <c r="G230" s="17">
        <v>185.03024984751701</v>
      </c>
      <c r="H230" s="17">
        <v>171.35603801400001</v>
      </c>
      <c r="I230" s="17" t="s">
        <v>115</v>
      </c>
    </row>
    <row r="231" spans="1:9" x14ac:dyDescent="0.3">
      <c r="A231" s="17" t="s">
        <v>196</v>
      </c>
      <c r="B231" s="17" t="s">
        <v>64</v>
      </c>
      <c r="C231" s="17" t="s">
        <v>113</v>
      </c>
      <c r="D231" s="17" t="s">
        <v>114</v>
      </c>
      <c r="E231" s="17" t="s">
        <v>101</v>
      </c>
      <c r="F231" s="17" t="s">
        <v>189</v>
      </c>
      <c r="G231" s="17">
        <v>46.643044600895998</v>
      </c>
      <c r="H231" s="17">
        <v>43.196003519999998</v>
      </c>
      <c r="I231" s="17" t="s">
        <v>115</v>
      </c>
    </row>
    <row r="232" spans="1:9" x14ac:dyDescent="0.3">
      <c r="A232" s="17" t="s">
        <v>196</v>
      </c>
      <c r="B232" s="17" t="s">
        <v>64</v>
      </c>
      <c r="C232" s="17" t="s">
        <v>113</v>
      </c>
      <c r="D232" s="17" t="s">
        <v>114</v>
      </c>
      <c r="E232" s="17" t="s">
        <v>190</v>
      </c>
      <c r="F232" s="17" t="s">
        <v>191</v>
      </c>
      <c r="G232" s="17">
        <v>85.205237385612506</v>
      </c>
      <c r="H232" s="17">
        <v>78.908350977599994</v>
      </c>
      <c r="I232" s="17" t="s">
        <v>115</v>
      </c>
    </row>
    <row r="233" spans="1:9" x14ac:dyDescent="0.3">
      <c r="A233" s="17" t="s">
        <v>196</v>
      </c>
      <c r="B233" s="17" t="s">
        <v>64</v>
      </c>
      <c r="C233" s="17" t="s">
        <v>113</v>
      </c>
      <c r="D233" s="17" t="s">
        <v>114</v>
      </c>
      <c r="E233" s="17" t="s">
        <v>102</v>
      </c>
      <c r="F233" s="17" t="s">
        <v>165</v>
      </c>
      <c r="G233" s="17">
        <v>24.723100800000001</v>
      </c>
      <c r="H233" s="17">
        <v>22.896000000000001</v>
      </c>
      <c r="I233" s="17" t="s">
        <v>115</v>
      </c>
    </row>
    <row r="234" spans="1:9" x14ac:dyDescent="0.3">
      <c r="A234" s="17" t="s">
        <v>196</v>
      </c>
      <c r="B234" s="17" t="s">
        <v>64</v>
      </c>
      <c r="C234" s="17" t="s">
        <v>113</v>
      </c>
      <c r="D234" s="17" t="s">
        <v>114</v>
      </c>
      <c r="E234" s="17" t="s">
        <v>102</v>
      </c>
      <c r="F234" s="17" t="s">
        <v>166</v>
      </c>
      <c r="G234" s="17">
        <v>248.57100384125101</v>
      </c>
      <c r="H234" s="17">
        <v>230.200966698695</v>
      </c>
      <c r="I234" s="17" t="s">
        <v>115</v>
      </c>
    </row>
    <row r="235" spans="1:9" x14ac:dyDescent="0.3">
      <c r="A235" s="17" t="s">
        <v>196</v>
      </c>
      <c r="B235" s="17" t="s">
        <v>64</v>
      </c>
      <c r="C235" s="17" t="s">
        <v>113</v>
      </c>
      <c r="D235" s="17" t="s">
        <v>114</v>
      </c>
      <c r="E235" s="17" t="s">
        <v>103</v>
      </c>
      <c r="F235" s="17" t="s">
        <v>103</v>
      </c>
      <c r="G235" s="17">
        <v>30.741906</v>
      </c>
      <c r="H235" s="17">
        <v>28.47</v>
      </c>
      <c r="I235" s="17" t="s">
        <v>115</v>
      </c>
    </row>
    <row r="236" spans="1:9" x14ac:dyDescent="0.3">
      <c r="A236" s="17" t="s">
        <v>196</v>
      </c>
      <c r="B236" s="17" t="s">
        <v>64</v>
      </c>
      <c r="C236" s="17" t="s">
        <v>167</v>
      </c>
      <c r="D236" s="17" t="s">
        <v>168</v>
      </c>
      <c r="E236" s="17" t="s">
        <v>100</v>
      </c>
      <c r="F236" s="17" t="s">
        <v>100</v>
      </c>
      <c r="G236" s="17">
        <v>0</v>
      </c>
      <c r="H236" s="17">
        <v>0</v>
      </c>
      <c r="I236" s="17" t="s">
        <v>115</v>
      </c>
    </row>
    <row r="237" spans="1:9" x14ac:dyDescent="0.3">
      <c r="A237" s="17" t="s">
        <v>196</v>
      </c>
      <c r="B237" s="17" t="s">
        <v>64</v>
      </c>
      <c r="C237" s="17" t="s">
        <v>167</v>
      </c>
      <c r="D237" s="17" t="s">
        <v>114</v>
      </c>
      <c r="E237" s="17" t="s">
        <v>100</v>
      </c>
      <c r="F237" s="17" t="s">
        <v>100</v>
      </c>
      <c r="G237" s="17">
        <v>491.352192</v>
      </c>
      <c r="H237" s="17">
        <v>455.04</v>
      </c>
      <c r="I237" s="17" t="s">
        <v>115</v>
      </c>
    </row>
    <row r="238" spans="1:9" x14ac:dyDescent="0.3">
      <c r="A238" s="17" t="s">
        <v>196</v>
      </c>
      <c r="B238" s="17" t="s">
        <v>65</v>
      </c>
      <c r="C238" s="17" t="s">
        <v>113</v>
      </c>
      <c r="D238" s="17" t="s">
        <v>114</v>
      </c>
      <c r="E238" s="17" t="s">
        <v>179</v>
      </c>
      <c r="F238" s="17" t="s">
        <v>179</v>
      </c>
      <c r="G238" s="17">
        <v>422.45220239999998</v>
      </c>
      <c r="H238" s="17">
        <v>371.25599999999997</v>
      </c>
      <c r="I238" s="17" t="s">
        <v>115</v>
      </c>
    </row>
    <row r="239" spans="1:9" x14ac:dyDescent="0.3">
      <c r="A239" s="17" t="s">
        <v>196</v>
      </c>
      <c r="B239" s="17" t="s">
        <v>65</v>
      </c>
      <c r="C239" s="17" t="s">
        <v>113</v>
      </c>
      <c r="D239" s="17" t="s">
        <v>114</v>
      </c>
      <c r="E239" s="17" t="s">
        <v>71</v>
      </c>
      <c r="F239" s="17" t="s">
        <v>71</v>
      </c>
      <c r="G239" s="17">
        <v>49.949258399999998</v>
      </c>
      <c r="H239" s="17">
        <v>43.896000000000001</v>
      </c>
      <c r="I239" s="17" t="s">
        <v>115</v>
      </c>
    </row>
    <row r="240" spans="1:9" x14ac:dyDescent="0.3">
      <c r="A240" s="17" t="s">
        <v>196</v>
      </c>
      <c r="B240" s="17" t="s">
        <v>65</v>
      </c>
      <c r="C240" s="17" t="s">
        <v>113</v>
      </c>
      <c r="D240" s="17" t="s">
        <v>114</v>
      </c>
      <c r="E240" s="17" t="s">
        <v>72</v>
      </c>
      <c r="F240" s="17" t="s">
        <v>180</v>
      </c>
      <c r="G240" s="17">
        <v>364.88501225020002</v>
      </c>
      <c r="H240" s="17">
        <v>320.66527133333301</v>
      </c>
      <c r="I240" s="17" t="s">
        <v>115</v>
      </c>
    </row>
    <row r="241" spans="1:9" x14ac:dyDescent="0.3">
      <c r="A241" s="17" t="s">
        <v>196</v>
      </c>
      <c r="B241" s="17" t="s">
        <v>65</v>
      </c>
      <c r="C241" s="17" t="s">
        <v>113</v>
      </c>
      <c r="D241" s="17" t="s">
        <v>114</v>
      </c>
      <c r="E241" s="17" t="s">
        <v>73</v>
      </c>
      <c r="F241" s="17" t="s">
        <v>169</v>
      </c>
      <c r="G241" s="17">
        <v>0</v>
      </c>
      <c r="H241" s="17">
        <v>0</v>
      </c>
      <c r="I241" s="17" t="s">
        <v>115</v>
      </c>
    </row>
    <row r="242" spans="1:9" x14ac:dyDescent="0.3">
      <c r="A242" s="17" t="s">
        <v>196</v>
      </c>
      <c r="B242" s="17" t="s">
        <v>65</v>
      </c>
      <c r="C242" s="17" t="s">
        <v>113</v>
      </c>
      <c r="D242" s="17" t="s">
        <v>114</v>
      </c>
      <c r="E242" s="17" t="s">
        <v>73</v>
      </c>
      <c r="F242" s="17" t="s">
        <v>117</v>
      </c>
      <c r="G242" s="17">
        <v>0</v>
      </c>
      <c r="H242" s="17">
        <v>0</v>
      </c>
      <c r="I242" s="17" t="s">
        <v>115</v>
      </c>
    </row>
    <row r="243" spans="1:9" x14ac:dyDescent="0.3">
      <c r="A243" s="17" t="s">
        <v>196</v>
      </c>
      <c r="B243" s="17" t="s">
        <v>65</v>
      </c>
      <c r="C243" s="17" t="s">
        <v>113</v>
      </c>
      <c r="D243" s="17" t="s">
        <v>114</v>
      </c>
      <c r="E243" s="17" t="s">
        <v>73</v>
      </c>
      <c r="F243" s="17" t="s">
        <v>181</v>
      </c>
      <c r="G243" s="17">
        <v>103.28490720000001</v>
      </c>
      <c r="H243" s="17">
        <v>90.768000000000001</v>
      </c>
      <c r="I243" s="17" t="s">
        <v>115</v>
      </c>
    </row>
    <row r="244" spans="1:9" x14ac:dyDescent="0.3">
      <c r="A244" s="17" t="s">
        <v>196</v>
      </c>
      <c r="B244" s="17" t="s">
        <v>65</v>
      </c>
      <c r="C244" s="17" t="s">
        <v>113</v>
      </c>
      <c r="D244" s="17" t="s">
        <v>114</v>
      </c>
      <c r="E244" s="17" t="s">
        <v>73</v>
      </c>
      <c r="F244" s="17" t="s">
        <v>118</v>
      </c>
      <c r="G244" s="17">
        <v>570.73520579399997</v>
      </c>
      <c r="H244" s="17">
        <v>501.56885999999997</v>
      </c>
      <c r="I244" s="17" t="s">
        <v>115</v>
      </c>
    </row>
    <row r="245" spans="1:9" x14ac:dyDescent="0.3">
      <c r="A245" s="17" t="s">
        <v>196</v>
      </c>
      <c r="B245" s="17" t="s">
        <v>65</v>
      </c>
      <c r="C245" s="17" t="s">
        <v>113</v>
      </c>
      <c r="D245" s="17" t="s">
        <v>114</v>
      </c>
      <c r="E245" s="17" t="s">
        <v>73</v>
      </c>
      <c r="F245" s="17" t="s">
        <v>120</v>
      </c>
      <c r="G245" s="17">
        <v>35.736669440919599</v>
      </c>
      <c r="H245" s="17">
        <v>31.4058084549781</v>
      </c>
      <c r="I245" s="17" t="s">
        <v>115</v>
      </c>
    </row>
    <row r="246" spans="1:9" x14ac:dyDescent="0.3">
      <c r="A246" s="17" t="s">
        <v>196</v>
      </c>
      <c r="B246" s="17" t="s">
        <v>65</v>
      </c>
      <c r="C246" s="17" t="s">
        <v>113</v>
      </c>
      <c r="D246" s="17" t="s">
        <v>114</v>
      </c>
      <c r="E246" s="17" t="s">
        <v>74</v>
      </c>
      <c r="F246" s="17" t="s">
        <v>121</v>
      </c>
      <c r="G246" s="17">
        <v>146.98777734000001</v>
      </c>
      <c r="H246" s="17">
        <v>129.1746</v>
      </c>
      <c r="I246" s="17" t="s">
        <v>115</v>
      </c>
    </row>
    <row r="247" spans="1:9" x14ac:dyDescent="0.3">
      <c r="A247" s="17" t="s">
        <v>196</v>
      </c>
      <c r="B247" s="17" t="s">
        <v>65</v>
      </c>
      <c r="C247" s="17" t="s">
        <v>113</v>
      </c>
      <c r="D247" s="17" t="s">
        <v>114</v>
      </c>
      <c r="E247" s="17" t="s">
        <v>76</v>
      </c>
      <c r="F247" s="17" t="s">
        <v>122</v>
      </c>
      <c r="G247" s="17">
        <v>251.862786</v>
      </c>
      <c r="H247" s="17">
        <v>221.34</v>
      </c>
      <c r="I247" s="17" t="s">
        <v>115</v>
      </c>
    </row>
    <row r="248" spans="1:9" x14ac:dyDescent="0.3">
      <c r="A248" s="17" t="s">
        <v>196</v>
      </c>
      <c r="B248" s="17" t="s">
        <v>65</v>
      </c>
      <c r="C248" s="17" t="s">
        <v>113</v>
      </c>
      <c r="D248" s="17" t="s">
        <v>114</v>
      </c>
      <c r="E248" s="17" t="s">
        <v>182</v>
      </c>
      <c r="F248" s="17" t="s">
        <v>182</v>
      </c>
      <c r="G248" s="17">
        <v>28.7843184</v>
      </c>
      <c r="H248" s="17">
        <v>25.295999999999999</v>
      </c>
      <c r="I248" s="17" t="s">
        <v>115</v>
      </c>
    </row>
    <row r="249" spans="1:9" x14ac:dyDescent="0.3">
      <c r="A249" s="17" t="s">
        <v>196</v>
      </c>
      <c r="B249" s="17" t="s">
        <v>65</v>
      </c>
      <c r="C249" s="17" t="s">
        <v>113</v>
      </c>
      <c r="D249" s="17" t="s">
        <v>114</v>
      </c>
      <c r="E249" s="17" t="s">
        <v>182</v>
      </c>
      <c r="F249" s="17" t="s">
        <v>192</v>
      </c>
      <c r="G249" s="17">
        <v>8.2477527558803594E-9</v>
      </c>
      <c r="H249" s="17">
        <v>7.2482228279113797E-9</v>
      </c>
      <c r="I249" s="17" t="s">
        <v>115</v>
      </c>
    </row>
    <row r="250" spans="1:9" x14ac:dyDescent="0.3">
      <c r="A250" s="17" t="s">
        <v>196</v>
      </c>
      <c r="B250" s="17" t="s">
        <v>65</v>
      </c>
      <c r="C250" s="17" t="s">
        <v>113</v>
      </c>
      <c r="D250" s="17" t="s">
        <v>114</v>
      </c>
      <c r="E250" s="17" t="s">
        <v>182</v>
      </c>
      <c r="F250" s="17" t="s">
        <v>183</v>
      </c>
      <c r="G250" s="17">
        <v>273.87523392000003</v>
      </c>
      <c r="H250" s="17">
        <v>240.6848</v>
      </c>
      <c r="I250" s="17" t="s">
        <v>115</v>
      </c>
    </row>
    <row r="251" spans="1:9" x14ac:dyDescent="0.3">
      <c r="A251" s="17" t="s">
        <v>196</v>
      </c>
      <c r="B251" s="17" t="s">
        <v>65</v>
      </c>
      <c r="C251" s="17" t="s">
        <v>113</v>
      </c>
      <c r="D251" s="17" t="s">
        <v>114</v>
      </c>
      <c r="E251" s="17" t="s">
        <v>80</v>
      </c>
      <c r="F251" s="17" t="s">
        <v>80</v>
      </c>
      <c r="G251" s="17">
        <v>1.3874609599512</v>
      </c>
      <c r="H251" s="17">
        <v>1.2193171279999999</v>
      </c>
      <c r="I251" s="17" t="s">
        <v>115</v>
      </c>
    </row>
    <row r="252" spans="1:9" x14ac:dyDescent="0.3">
      <c r="A252" s="17" t="s">
        <v>196</v>
      </c>
      <c r="B252" s="17" t="s">
        <v>65</v>
      </c>
      <c r="C252" s="17" t="s">
        <v>113</v>
      </c>
      <c r="D252" s="17" t="s">
        <v>114</v>
      </c>
      <c r="E252" s="17" t="s">
        <v>77</v>
      </c>
      <c r="F252" s="17" t="s">
        <v>77</v>
      </c>
      <c r="G252" s="17">
        <v>1.8798107999999999E-4</v>
      </c>
      <c r="H252" s="17">
        <v>1.652E-4</v>
      </c>
      <c r="I252" s="17" t="s">
        <v>115</v>
      </c>
    </row>
    <row r="253" spans="1:9" x14ac:dyDescent="0.3">
      <c r="A253" s="17" t="s">
        <v>196</v>
      </c>
      <c r="B253" s="17" t="s">
        <v>65</v>
      </c>
      <c r="C253" s="17" t="s">
        <v>113</v>
      </c>
      <c r="D253" s="17" t="s">
        <v>114</v>
      </c>
      <c r="E253" s="17" t="s">
        <v>81</v>
      </c>
      <c r="F253" s="17" t="s">
        <v>81</v>
      </c>
      <c r="G253" s="17">
        <v>72.983854366554596</v>
      </c>
      <c r="H253" s="17">
        <v>64.139075812070203</v>
      </c>
      <c r="I253" s="17" t="s">
        <v>115</v>
      </c>
    </row>
    <row r="254" spans="1:9" x14ac:dyDescent="0.3">
      <c r="A254" s="17" t="s">
        <v>196</v>
      </c>
      <c r="B254" s="17" t="s">
        <v>65</v>
      </c>
      <c r="C254" s="17" t="s">
        <v>113</v>
      </c>
      <c r="D254" s="17" t="s">
        <v>114</v>
      </c>
      <c r="E254" s="17" t="s">
        <v>82</v>
      </c>
      <c r="F254" s="17" t="s">
        <v>82</v>
      </c>
      <c r="G254" s="17">
        <v>225.116197989537</v>
      </c>
      <c r="H254" s="17">
        <v>197.834781606061</v>
      </c>
      <c r="I254" s="17" t="s">
        <v>115</v>
      </c>
    </row>
    <row r="255" spans="1:9" x14ac:dyDescent="0.3">
      <c r="A255" s="17" t="s">
        <v>196</v>
      </c>
      <c r="B255" s="17" t="s">
        <v>65</v>
      </c>
      <c r="C255" s="17" t="s">
        <v>113</v>
      </c>
      <c r="D255" s="17" t="s">
        <v>114</v>
      </c>
      <c r="E255" s="17" t="s">
        <v>83</v>
      </c>
      <c r="F255" s="17" t="s">
        <v>127</v>
      </c>
      <c r="G255" s="17">
        <v>0.99893656875770698</v>
      </c>
      <c r="H255" s="17">
        <v>0.87787729041014695</v>
      </c>
      <c r="I255" s="17" t="s">
        <v>115</v>
      </c>
    </row>
    <row r="256" spans="1:9" x14ac:dyDescent="0.3">
      <c r="A256" s="17" t="s">
        <v>196</v>
      </c>
      <c r="B256" s="17" t="s">
        <v>65</v>
      </c>
      <c r="C256" s="17" t="s">
        <v>113</v>
      </c>
      <c r="D256" s="17" t="s">
        <v>114</v>
      </c>
      <c r="E256" s="17" t="s">
        <v>83</v>
      </c>
      <c r="F256" s="17" t="s">
        <v>128</v>
      </c>
      <c r="G256" s="17">
        <v>23.2935664097445</v>
      </c>
      <c r="H256" s="17">
        <v>20.4706621054086</v>
      </c>
      <c r="I256" s="17" t="s">
        <v>115</v>
      </c>
    </row>
    <row r="257" spans="1:9" x14ac:dyDescent="0.3">
      <c r="A257" s="17" t="s">
        <v>196</v>
      </c>
      <c r="B257" s="17" t="s">
        <v>65</v>
      </c>
      <c r="C257" s="17" t="s">
        <v>113</v>
      </c>
      <c r="D257" s="17" t="s">
        <v>114</v>
      </c>
      <c r="E257" s="17" t="s">
        <v>84</v>
      </c>
      <c r="F257" s="17" t="s">
        <v>129</v>
      </c>
      <c r="G257" s="17">
        <v>7268.0639158659997</v>
      </c>
      <c r="H257" s="17">
        <v>6387.2606695368704</v>
      </c>
      <c r="I257" s="17" t="s">
        <v>115</v>
      </c>
    </row>
    <row r="258" spans="1:9" x14ac:dyDescent="0.3">
      <c r="A258" s="17" t="s">
        <v>196</v>
      </c>
      <c r="B258" s="17" t="s">
        <v>65</v>
      </c>
      <c r="C258" s="17" t="s">
        <v>113</v>
      </c>
      <c r="D258" s="17" t="s">
        <v>114</v>
      </c>
      <c r="E258" s="17" t="s">
        <v>85</v>
      </c>
      <c r="F258" s="17" t="s">
        <v>85</v>
      </c>
      <c r="G258" s="17">
        <v>156.15147261387199</v>
      </c>
      <c r="H258" s="17">
        <v>137.22776396332901</v>
      </c>
      <c r="I258" s="17" t="s">
        <v>115</v>
      </c>
    </row>
    <row r="259" spans="1:9" x14ac:dyDescent="0.3">
      <c r="A259" s="17" t="s">
        <v>196</v>
      </c>
      <c r="B259" s="17" t="s">
        <v>65</v>
      </c>
      <c r="C259" s="17" t="s">
        <v>113</v>
      </c>
      <c r="D259" s="17" t="s">
        <v>114</v>
      </c>
      <c r="E259" s="17" t="s">
        <v>89</v>
      </c>
      <c r="F259" s="17" t="s">
        <v>89</v>
      </c>
      <c r="G259" s="17">
        <v>4.7403457487999998E-2</v>
      </c>
      <c r="H259" s="17">
        <v>4.1658720000000003E-2</v>
      </c>
      <c r="I259" s="17" t="s">
        <v>115</v>
      </c>
    </row>
    <row r="260" spans="1:9" x14ac:dyDescent="0.3">
      <c r="A260" s="17" t="s">
        <v>196</v>
      </c>
      <c r="B260" s="17" t="s">
        <v>65</v>
      </c>
      <c r="C260" s="17" t="s">
        <v>113</v>
      </c>
      <c r="D260" s="17" t="s">
        <v>114</v>
      </c>
      <c r="E260" s="17" t="s">
        <v>90</v>
      </c>
      <c r="F260" s="17" t="s">
        <v>90</v>
      </c>
      <c r="G260" s="17">
        <v>125.038937942749</v>
      </c>
      <c r="H260" s="17">
        <v>109.885699923323</v>
      </c>
      <c r="I260" s="17" t="s">
        <v>115</v>
      </c>
    </row>
    <row r="261" spans="1:9" x14ac:dyDescent="0.3">
      <c r="A261" s="17" t="s">
        <v>196</v>
      </c>
      <c r="B261" s="17" t="s">
        <v>65</v>
      </c>
      <c r="C261" s="17" t="s">
        <v>113</v>
      </c>
      <c r="D261" s="17" t="s">
        <v>114</v>
      </c>
      <c r="E261" s="17" t="s">
        <v>91</v>
      </c>
      <c r="F261" s="17" t="s">
        <v>91</v>
      </c>
      <c r="G261" s="17">
        <v>73.970948829879703</v>
      </c>
      <c r="H261" s="17">
        <v>65.006546119939998</v>
      </c>
      <c r="I261" s="17" t="s">
        <v>115</v>
      </c>
    </row>
    <row r="262" spans="1:9" x14ac:dyDescent="0.3">
      <c r="A262" s="17" t="s">
        <v>196</v>
      </c>
      <c r="B262" s="17" t="s">
        <v>65</v>
      </c>
      <c r="C262" s="17" t="s">
        <v>113</v>
      </c>
      <c r="D262" s="17" t="s">
        <v>114</v>
      </c>
      <c r="E262" s="17" t="s">
        <v>93</v>
      </c>
      <c r="F262" s="17" t="s">
        <v>130</v>
      </c>
      <c r="G262" s="17">
        <v>161.4698465706</v>
      </c>
      <c r="H262" s="17">
        <v>141.901614</v>
      </c>
      <c r="I262" s="17" t="s">
        <v>115</v>
      </c>
    </row>
    <row r="263" spans="1:9" x14ac:dyDescent="0.3">
      <c r="A263" s="17" t="s">
        <v>196</v>
      </c>
      <c r="B263" s="17" t="s">
        <v>65</v>
      </c>
      <c r="C263" s="17" t="s">
        <v>113</v>
      </c>
      <c r="D263" s="17" t="s">
        <v>114</v>
      </c>
      <c r="E263" s="17" t="s">
        <v>93</v>
      </c>
      <c r="F263" s="17" t="s">
        <v>131</v>
      </c>
      <c r="G263" s="17">
        <v>53.84360736</v>
      </c>
      <c r="H263" s="17">
        <v>47.318399999999997</v>
      </c>
      <c r="I263" s="17" t="s">
        <v>115</v>
      </c>
    </row>
    <row r="264" spans="1:9" x14ac:dyDescent="0.3">
      <c r="A264" s="17" t="s">
        <v>196</v>
      </c>
      <c r="B264" s="17" t="s">
        <v>65</v>
      </c>
      <c r="C264" s="17" t="s">
        <v>113</v>
      </c>
      <c r="D264" s="17" t="s">
        <v>114</v>
      </c>
      <c r="E264" s="17" t="s">
        <v>93</v>
      </c>
      <c r="F264" s="17" t="s">
        <v>184</v>
      </c>
      <c r="G264" s="17">
        <v>0.36841057859232001</v>
      </c>
      <c r="H264" s="17">
        <v>0.32376358080000001</v>
      </c>
      <c r="I264" s="17" t="s">
        <v>115</v>
      </c>
    </row>
    <row r="265" spans="1:9" x14ac:dyDescent="0.3">
      <c r="A265" s="17" t="s">
        <v>196</v>
      </c>
      <c r="B265" s="17" t="s">
        <v>65</v>
      </c>
      <c r="C265" s="17" t="s">
        <v>113</v>
      </c>
      <c r="D265" s="17" t="s">
        <v>114</v>
      </c>
      <c r="E265" s="17" t="s">
        <v>93</v>
      </c>
      <c r="F265" s="17" t="s">
        <v>132</v>
      </c>
      <c r="G265" s="17">
        <v>0.84871409399999997</v>
      </c>
      <c r="H265" s="17">
        <v>0.74585999999999997</v>
      </c>
      <c r="I265" s="17" t="s">
        <v>115</v>
      </c>
    </row>
    <row r="266" spans="1:9" x14ac:dyDescent="0.3">
      <c r="A266" s="17" t="s">
        <v>196</v>
      </c>
      <c r="B266" s="17" t="s">
        <v>65</v>
      </c>
      <c r="C266" s="17" t="s">
        <v>113</v>
      </c>
      <c r="D266" s="17" t="s">
        <v>114</v>
      </c>
      <c r="E266" s="17" t="s">
        <v>93</v>
      </c>
      <c r="F266" s="17" t="s">
        <v>134</v>
      </c>
      <c r="G266" s="17">
        <v>9.327526459425</v>
      </c>
      <c r="H266" s="17">
        <v>8.1971407500000009</v>
      </c>
      <c r="I266" s="17" t="s">
        <v>115</v>
      </c>
    </row>
    <row r="267" spans="1:9" x14ac:dyDescent="0.3">
      <c r="A267" s="17" t="s">
        <v>196</v>
      </c>
      <c r="B267" s="17" t="s">
        <v>65</v>
      </c>
      <c r="C267" s="17" t="s">
        <v>113</v>
      </c>
      <c r="D267" s="17" t="s">
        <v>114</v>
      </c>
      <c r="E267" s="17" t="s">
        <v>93</v>
      </c>
      <c r="F267" s="17" t="s">
        <v>136</v>
      </c>
      <c r="G267" s="17">
        <v>41.779940007737999</v>
      </c>
      <c r="H267" s="17">
        <v>36.716706219999999</v>
      </c>
      <c r="I267" s="17" t="s">
        <v>115</v>
      </c>
    </row>
    <row r="268" spans="1:9" x14ac:dyDescent="0.3">
      <c r="A268" s="17" t="s">
        <v>196</v>
      </c>
      <c r="B268" s="17" t="s">
        <v>65</v>
      </c>
      <c r="C268" s="17" t="s">
        <v>113</v>
      </c>
      <c r="D268" s="17" t="s">
        <v>114</v>
      </c>
      <c r="E268" s="17" t="s">
        <v>93</v>
      </c>
      <c r="F268" s="17" t="s">
        <v>137</v>
      </c>
      <c r="G268" s="17">
        <v>96.749162349000002</v>
      </c>
      <c r="H268" s="17">
        <v>85.02431</v>
      </c>
      <c r="I268" s="17" t="s">
        <v>115</v>
      </c>
    </row>
    <row r="269" spans="1:9" x14ac:dyDescent="0.3">
      <c r="A269" s="17" t="s">
        <v>196</v>
      </c>
      <c r="B269" s="17" t="s">
        <v>65</v>
      </c>
      <c r="C269" s="17" t="s">
        <v>113</v>
      </c>
      <c r="D269" s="17" t="s">
        <v>114</v>
      </c>
      <c r="E269" s="17" t="s">
        <v>95</v>
      </c>
      <c r="F269" s="17" t="s">
        <v>138</v>
      </c>
      <c r="G269" s="17">
        <v>960.71895647999997</v>
      </c>
      <c r="H269" s="17">
        <v>844.2912</v>
      </c>
      <c r="I269" s="17" t="s">
        <v>115</v>
      </c>
    </row>
    <row r="270" spans="1:9" x14ac:dyDescent="0.3">
      <c r="A270" s="17" t="s">
        <v>196</v>
      </c>
      <c r="B270" s="17" t="s">
        <v>65</v>
      </c>
      <c r="C270" s="17" t="s">
        <v>113</v>
      </c>
      <c r="D270" s="17" t="s">
        <v>114</v>
      </c>
      <c r="E270" s="17" t="s">
        <v>95</v>
      </c>
      <c r="F270" s="17" t="s">
        <v>185</v>
      </c>
      <c r="G270" s="17">
        <v>11.0057688</v>
      </c>
      <c r="H270" s="17">
        <v>9.6720000000000006</v>
      </c>
      <c r="I270" s="17" t="s">
        <v>115</v>
      </c>
    </row>
    <row r="271" spans="1:9" x14ac:dyDescent="0.3">
      <c r="A271" s="17" t="s">
        <v>196</v>
      </c>
      <c r="B271" s="17" t="s">
        <v>65</v>
      </c>
      <c r="C271" s="17" t="s">
        <v>113</v>
      </c>
      <c r="D271" s="17" t="s">
        <v>114</v>
      </c>
      <c r="E271" s="17" t="s">
        <v>96</v>
      </c>
      <c r="F271" s="17" t="s">
        <v>96</v>
      </c>
      <c r="G271" s="17">
        <v>156.77272804063699</v>
      </c>
      <c r="H271" s="17">
        <v>137.77373059199999</v>
      </c>
      <c r="I271" s="17" t="s">
        <v>115</v>
      </c>
    </row>
    <row r="272" spans="1:9" x14ac:dyDescent="0.3">
      <c r="A272" s="17" t="s">
        <v>196</v>
      </c>
      <c r="B272" s="17" t="s">
        <v>65</v>
      </c>
      <c r="C272" s="17" t="s">
        <v>113</v>
      </c>
      <c r="D272" s="17" t="s">
        <v>114</v>
      </c>
      <c r="E272" s="17" t="s">
        <v>97</v>
      </c>
      <c r="F272" s="17" t="s">
        <v>97</v>
      </c>
      <c r="G272" s="17">
        <v>31.901020683142001</v>
      </c>
      <c r="H272" s="17">
        <v>28.034994888076302</v>
      </c>
      <c r="I272" s="17" t="s">
        <v>115</v>
      </c>
    </row>
    <row r="273" spans="1:9" x14ac:dyDescent="0.3">
      <c r="A273" s="17" t="s">
        <v>196</v>
      </c>
      <c r="B273" s="17" t="s">
        <v>65</v>
      </c>
      <c r="C273" s="17" t="s">
        <v>113</v>
      </c>
      <c r="D273" s="17" t="s">
        <v>114</v>
      </c>
      <c r="E273" s="17" t="s">
        <v>99</v>
      </c>
      <c r="F273" s="17" t="s">
        <v>142</v>
      </c>
      <c r="G273" s="17">
        <v>2.9588272241664</v>
      </c>
      <c r="H273" s="17">
        <v>2.600252416</v>
      </c>
      <c r="I273" s="17" t="s">
        <v>115</v>
      </c>
    </row>
    <row r="274" spans="1:9" x14ac:dyDescent="0.3">
      <c r="A274" s="17" t="s">
        <v>196</v>
      </c>
      <c r="B274" s="17" t="s">
        <v>65</v>
      </c>
      <c r="C274" s="17" t="s">
        <v>113</v>
      </c>
      <c r="D274" s="17" t="s">
        <v>114</v>
      </c>
      <c r="E274" s="17" t="s">
        <v>99</v>
      </c>
      <c r="F274" s="17" t="s">
        <v>143</v>
      </c>
      <c r="G274" s="17">
        <v>3.51127550714964</v>
      </c>
      <c r="H274" s="17">
        <v>3.0857505116000001</v>
      </c>
      <c r="I274" s="17" t="s">
        <v>115</v>
      </c>
    </row>
    <row r="275" spans="1:9" x14ac:dyDescent="0.3">
      <c r="A275" s="17" t="s">
        <v>196</v>
      </c>
      <c r="B275" s="17" t="s">
        <v>65</v>
      </c>
      <c r="C275" s="17" t="s">
        <v>113</v>
      </c>
      <c r="D275" s="17" t="s">
        <v>114</v>
      </c>
      <c r="E275" s="17" t="s">
        <v>99</v>
      </c>
      <c r="F275" s="17" t="s">
        <v>144</v>
      </c>
      <c r="G275" s="17">
        <v>1.3115797746048601</v>
      </c>
      <c r="H275" s="17">
        <v>1.1526318434</v>
      </c>
      <c r="I275" s="17" t="s">
        <v>115</v>
      </c>
    </row>
    <row r="276" spans="1:9" x14ac:dyDescent="0.3">
      <c r="A276" s="17" t="s">
        <v>196</v>
      </c>
      <c r="B276" s="17" t="s">
        <v>65</v>
      </c>
      <c r="C276" s="17" t="s">
        <v>113</v>
      </c>
      <c r="D276" s="17" t="s">
        <v>114</v>
      </c>
      <c r="E276" s="17" t="s">
        <v>99</v>
      </c>
      <c r="F276" s="17" t="s">
        <v>145</v>
      </c>
      <c r="G276" s="17">
        <v>2.517125832E-5</v>
      </c>
      <c r="H276" s="17">
        <v>2.21208E-5</v>
      </c>
      <c r="I276" s="17" t="s">
        <v>115</v>
      </c>
    </row>
    <row r="277" spans="1:9" x14ac:dyDescent="0.3">
      <c r="A277" s="17" t="s">
        <v>196</v>
      </c>
      <c r="B277" s="17" t="s">
        <v>65</v>
      </c>
      <c r="C277" s="17" t="s">
        <v>113</v>
      </c>
      <c r="D277" s="17" t="s">
        <v>114</v>
      </c>
      <c r="E277" s="17" t="s">
        <v>99</v>
      </c>
      <c r="F277" s="17" t="s">
        <v>147</v>
      </c>
      <c r="G277" s="17">
        <v>8.8385511175833001E-2</v>
      </c>
      <c r="H277" s="17">
        <v>7.7674234270000003E-2</v>
      </c>
      <c r="I277" s="17" t="s">
        <v>115</v>
      </c>
    </row>
    <row r="278" spans="1:9" x14ac:dyDescent="0.3">
      <c r="A278" s="17" t="s">
        <v>196</v>
      </c>
      <c r="B278" s="17" t="s">
        <v>65</v>
      </c>
      <c r="C278" s="17" t="s">
        <v>113</v>
      </c>
      <c r="D278" s="17" t="s">
        <v>114</v>
      </c>
      <c r="E278" s="17" t="s">
        <v>99</v>
      </c>
      <c r="F278" s="17" t="s">
        <v>148</v>
      </c>
      <c r="G278" s="17">
        <v>358.39290690113</v>
      </c>
      <c r="H278" s="17">
        <v>314.9599322446</v>
      </c>
      <c r="I278" s="17" t="s">
        <v>115</v>
      </c>
    </row>
    <row r="279" spans="1:9" x14ac:dyDescent="0.3">
      <c r="A279" s="17" t="s">
        <v>196</v>
      </c>
      <c r="B279" s="17" t="s">
        <v>65</v>
      </c>
      <c r="C279" s="17" t="s">
        <v>113</v>
      </c>
      <c r="D279" s="17" t="s">
        <v>114</v>
      </c>
      <c r="E279" s="17" t="s">
        <v>99</v>
      </c>
      <c r="F279" s="17" t="s">
        <v>150</v>
      </c>
      <c r="G279" s="17">
        <v>4.0086851519999998E-4</v>
      </c>
      <c r="H279" s="17">
        <v>3.5228800000000003E-4</v>
      </c>
      <c r="I279" s="17" t="s">
        <v>115</v>
      </c>
    </row>
    <row r="280" spans="1:9" x14ac:dyDescent="0.3">
      <c r="A280" s="17" t="s">
        <v>196</v>
      </c>
      <c r="B280" s="17" t="s">
        <v>65</v>
      </c>
      <c r="C280" s="17" t="s">
        <v>113</v>
      </c>
      <c r="D280" s="17" t="s">
        <v>114</v>
      </c>
      <c r="E280" s="17" t="s">
        <v>99</v>
      </c>
      <c r="F280" s="17" t="s">
        <v>193</v>
      </c>
      <c r="G280" s="17">
        <v>8.0563320000000003E-6</v>
      </c>
      <c r="H280" s="17">
        <v>7.08E-6</v>
      </c>
      <c r="I280" s="17" t="s">
        <v>115</v>
      </c>
    </row>
    <row r="281" spans="1:9" x14ac:dyDescent="0.3">
      <c r="A281" s="17" t="s">
        <v>196</v>
      </c>
      <c r="B281" s="17" t="s">
        <v>65</v>
      </c>
      <c r="C281" s="17" t="s">
        <v>113</v>
      </c>
      <c r="D281" s="17" t="s">
        <v>114</v>
      </c>
      <c r="E281" s="17" t="s">
        <v>99</v>
      </c>
      <c r="F281" s="17" t="s">
        <v>151</v>
      </c>
      <c r="G281" s="17">
        <v>8.7321685202335804</v>
      </c>
      <c r="H281" s="17">
        <v>7.6739331401999999</v>
      </c>
      <c r="I281" s="17" t="s">
        <v>115</v>
      </c>
    </row>
    <row r="282" spans="1:9" x14ac:dyDescent="0.3">
      <c r="A282" s="17" t="s">
        <v>196</v>
      </c>
      <c r="B282" s="17" t="s">
        <v>65</v>
      </c>
      <c r="C282" s="17" t="s">
        <v>113</v>
      </c>
      <c r="D282" s="17" t="s">
        <v>114</v>
      </c>
      <c r="E282" s="17" t="s">
        <v>99</v>
      </c>
      <c r="F282" s="17" t="s">
        <v>152</v>
      </c>
      <c r="G282" s="17">
        <v>64.667250900584605</v>
      </c>
      <c r="H282" s="17">
        <v>56.8303461645</v>
      </c>
      <c r="I282" s="17" t="s">
        <v>115</v>
      </c>
    </row>
    <row r="283" spans="1:9" x14ac:dyDescent="0.3">
      <c r="A283" s="17" t="s">
        <v>196</v>
      </c>
      <c r="B283" s="17" t="s">
        <v>65</v>
      </c>
      <c r="C283" s="17" t="s">
        <v>113</v>
      </c>
      <c r="D283" s="17" t="s">
        <v>114</v>
      </c>
      <c r="E283" s="17" t="s">
        <v>99</v>
      </c>
      <c r="F283" s="17" t="s">
        <v>154</v>
      </c>
      <c r="G283" s="17">
        <v>1.5956882076300001E-3</v>
      </c>
      <c r="H283" s="17">
        <v>1.4023097E-3</v>
      </c>
      <c r="I283" s="17" t="s">
        <v>115</v>
      </c>
    </row>
    <row r="284" spans="1:9" x14ac:dyDescent="0.3">
      <c r="A284" s="17" t="s">
        <v>196</v>
      </c>
      <c r="B284" s="17" t="s">
        <v>65</v>
      </c>
      <c r="C284" s="17" t="s">
        <v>113</v>
      </c>
      <c r="D284" s="17" t="s">
        <v>114</v>
      </c>
      <c r="E284" s="17" t="s">
        <v>101</v>
      </c>
      <c r="F284" s="17" t="s">
        <v>186</v>
      </c>
      <c r="G284" s="17">
        <v>255.07985687999999</v>
      </c>
      <c r="H284" s="17">
        <v>224.16720000000001</v>
      </c>
      <c r="I284" s="17" t="s">
        <v>115</v>
      </c>
    </row>
    <row r="285" spans="1:9" x14ac:dyDescent="0.3">
      <c r="A285" s="17" t="s">
        <v>196</v>
      </c>
      <c r="B285" s="17" t="s">
        <v>65</v>
      </c>
      <c r="C285" s="17" t="s">
        <v>113</v>
      </c>
      <c r="D285" s="17" t="s">
        <v>114</v>
      </c>
      <c r="E285" s="17" t="s">
        <v>101</v>
      </c>
      <c r="F285" s="17" t="s">
        <v>155</v>
      </c>
      <c r="G285" s="17">
        <v>349.18502690486201</v>
      </c>
      <c r="H285" s="17">
        <v>306.86793822380002</v>
      </c>
      <c r="I285" s="17" t="s">
        <v>115</v>
      </c>
    </row>
    <row r="286" spans="1:9" x14ac:dyDescent="0.3">
      <c r="A286" s="17" t="s">
        <v>196</v>
      </c>
      <c r="B286" s="17" t="s">
        <v>65</v>
      </c>
      <c r="C286" s="17" t="s">
        <v>113</v>
      </c>
      <c r="D286" s="17" t="s">
        <v>114</v>
      </c>
      <c r="E286" s="17" t="s">
        <v>101</v>
      </c>
      <c r="F286" s="17" t="s">
        <v>187</v>
      </c>
      <c r="G286" s="17">
        <v>233.83648260571999</v>
      </c>
      <c r="H286" s="17">
        <v>205.49827103059999</v>
      </c>
      <c r="I286" s="17" t="s">
        <v>115</v>
      </c>
    </row>
    <row r="287" spans="1:9" x14ac:dyDescent="0.3">
      <c r="A287" s="17" t="s">
        <v>196</v>
      </c>
      <c r="B287" s="17" t="s">
        <v>65</v>
      </c>
      <c r="C287" s="17" t="s">
        <v>113</v>
      </c>
      <c r="D287" s="17" t="s">
        <v>114</v>
      </c>
      <c r="E287" s="17" t="s">
        <v>101</v>
      </c>
      <c r="F287" s="17" t="s">
        <v>157</v>
      </c>
      <c r="G287" s="17">
        <v>763.96610222272102</v>
      </c>
      <c r="H287" s="17">
        <v>671.38246086890001</v>
      </c>
      <c r="I287" s="17" t="s">
        <v>115</v>
      </c>
    </row>
    <row r="288" spans="1:9" x14ac:dyDescent="0.3">
      <c r="A288" s="17" t="s">
        <v>196</v>
      </c>
      <c r="B288" s="17" t="s">
        <v>65</v>
      </c>
      <c r="C288" s="17" t="s">
        <v>113</v>
      </c>
      <c r="D288" s="17" t="s">
        <v>114</v>
      </c>
      <c r="E288" s="17" t="s">
        <v>101</v>
      </c>
      <c r="F288" s="17" t="s">
        <v>158</v>
      </c>
      <c r="G288" s="17">
        <v>103.353376701575</v>
      </c>
      <c r="H288" s="17">
        <v>90.828171809099999</v>
      </c>
      <c r="I288" s="17" t="s">
        <v>115</v>
      </c>
    </row>
    <row r="289" spans="1:9" x14ac:dyDescent="0.3">
      <c r="A289" s="17" t="s">
        <v>196</v>
      </c>
      <c r="B289" s="17" t="s">
        <v>65</v>
      </c>
      <c r="C289" s="17" t="s">
        <v>113</v>
      </c>
      <c r="D289" s="17" t="s">
        <v>114</v>
      </c>
      <c r="E289" s="17" t="s">
        <v>101</v>
      </c>
      <c r="F289" s="17" t="s">
        <v>160</v>
      </c>
      <c r="G289" s="17">
        <v>1238.73871817234</v>
      </c>
      <c r="H289" s="17">
        <v>1088.618260104</v>
      </c>
      <c r="I289" s="17" t="s">
        <v>115</v>
      </c>
    </row>
    <row r="290" spans="1:9" x14ac:dyDescent="0.3">
      <c r="A290" s="17" t="s">
        <v>196</v>
      </c>
      <c r="B290" s="17" t="s">
        <v>65</v>
      </c>
      <c r="C290" s="17" t="s">
        <v>113</v>
      </c>
      <c r="D290" s="17" t="s">
        <v>114</v>
      </c>
      <c r="E290" s="17" t="s">
        <v>101</v>
      </c>
      <c r="F290" s="17" t="s">
        <v>188</v>
      </c>
      <c r="G290" s="17">
        <v>201.48098764555601</v>
      </c>
      <c r="H290" s="17">
        <v>177.06387876400001</v>
      </c>
      <c r="I290" s="17" t="s">
        <v>115</v>
      </c>
    </row>
    <row r="291" spans="1:9" x14ac:dyDescent="0.3">
      <c r="A291" s="17" t="s">
        <v>196</v>
      </c>
      <c r="B291" s="17" t="s">
        <v>65</v>
      </c>
      <c r="C291" s="17" t="s">
        <v>113</v>
      </c>
      <c r="D291" s="17" t="s">
        <v>114</v>
      </c>
      <c r="E291" s="17" t="s">
        <v>101</v>
      </c>
      <c r="F291" s="17" t="s">
        <v>189</v>
      </c>
      <c r="G291" s="17">
        <v>50.794719442721998</v>
      </c>
      <c r="H291" s="17">
        <v>44.639001180000001</v>
      </c>
      <c r="I291" s="17" t="s">
        <v>115</v>
      </c>
    </row>
    <row r="292" spans="1:9" x14ac:dyDescent="0.3">
      <c r="A292" s="17" t="s">
        <v>196</v>
      </c>
      <c r="B292" s="17" t="s">
        <v>65</v>
      </c>
      <c r="C292" s="17" t="s">
        <v>113</v>
      </c>
      <c r="D292" s="17" t="s">
        <v>114</v>
      </c>
      <c r="E292" s="17" t="s">
        <v>190</v>
      </c>
      <c r="F292" s="17" t="s">
        <v>191</v>
      </c>
      <c r="G292" s="17">
        <v>92.782942243134201</v>
      </c>
      <c r="H292" s="17">
        <v>81.538748785600006</v>
      </c>
      <c r="I292" s="17" t="s">
        <v>115</v>
      </c>
    </row>
    <row r="293" spans="1:9" x14ac:dyDescent="0.3">
      <c r="A293" s="17" t="s">
        <v>196</v>
      </c>
      <c r="B293" s="17" t="s">
        <v>65</v>
      </c>
      <c r="C293" s="17" t="s">
        <v>113</v>
      </c>
      <c r="D293" s="17" t="s">
        <v>114</v>
      </c>
      <c r="E293" s="17" t="s">
        <v>102</v>
      </c>
      <c r="F293" s="17" t="s">
        <v>165</v>
      </c>
      <c r="G293" s="17">
        <v>26.92180368</v>
      </c>
      <c r="H293" s="17">
        <v>23.659199999999998</v>
      </c>
      <c r="I293" s="17" t="s">
        <v>115</v>
      </c>
    </row>
    <row r="294" spans="1:9" x14ac:dyDescent="0.3">
      <c r="A294" s="17" t="s">
        <v>196</v>
      </c>
      <c r="B294" s="17" t="s">
        <v>65</v>
      </c>
      <c r="C294" s="17" t="s">
        <v>113</v>
      </c>
      <c r="D294" s="17" t="s">
        <v>114</v>
      </c>
      <c r="E294" s="17" t="s">
        <v>102</v>
      </c>
      <c r="F294" s="17" t="s">
        <v>166</v>
      </c>
      <c r="G294" s="17">
        <v>273.04641540372899</v>
      </c>
      <c r="H294" s="17">
        <v>239.956424469399</v>
      </c>
      <c r="I294" s="17" t="s">
        <v>115</v>
      </c>
    </row>
    <row r="295" spans="1:9" x14ac:dyDescent="0.3">
      <c r="A295" s="17" t="s">
        <v>196</v>
      </c>
      <c r="B295" s="17" t="s">
        <v>65</v>
      </c>
      <c r="C295" s="17" t="s">
        <v>113</v>
      </c>
      <c r="D295" s="17" t="s">
        <v>114</v>
      </c>
      <c r="E295" s="17" t="s">
        <v>103</v>
      </c>
      <c r="F295" s="17" t="s">
        <v>103</v>
      </c>
      <c r="G295" s="17">
        <v>33.475880099999998</v>
      </c>
      <c r="H295" s="17">
        <v>29.419</v>
      </c>
      <c r="I295" s="17" t="s">
        <v>115</v>
      </c>
    </row>
    <row r="296" spans="1:9" x14ac:dyDescent="0.3">
      <c r="A296" s="17" t="s">
        <v>196</v>
      </c>
      <c r="B296" s="17" t="s">
        <v>65</v>
      </c>
      <c r="C296" s="17" t="s">
        <v>167</v>
      </c>
      <c r="D296" s="17" t="s">
        <v>168</v>
      </c>
      <c r="E296" s="17" t="s">
        <v>100</v>
      </c>
      <c r="F296" s="17" t="s">
        <v>100</v>
      </c>
      <c r="G296" s="17">
        <v>0</v>
      </c>
      <c r="H296" s="17">
        <v>0</v>
      </c>
      <c r="I296" s="17" t="s">
        <v>115</v>
      </c>
    </row>
    <row r="297" spans="1:9" x14ac:dyDescent="0.3">
      <c r="A297" s="17" t="s">
        <v>196</v>
      </c>
      <c r="B297" s="17" t="s">
        <v>65</v>
      </c>
      <c r="C297" s="17" t="s">
        <v>167</v>
      </c>
      <c r="D297" s="17" t="s">
        <v>114</v>
      </c>
      <c r="E297" s="17" t="s">
        <v>100</v>
      </c>
      <c r="F297" s="17" t="s">
        <v>100</v>
      </c>
      <c r="G297" s="17">
        <v>535.0496832</v>
      </c>
      <c r="H297" s="17">
        <v>470.20800000000003</v>
      </c>
      <c r="I297" s="17" t="s">
        <v>115</v>
      </c>
    </row>
    <row r="298" spans="1:9" x14ac:dyDescent="0.3">
      <c r="A298" s="17" t="s">
        <v>196</v>
      </c>
      <c r="B298" s="17" t="s">
        <v>66</v>
      </c>
      <c r="C298" s="17" t="s">
        <v>113</v>
      </c>
      <c r="D298" s="17" t="s">
        <v>114</v>
      </c>
      <c r="E298" s="17" t="s">
        <v>179</v>
      </c>
      <c r="F298" s="17" t="s">
        <v>179</v>
      </c>
      <c r="G298" s="17">
        <v>406.05825599999997</v>
      </c>
      <c r="H298" s="17">
        <v>359.28</v>
      </c>
      <c r="I298" s="17" t="s">
        <v>115</v>
      </c>
    </row>
    <row r="299" spans="1:9" x14ac:dyDescent="0.3">
      <c r="A299" s="17" t="s">
        <v>196</v>
      </c>
      <c r="B299" s="17" t="s">
        <v>66</v>
      </c>
      <c r="C299" s="17" t="s">
        <v>113</v>
      </c>
      <c r="D299" s="17" t="s">
        <v>114</v>
      </c>
      <c r="E299" s="17" t="s">
        <v>71</v>
      </c>
      <c r="F299" s="17" t="s">
        <v>71</v>
      </c>
      <c r="G299" s="17">
        <v>48.010896000000002</v>
      </c>
      <c r="H299" s="17">
        <v>42.48</v>
      </c>
      <c r="I299" s="17" t="s">
        <v>115</v>
      </c>
    </row>
    <row r="300" spans="1:9" x14ac:dyDescent="0.3">
      <c r="A300" s="17" t="s">
        <v>196</v>
      </c>
      <c r="B300" s="17" t="s">
        <v>66</v>
      </c>
      <c r="C300" s="17" t="s">
        <v>113</v>
      </c>
      <c r="D300" s="17" t="s">
        <v>114</v>
      </c>
      <c r="E300" s="17" t="s">
        <v>72</v>
      </c>
      <c r="F300" s="17" t="s">
        <v>180</v>
      </c>
      <c r="G300" s="17">
        <v>350.75621375999998</v>
      </c>
      <c r="H300" s="17">
        <v>310.34879999999998</v>
      </c>
      <c r="I300" s="17" t="s">
        <v>115</v>
      </c>
    </row>
    <row r="301" spans="1:9" x14ac:dyDescent="0.3">
      <c r="A301" s="17" t="s">
        <v>196</v>
      </c>
      <c r="B301" s="17" t="s">
        <v>66</v>
      </c>
      <c r="C301" s="17" t="s">
        <v>113</v>
      </c>
      <c r="D301" s="17" t="s">
        <v>114</v>
      </c>
      <c r="E301" s="17" t="s">
        <v>73</v>
      </c>
      <c r="F301" s="17" t="s">
        <v>169</v>
      </c>
      <c r="G301" s="17">
        <v>0</v>
      </c>
      <c r="H301" s="17">
        <v>0</v>
      </c>
      <c r="I301" s="17" t="s">
        <v>115</v>
      </c>
    </row>
    <row r="302" spans="1:9" x14ac:dyDescent="0.3">
      <c r="A302" s="17" t="s">
        <v>196</v>
      </c>
      <c r="B302" s="17" t="s">
        <v>66</v>
      </c>
      <c r="C302" s="17" t="s">
        <v>113</v>
      </c>
      <c r="D302" s="17" t="s">
        <v>114</v>
      </c>
      <c r="E302" s="17" t="s">
        <v>73</v>
      </c>
      <c r="F302" s="17" t="s">
        <v>117</v>
      </c>
      <c r="G302" s="17">
        <v>0</v>
      </c>
      <c r="H302" s="17">
        <v>0</v>
      </c>
      <c r="I302" s="17" t="s">
        <v>115</v>
      </c>
    </row>
    <row r="303" spans="1:9" x14ac:dyDescent="0.3">
      <c r="A303" s="17" t="s">
        <v>196</v>
      </c>
      <c r="B303" s="17" t="s">
        <v>66</v>
      </c>
      <c r="C303" s="17" t="s">
        <v>113</v>
      </c>
      <c r="D303" s="17" t="s">
        <v>114</v>
      </c>
      <c r="E303" s="17" t="s">
        <v>73</v>
      </c>
      <c r="F303" s="17" t="s">
        <v>181</v>
      </c>
      <c r="G303" s="17">
        <v>99.276768000000004</v>
      </c>
      <c r="H303" s="17">
        <v>87.84</v>
      </c>
      <c r="I303" s="17" t="s">
        <v>115</v>
      </c>
    </row>
    <row r="304" spans="1:9" x14ac:dyDescent="0.3">
      <c r="A304" s="17" t="s">
        <v>196</v>
      </c>
      <c r="B304" s="17" t="s">
        <v>66</v>
      </c>
      <c r="C304" s="17" t="s">
        <v>113</v>
      </c>
      <c r="D304" s="17" t="s">
        <v>114</v>
      </c>
      <c r="E304" s="17" t="s">
        <v>73</v>
      </c>
      <c r="F304" s="17" t="s">
        <v>118</v>
      </c>
      <c r="G304" s="17">
        <v>473.78459414177001</v>
      </c>
      <c r="H304" s="17">
        <v>419.20420646060001</v>
      </c>
      <c r="I304" s="17" t="s">
        <v>115</v>
      </c>
    </row>
    <row r="305" spans="1:9" x14ac:dyDescent="0.3">
      <c r="A305" s="17" t="s">
        <v>196</v>
      </c>
      <c r="B305" s="17" t="s">
        <v>66</v>
      </c>
      <c r="C305" s="17" t="s">
        <v>113</v>
      </c>
      <c r="D305" s="17" t="s">
        <v>114</v>
      </c>
      <c r="E305" s="17" t="s">
        <v>73</v>
      </c>
      <c r="F305" s="17" t="s">
        <v>120</v>
      </c>
      <c r="G305" s="17">
        <v>11.8233984172603</v>
      </c>
      <c r="H305" s="17">
        <v>10.4613328767123</v>
      </c>
      <c r="I305" s="17" t="s">
        <v>115</v>
      </c>
    </row>
    <row r="306" spans="1:9" x14ac:dyDescent="0.3">
      <c r="A306" s="17" t="s">
        <v>196</v>
      </c>
      <c r="B306" s="17" t="s">
        <v>66</v>
      </c>
      <c r="C306" s="17" t="s">
        <v>113</v>
      </c>
      <c r="D306" s="17" t="s">
        <v>114</v>
      </c>
      <c r="E306" s="17" t="s">
        <v>74</v>
      </c>
      <c r="F306" s="17" t="s">
        <v>121</v>
      </c>
      <c r="G306" s="17">
        <v>33.414249980000001</v>
      </c>
      <c r="H306" s="17">
        <v>29.564900000000002</v>
      </c>
      <c r="I306" s="17" t="s">
        <v>115</v>
      </c>
    </row>
    <row r="307" spans="1:9" x14ac:dyDescent="0.3">
      <c r="A307" s="17" t="s">
        <v>196</v>
      </c>
      <c r="B307" s="17" t="s">
        <v>66</v>
      </c>
      <c r="C307" s="17" t="s">
        <v>113</v>
      </c>
      <c r="D307" s="17" t="s">
        <v>114</v>
      </c>
      <c r="E307" s="17" t="s">
        <v>76</v>
      </c>
      <c r="F307" s="17" t="s">
        <v>122</v>
      </c>
      <c r="G307" s="17">
        <v>242.08884</v>
      </c>
      <c r="H307" s="17">
        <v>214.2</v>
      </c>
      <c r="I307" s="17" t="s">
        <v>115</v>
      </c>
    </row>
    <row r="308" spans="1:9" x14ac:dyDescent="0.3">
      <c r="A308" s="17" t="s">
        <v>196</v>
      </c>
      <c r="B308" s="17" t="s">
        <v>66</v>
      </c>
      <c r="C308" s="17" t="s">
        <v>113</v>
      </c>
      <c r="D308" s="17" t="s">
        <v>114</v>
      </c>
      <c r="E308" s="17" t="s">
        <v>182</v>
      </c>
      <c r="F308" s="17" t="s">
        <v>182</v>
      </c>
      <c r="G308" s="17">
        <v>27.667296</v>
      </c>
      <c r="H308" s="17">
        <v>24.48</v>
      </c>
      <c r="I308" s="17" t="s">
        <v>115</v>
      </c>
    </row>
    <row r="309" spans="1:9" x14ac:dyDescent="0.3">
      <c r="A309" s="17" t="s">
        <v>196</v>
      </c>
      <c r="B309" s="17" t="s">
        <v>66</v>
      </c>
      <c r="C309" s="17" t="s">
        <v>113</v>
      </c>
      <c r="D309" s="17" t="s">
        <v>114</v>
      </c>
      <c r="E309" s="17" t="s">
        <v>182</v>
      </c>
      <c r="F309" s="17" t="s">
        <v>192</v>
      </c>
      <c r="G309" s="17">
        <v>1.22879121601582E-8</v>
      </c>
      <c r="H309" s="17">
        <v>1.08723342418671E-8</v>
      </c>
      <c r="I309" s="17" t="s">
        <v>115</v>
      </c>
    </row>
    <row r="310" spans="1:9" x14ac:dyDescent="0.3">
      <c r="A310" s="17" t="s">
        <v>196</v>
      </c>
      <c r="B310" s="17" t="s">
        <v>66</v>
      </c>
      <c r="C310" s="17" t="s">
        <v>113</v>
      </c>
      <c r="D310" s="17" t="s">
        <v>114</v>
      </c>
      <c r="E310" s="17" t="s">
        <v>182</v>
      </c>
      <c r="F310" s="17" t="s">
        <v>183</v>
      </c>
      <c r="G310" s="17">
        <v>263.24705899354802</v>
      </c>
      <c r="H310" s="17">
        <v>232.920774193548</v>
      </c>
      <c r="I310" s="17" t="s">
        <v>115</v>
      </c>
    </row>
    <row r="311" spans="1:9" x14ac:dyDescent="0.3">
      <c r="A311" s="17" t="s">
        <v>196</v>
      </c>
      <c r="B311" s="17" t="s">
        <v>66</v>
      </c>
      <c r="C311" s="17" t="s">
        <v>113</v>
      </c>
      <c r="D311" s="17" t="s">
        <v>114</v>
      </c>
      <c r="E311" s="17" t="s">
        <v>80</v>
      </c>
      <c r="F311" s="17" t="s">
        <v>80</v>
      </c>
      <c r="G311" s="17">
        <v>1.00745246931945</v>
      </c>
      <c r="H311" s="17">
        <v>0.89139308911648796</v>
      </c>
      <c r="I311" s="17" t="s">
        <v>115</v>
      </c>
    </row>
    <row r="312" spans="1:9" x14ac:dyDescent="0.3">
      <c r="A312" s="17" t="s">
        <v>196</v>
      </c>
      <c r="B312" s="17" t="s">
        <v>66</v>
      </c>
      <c r="C312" s="17" t="s">
        <v>113</v>
      </c>
      <c r="D312" s="17" t="s">
        <v>114</v>
      </c>
      <c r="E312" s="17" t="s">
        <v>77</v>
      </c>
      <c r="F312" s="17" t="s">
        <v>77</v>
      </c>
      <c r="G312" s="17">
        <v>1.6003632000000001E-4</v>
      </c>
      <c r="H312" s="17">
        <v>1.416E-4</v>
      </c>
      <c r="I312" s="17" t="s">
        <v>115</v>
      </c>
    </row>
    <row r="313" spans="1:9" x14ac:dyDescent="0.3">
      <c r="A313" s="17" t="s">
        <v>196</v>
      </c>
      <c r="B313" s="17" t="s">
        <v>66</v>
      </c>
      <c r="C313" s="17" t="s">
        <v>113</v>
      </c>
      <c r="D313" s="17" t="s">
        <v>114</v>
      </c>
      <c r="E313" s="17" t="s">
        <v>81</v>
      </c>
      <c r="F313" s="17" t="s">
        <v>81</v>
      </c>
      <c r="G313" s="17">
        <v>62.065116765577798</v>
      </c>
      <c r="H313" s="17">
        <v>54.915162595627201</v>
      </c>
      <c r="I313" s="17" t="s">
        <v>115</v>
      </c>
    </row>
    <row r="314" spans="1:9" x14ac:dyDescent="0.3">
      <c r="A314" s="17" t="s">
        <v>196</v>
      </c>
      <c r="B314" s="17" t="s">
        <v>66</v>
      </c>
      <c r="C314" s="17" t="s">
        <v>113</v>
      </c>
      <c r="D314" s="17" t="s">
        <v>114</v>
      </c>
      <c r="E314" s="17" t="s">
        <v>82</v>
      </c>
      <c r="F314" s="17" t="s">
        <v>82</v>
      </c>
      <c r="G314" s="17">
        <v>224.51917922816801</v>
      </c>
      <c r="H314" s="17">
        <v>198.65437907287901</v>
      </c>
      <c r="I314" s="17" t="s">
        <v>115</v>
      </c>
    </row>
    <row r="315" spans="1:9" x14ac:dyDescent="0.3">
      <c r="A315" s="17" t="s">
        <v>196</v>
      </c>
      <c r="B315" s="17" t="s">
        <v>66</v>
      </c>
      <c r="C315" s="17" t="s">
        <v>113</v>
      </c>
      <c r="D315" s="17" t="s">
        <v>114</v>
      </c>
      <c r="E315" s="17" t="s">
        <v>83</v>
      </c>
      <c r="F315" s="17" t="s">
        <v>127</v>
      </c>
      <c r="G315" s="17">
        <v>0.94591321171737797</v>
      </c>
      <c r="H315" s="17">
        <v>0.83694320626205798</v>
      </c>
      <c r="I315" s="17" t="s">
        <v>115</v>
      </c>
    </row>
    <row r="316" spans="1:9" x14ac:dyDescent="0.3">
      <c r="A316" s="17" t="s">
        <v>196</v>
      </c>
      <c r="B316" s="17" t="s">
        <v>66</v>
      </c>
      <c r="C316" s="17" t="s">
        <v>113</v>
      </c>
      <c r="D316" s="17" t="s">
        <v>114</v>
      </c>
      <c r="E316" s="17" t="s">
        <v>83</v>
      </c>
      <c r="F316" s="17" t="s">
        <v>128</v>
      </c>
      <c r="G316" s="17">
        <v>15.0849694672695</v>
      </c>
      <c r="H316" s="17">
        <v>13.3471681713586</v>
      </c>
      <c r="I316" s="17" t="s">
        <v>115</v>
      </c>
    </row>
    <row r="317" spans="1:9" x14ac:dyDescent="0.3">
      <c r="A317" s="17" t="s">
        <v>196</v>
      </c>
      <c r="B317" s="17" t="s">
        <v>66</v>
      </c>
      <c r="C317" s="17" t="s">
        <v>113</v>
      </c>
      <c r="D317" s="17" t="s">
        <v>114</v>
      </c>
      <c r="E317" s="17" t="s">
        <v>84</v>
      </c>
      <c r="F317" s="17" t="s">
        <v>129</v>
      </c>
      <c r="G317" s="17">
        <v>6999.1816940606404</v>
      </c>
      <c r="H317" s="17">
        <v>6192.8700177496403</v>
      </c>
      <c r="I317" s="17" t="s">
        <v>115</v>
      </c>
    </row>
    <row r="318" spans="1:9" x14ac:dyDescent="0.3">
      <c r="A318" s="17" t="s">
        <v>196</v>
      </c>
      <c r="B318" s="17" t="s">
        <v>66</v>
      </c>
      <c r="C318" s="17" t="s">
        <v>113</v>
      </c>
      <c r="D318" s="17" t="s">
        <v>114</v>
      </c>
      <c r="E318" s="17" t="s">
        <v>85</v>
      </c>
      <c r="F318" s="17" t="s">
        <v>85</v>
      </c>
      <c r="G318" s="17">
        <v>150.09176015937501</v>
      </c>
      <c r="H318" s="17">
        <v>132.801061899996</v>
      </c>
      <c r="I318" s="17" t="s">
        <v>115</v>
      </c>
    </row>
    <row r="319" spans="1:9" x14ac:dyDescent="0.3">
      <c r="A319" s="17" t="s">
        <v>196</v>
      </c>
      <c r="B319" s="17" t="s">
        <v>66</v>
      </c>
      <c r="C319" s="17" t="s">
        <v>113</v>
      </c>
      <c r="D319" s="17" t="s">
        <v>114</v>
      </c>
      <c r="E319" s="17" t="s">
        <v>89</v>
      </c>
      <c r="F319" s="17" t="s">
        <v>89</v>
      </c>
      <c r="G319" s="17">
        <v>0.28199399810999998</v>
      </c>
      <c r="H319" s="17">
        <v>0.24950805000000001</v>
      </c>
      <c r="I319" s="17" t="s">
        <v>115</v>
      </c>
    </row>
    <row r="320" spans="1:9" x14ac:dyDescent="0.3">
      <c r="A320" s="17" t="s">
        <v>196</v>
      </c>
      <c r="B320" s="17" t="s">
        <v>66</v>
      </c>
      <c r="C320" s="17" t="s">
        <v>113</v>
      </c>
      <c r="D320" s="17" t="s">
        <v>114</v>
      </c>
      <c r="E320" s="17" t="s">
        <v>90</v>
      </c>
      <c r="F320" s="17" t="s">
        <v>90</v>
      </c>
      <c r="G320" s="17">
        <v>57.8929456167129</v>
      </c>
      <c r="H320" s="17">
        <v>51.223629106983601</v>
      </c>
      <c r="I320" s="17" t="s">
        <v>115</v>
      </c>
    </row>
    <row r="321" spans="1:9" x14ac:dyDescent="0.3">
      <c r="A321" s="17" t="s">
        <v>196</v>
      </c>
      <c r="B321" s="17" t="s">
        <v>66</v>
      </c>
      <c r="C321" s="17" t="s">
        <v>113</v>
      </c>
      <c r="D321" s="17" t="s">
        <v>114</v>
      </c>
      <c r="E321" s="17" t="s">
        <v>91</v>
      </c>
      <c r="F321" s="17" t="s">
        <v>91</v>
      </c>
      <c r="G321" s="17">
        <v>2.45718499904E-4</v>
      </c>
      <c r="H321" s="17">
        <v>2.1741151999999999E-4</v>
      </c>
      <c r="I321" s="17" t="s">
        <v>115</v>
      </c>
    </row>
    <row r="322" spans="1:9" x14ac:dyDescent="0.3">
      <c r="A322" s="17" t="s">
        <v>196</v>
      </c>
      <c r="B322" s="17" t="s">
        <v>66</v>
      </c>
      <c r="C322" s="17" t="s">
        <v>113</v>
      </c>
      <c r="D322" s="17" t="s">
        <v>114</v>
      </c>
      <c r="E322" s="17" t="s">
        <v>93</v>
      </c>
      <c r="F322" s="17" t="s">
        <v>130</v>
      </c>
      <c r="G322" s="17">
        <v>32.509350829200002</v>
      </c>
      <c r="H322" s="17">
        <v>28.764246</v>
      </c>
      <c r="I322" s="17" t="s">
        <v>115</v>
      </c>
    </row>
    <row r="323" spans="1:9" x14ac:dyDescent="0.3">
      <c r="A323" s="17" t="s">
        <v>196</v>
      </c>
      <c r="B323" s="17" t="s">
        <v>66</v>
      </c>
      <c r="C323" s="17" t="s">
        <v>113</v>
      </c>
      <c r="D323" s="17" t="s">
        <v>114</v>
      </c>
      <c r="E323" s="17" t="s">
        <v>93</v>
      </c>
      <c r="F323" s="17" t="s">
        <v>131</v>
      </c>
      <c r="G323" s="17">
        <v>43.811298839999999</v>
      </c>
      <c r="H323" s="17">
        <v>38.764200000000002</v>
      </c>
      <c r="I323" s="17" t="s">
        <v>115</v>
      </c>
    </row>
    <row r="324" spans="1:9" x14ac:dyDescent="0.3">
      <c r="A324" s="17" t="s">
        <v>196</v>
      </c>
      <c r="B324" s="17" t="s">
        <v>66</v>
      </c>
      <c r="C324" s="17" t="s">
        <v>113</v>
      </c>
      <c r="D324" s="17" t="s">
        <v>114</v>
      </c>
      <c r="E324" s="17" t="s">
        <v>93</v>
      </c>
      <c r="F324" s="17" t="s">
        <v>132</v>
      </c>
      <c r="G324" s="17">
        <v>0.66032726139999998</v>
      </c>
      <c r="H324" s="17">
        <v>0.58425700000000003</v>
      </c>
      <c r="I324" s="17" t="s">
        <v>115</v>
      </c>
    </row>
    <row r="325" spans="1:9" x14ac:dyDescent="0.3">
      <c r="A325" s="17" t="s">
        <v>196</v>
      </c>
      <c r="B325" s="17" t="s">
        <v>66</v>
      </c>
      <c r="C325" s="17" t="s">
        <v>113</v>
      </c>
      <c r="D325" s="17" t="s">
        <v>114</v>
      </c>
      <c r="E325" s="17" t="s">
        <v>93</v>
      </c>
      <c r="F325" s="17" t="s">
        <v>134</v>
      </c>
      <c r="G325" s="17">
        <v>9.9211873328750002</v>
      </c>
      <c r="H325" s="17">
        <v>8.7782581250000007</v>
      </c>
      <c r="I325" s="17" t="s">
        <v>115</v>
      </c>
    </row>
    <row r="326" spans="1:9" x14ac:dyDescent="0.3">
      <c r="A326" s="17" t="s">
        <v>196</v>
      </c>
      <c r="B326" s="17" t="s">
        <v>66</v>
      </c>
      <c r="C326" s="17" t="s">
        <v>113</v>
      </c>
      <c r="D326" s="17" t="s">
        <v>114</v>
      </c>
      <c r="E326" s="17" t="s">
        <v>93</v>
      </c>
      <c r="F326" s="17" t="s">
        <v>136</v>
      </c>
      <c r="G326" s="17">
        <v>29.137324355168001</v>
      </c>
      <c r="H326" s="17">
        <v>25.780679840000001</v>
      </c>
      <c r="I326" s="17" t="s">
        <v>115</v>
      </c>
    </row>
    <row r="327" spans="1:9" x14ac:dyDescent="0.3">
      <c r="A327" s="17" t="s">
        <v>196</v>
      </c>
      <c r="B327" s="17" t="s">
        <v>66</v>
      </c>
      <c r="C327" s="17" t="s">
        <v>113</v>
      </c>
      <c r="D327" s="17" t="s">
        <v>114</v>
      </c>
      <c r="E327" s="17" t="s">
        <v>93</v>
      </c>
      <c r="F327" s="17" t="s">
        <v>137</v>
      </c>
      <c r="G327" s="17">
        <v>77.255533025999995</v>
      </c>
      <c r="H327" s="17">
        <v>68.355630000000005</v>
      </c>
      <c r="I327" s="17" t="s">
        <v>115</v>
      </c>
    </row>
    <row r="328" spans="1:9" x14ac:dyDescent="0.3">
      <c r="A328" s="17" t="s">
        <v>196</v>
      </c>
      <c r="B328" s="17" t="s">
        <v>66</v>
      </c>
      <c r="C328" s="17" t="s">
        <v>113</v>
      </c>
      <c r="D328" s="17" t="s">
        <v>114</v>
      </c>
      <c r="E328" s="17" t="s">
        <v>95</v>
      </c>
      <c r="F328" s="17" t="s">
        <v>138</v>
      </c>
      <c r="G328" s="17">
        <v>923.43669120000004</v>
      </c>
      <c r="H328" s="17">
        <v>817.05600000000004</v>
      </c>
      <c r="I328" s="17" t="s">
        <v>115</v>
      </c>
    </row>
    <row r="329" spans="1:9" x14ac:dyDescent="0.3">
      <c r="A329" s="17" t="s">
        <v>196</v>
      </c>
      <c r="B329" s="17" t="s">
        <v>66</v>
      </c>
      <c r="C329" s="17" t="s">
        <v>113</v>
      </c>
      <c r="D329" s="17" t="s">
        <v>114</v>
      </c>
      <c r="E329" s="17" t="s">
        <v>95</v>
      </c>
      <c r="F329" s="17" t="s">
        <v>185</v>
      </c>
      <c r="G329" s="17">
        <v>10.563979399999999</v>
      </c>
      <c r="H329" s="17">
        <v>9.3469999999999995</v>
      </c>
      <c r="I329" s="17" t="s">
        <v>115</v>
      </c>
    </row>
    <row r="330" spans="1:9" x14ac:dyDescent="0.3">
      <c r="A330" s="17" t="s">
        <v>196</v>
      </c>
      <c r="B330" s="17" t="s">
        <v>66</v>
      </c>
      <c r="C330" s="17" t="s">
        <v>113</v>
      </c>
      <c r="D330" s="17" t="s">
        <v>114</v>
      </c>
      <c r="E330" s="17" t="s">
        <v>96</v>
      </c>
      <c r="F330" s="17" t="s">
        <v>96</v>
      </c>
      <c r="G330" s="17">
        <v>400.362195453803</v>
      </c>
      <c r="H330" s="17">
        <v>354.24013046699997</v>
      </c>
      <c r="I330" s="17" t="s">
        <v>115</v>
      </c>
    </row>
    <row r="331" spans="1:9" x14ac:dyDescent="0.3">
      <c r="A331" s="17" t="s">
        <v>196</v>
      </c>
      <c r="B331" s="17" t="s">
        <v>66</v>
      </c>
      <c r="C331" s="17" t="s">
        <v>113</v>
      </c>
      <c r="D331" s="17" t="s">
        <v>114</v>
      </c>
      <c r="E331" s="17" t="s">
        <v>99</v>
      </c>
      <c r="F331" s="17" t="s">
        <v>142</v>
      </c>
      <c r="G331" s="17">
        <v>2.9355655814766002</v>
      </c>
      <c r="H331" s="17">
        <v>2.597385933</v>
      </c>
      <c r="I331" s="17" t="s">
        <v>115</v>
      </c>
    </row>
    <row r="332" spans="1:9" x14ac:dyDescent="0.3">
      <c r="A332" s="17" t="s">
        <v>196</v>
      </c>
      <c r="B332" s="17" t="s">
        <v>66</v>
      </c>
      <c r="C332" s="17" t="s">
        <v>113</v>
      </c>
      <c r="D332" s="17" t="s">
        <v>114</v>
      </c>
      <c r="E332" s="17" t="s">
        <v>99</v>
      </c>
      <c r="F332" s="17" t="s">
        <v>143</v>
      </c>
      <c r="G332" s="17">
        <v>5.6785763004334404</v>
      </c>
      <c r="H332" s="17">
        <v>5.0243994872000002</v>
      </c>
      <c r="I332" s="17" t="s">
        <v>115</v>
      </c>
    </row>
    <row r="333" spans="1:9" x14ac:dyDescent="0.3">
      <c r="A333" s="17" t="s">
        <v>196</v>
      </c>
      <c r="B333" s="17" t="s">
        <v>66</v>
      </c>
      <c r="C333" s="17" t="s">
        <v>113</v>
      </c>
      <c r="D333" s="17" t="s">
        <v>114</v>
      </c>
      <c r="E333" s="17" t="s">
        <v>99</v>
      </c>
      <c r="F333" s="17" t="s">
        <v>144</v>
      </c>
      <c r="G333" s="17">
        <v>2.1959743052400001E-2</v>
      </c>
      <c r="H333" s="17">
        <v>1.9429961999999999E-2</v>
      </c>
      <c r="I333" s="17" t="s">
        <v>115</v>
      </c>
    </row>
    <row r="334" spans="1:9" x14ac:dyDescent="0.3">
      <c r="A334" s="17" t="s">
        <v>196</v>
      </c>
      <c r="B334" s="17" t="s">
        <v>66</v>
      </c>
      <c r="C334" s="17" t="s">
        <v>113</v>
      </c>
      <c r="D334" s="17" t="s">
        <v>114</v>
      </c>
      <c r="E334" s="17" t="s">
        <v>99</v>
      </c>
      <c r="F334" s="17" t="s">
        <v>147</v>
      </c>
      <c r="G334" s="17">
        <v>1.82910844672E-3</v>
      </c>
      <c r="H334" s="17">
        <v>1.6183936000000001E-3</v>
      </c>
      <c r="I334" s="17" t="s">
        <v>115</v>
      </c>
    </row>
    <row r="335" spans="1:9" x14ac:dyDescent="0.3">
      <c r="A335" s="17" t="s">
        <v>196</v>
      </c>
      <c r="B335" s="17" t="s">
        <v>66</v>
      </c>
      <c r="C335" s="17" t="s">
        <v>113</v>
      </c>
      <c r="D335" s="17" t="s">
        <v>114</v>
      </c>
      <c r="E335" s="17" t="s">
        <v>99</v>
      </c>
      <c r="F335" s="17" t="s">
        <v>148</v>
      </c>
      <c r="G335" s="17">
        <v>224.00459672955901</v>
      </c>
      <c r="H335" s="17">
        <v>198.19907691520001</v>
      </c>
      <c r="I335" s="17" t="s">
        <v>115</v>
      </c>
    </row>
    <row r="336" spans="1:9" x14ac:dyDescent="0.3">
      <c r="A336" s="17" t="s">
        <v>196</v>
      </c>
      <c r="B336" s="17" t="s">
        <v>66</v>
      </c>
      <c r="C336" s="17" t="s">
        <v>113</v>
      </c>
      <c r="D336" s="17" t="s">
        <v>114</v>
      </c>
      <c r="E336" s="17" t="s">
        <v>99</v>
      </c>
      <c r="F336" s="17" t="s">
        <v>150</v>
      </c>
      <c r="G336" s="17">
        <v>2.695888664E-4</v>
      </c>
      <c r="H336" s="17">
        <v>2.3853200000000001E-4</v>
      </c>
      <c r="I336" s="17" t="s">
        <v>115</v>
      </c>
    </row>
    <row r="337" spans="1:9" x14ac:dyDescent="0.3">
      <c r="A337" s="17" t="s">
        <v>196</v>
      </c>
      <c r="B337" s="17" t="s">
        <v>66</v>
      </c>
      <c r="C337" s="17" t="s">
        <v>113</v>
      </c>
      <c r="D337" s="17" t="s">
        <v>114</v>
      </c>
      <c r="E337" s="17" t="s">
        <v>99</v>
      </c>
      <c r="F337" s="17" t="s">
        <v>151</v>
      </c>
      <c r="G337" s="17">
        <v>3.06579492598128</v>
      </c>
      <c r="H337" s="17">
        <v>2.7126127464000001</v>
      </c>
      <c r="I337" s="17" t="s">
        <v>115</v>
      </c>
    </row>
    <row r="338" spans="1:9" x14ac:dyDescent="0.3">
      <c r="A338" s="17" t="s">
        <v>196</v>
      </c>
      <c r="B338" s="17" t="s">
        <v>66</v>
      </c>
      <c r="C338" s="17" t="s">
        <v>113</v>
      </c>
      <c r="D338" s="17" t="s">
        <v>114</v>
      </c>
      <c r="E338" s="17" t="s">
        <v>99</v>
      </c>
      <c r="F338" s="17" t="s">
        <v>152</v>
      </c>
      <c r="G338" s="17">
        <v>52.571405806430597</v>
      </c>
      <c r="H338" s="17">
        <v>46.515135203</v>
      </c>
      <c r="I338" s="17" t="s">
        <v>115</v>
      </c>
    </row>
    <row r="339" spans="1:9" x14ac:dyDescent="0.3">
      <c r="A339" s="17" t="s">
        <v>196</v>
      </c>
      <c r="B339" s="17" t="s">
        <v>66</v>
      </c>
      <c r="C339" s="17" t="s">
        <v>113</v>
      </c>
      <c r="D339" s="17" t="s">
        <v>114</v>
      </c>
      <c r="E339" s="17" t="s">
        <v>99</v>
      </c>
      <c r="F339" s="17" t="s">
        <v>153</v>
      </c>
      <c r="G339" s="17">
        <v>1.3336360000000001E-7</v>
      </c>
      <c r="H339" s="17">
        <v>1.18E-7</v>
      </c>
      <c r="I339" s="17" t="s">
        <v>115</v>
      </c>
    </row>
    <row r="340" spans="1:9" x14ac:dyDescent="0.3">
      <c r="A340" s="17" t="s">
        <v>196</v>
      </c>
      <c r="B340" s="17" t="s">
        <v>66</v>
      </c>
      <c r="C340" s="17" t="s">
        <v>113</v>
      </c>
      <c r="D340" s="17" t="s">
        <v>114</v>
      </c>
      <c r="E340" s="17" t="s">
        <v>99</v>
      </c>
      <c r="F340" s="17" t="s">
        <v>154</v>
      </c>
      <c r="G340" s="17">
        <v>1.8545225759999998E-5</v>
      </c>
      <c r="H340" s="17">
        <v>1.6408800000000001E-5</v>
      </c>
      <c r="I340" s="17" t="s">
        <v>115</v>
      </c>
    </row>
    <row r="341" spans="1:9" x14ac:dyDescent="0.3">
      <c r="A341" s="17" t="s">
        <v>196</v>
      </c>
      <c r="B341" s="17" t="s">
        <v>66</v>
      </c>
      <c r="C341" s="17" t="s">
        <v>113</v>
      </c>
      <c r="D341" s="17" t="s">
        <v>114</v>
      </c>
      <c r="E341" s="17" t="s">
        <v>101</v>
      </c>
      <c r="F341" s="17" t="s">
        <v>186</v>
      </c>
      <c r="G341" s="17">
        <v>245.14704764586699</v>
      </c>
      <c r="H341" s="17">
        <v>216.90589952740001</v>
      </c>
      <c r="I341" s="17" t="s">
        <v>115</v>
      </c>
    </row>
    <row r="342" spans="1:9" x14ac:dyDescent="0.3">
      <c r="A342" s="17" t="s">
        <v>196</v>
      </c>
      <c r="B342" s="17" t="s">
        <v>66</v>
      </c>
      <c r="C342" s="17" t="s">
        <v>113</v>
      </c>
      <c r="D342" s="17" t="s">
        <v>114</v>
      </c>
      <c r="E342" s="17" t="s">
        <v>101</v>
      </c>
      <c r="F342" s="17" t="s">
        <v>155</v>
      </c>
      <c r="G342" s="17">
        <v>326.31590338525399</v>
      </c>
      <c r="H342" s="17">
        <v>288.72403414019999</v>
      </c>
      <c r="I342" s="17" t="s">
        <v>115</v>
      </c>
    </row>
    <row r="343" spans="1:9" x14ac:dyDescent="0.3">
      <c r="A343" s="17" t="s">
        <v>196</v>
      </c>
      <c r="B343" s="17" t="s">
        <v>66</v>
      </c>
      <c r="C343" s="17" t="s">
        <v>113</v>
      </c>
      <c r="D343" s="17" t="s">
        <v>114</v>
      </c>
      <c r="E343" s="17" t="s">
        <v>101</v>
      </c>
      <c r="F343" s="17" t="s">
        <v>187</v>
      </c>
      <c r="G343" s="17">
        <v>416.507397463806</v>
      </c>
      <c r="H343" s="17">
        <v>368.52539149159998</v>
      </c>
      <c r="I343" s="17" t="s">
        <v>115</v>
      </c>
    </row>
    <row r="344" spans="1:9" x14ac:dyDescent="0.3">
      <c r="A344" s="17" t="s">
        <v>196</v>
      </c>
      <c r="B344" s="17" t="s">
        <v>66</v>
      </c>
      <c r="C344" s="17" t="s">
        <v>113</v>
      </c>
      <c r="D344" s="17" t="s">
        <v>114</v>
      </c>
      <c r="E344" s="17" t="s">
        <v>101</v>
      </c>
      <c r="F344" s="17" t="s">
        <v>158</v>
      </c>
      <c r="G344" s="17">
        <v>99.353547913898495</v>
      </c>
      <c r="H344" s="17">
        <v>87.907934802599996</v>
      </c>
      <c r="I344" s="17" t="s">
        <v>115</v>
      </c>
    </row>
    <row r="345" spans="1:9" x14ac:dyDescent="0.3">
      <c r="A345" s="17" t="s">
        <v>196</v>
      </c>
      <c r="B345" s="17" t="s">
        <v>66</v>
      </c>
      <c r="C345" s="17" t="s">
        <v>113</v>
      </c>
      <c r="D345" s="17" t="s">
        <v>114</v>
      </c>
      <c r="E345" s="17" t="s">
        <v>101</v>
      </c>
      <c r="F345" s="17" t="s">
        <v>160</v>
      </c>
      <c r="G345" s="17">
        <v>1144.02795984354</v>
      </c>
      <c r="H345" s="17">
        <v>1012.234967124</v>
      </c>
      <c r="I345" s="17" t="s">
        <v>115</v>
      </c>
    </row>
    <row r="346" spans="1:9" x14ac:dyDescent="0.3">
      <c r="A346" s="17" t="s">
        <v>196</v>
      </c>
      <c r="B346" s="17" t="s">
        <v>66</v>
      </c>
      <c r="C346" s="17" t="s">
        <v>113</v>
      </c>
      <c r="D346" s="17" t="s">
        <v>114</v>
      </c>
      <c r="E346" s="17" t="s">
        <v>101</v>
      </c>
      <c r="F346" s="17" t="s">
        <v>188</v>
      </c>
      <c r="G346" s="17">
        <v>193.61037661849599</v>
      </c>
      <c r="H346" s="17">
        <v>171.30629677799999</v>
      </c>
      <c r="I346" s="17" t="s">
        <v>115</v>
      </c>
    </row>
    <row r="347" spans="1:9" x14ac:dyDescent="0.3">
      <c r="A347" s="17" t="s">
        <v>196</v>
      </c>
      <c r="B347" s="17" t="s">
        <v>66</v>
      </c>
      <c r="C347" s="17" t="s">
        <v>113</v>
      </c>
      <c r="D347" s="17" t="s">
        <v>114</v>
      </c>
      <c r="E347" s="17" t="s">
        <v>101</v>
      </c>
      <c r="F347" s="17" t="s">
        <v>189</v>
      </c>
      <c r="G347" s="17">
        <v>48.818995668180001</v>
      </c>
      <c r="H347" s="17">
        <v>43.195005899999998</v>
      </c>
      <c r="I347" s="17" t="s">
        <v>115</v>
      </c>
    </row>
    <row r="348" spans="1:9" x14ac:dyDescent="0.3">
      <c r="A348" s="17" t="s">
        <v>196</v>
      </c>
      <c r="B348" s="17" t="s">
        <v>66</v>
      </c>
      <c r="C348" s="17" t="s">
        <v>113</v>
      </c>
      <c r="D348" s="17" t="s">
        <v>114</v>
      </c>
      <c r="E348" s="17" t="s">
        <v>190</v>
      </c>
      <c r="F348" s="17" t="s">
        <v>191</v>
      </c>
      <c r="G348" s="17">
        <v>89.180156212325301</v>
      </c>
      <c r="H348" s="17">
        <v>78.906526466399995</v>
      </c>
      <c r="I348" s="17" t="s">
        <v>115</v>
      </c>
    </row>
    <row r="349" spans="1:9" x14ac:dyDescent="0.3">
      <c r="A349" s="17" t="s">
        <v>196</v>
      </c>
      <c r="B349" s="17" t="s">
        <v>66</v>
      </c>
      <c r="C349" s="17" t="s">
        <v>113</v>
      </c>
      <c r="D349" s="17" t="s">
        <v>114</v>
      </c>
      <c r="E349" s="17" t="s">
        <v>102</v>
      </c>
      <c r="F349" s="17" t="s">
        <v>194</v>
      </c>
      <c r="G349" s="17">
        <v>0.136706740202962</v>
      </c>
      <c r="H349" s="17">
        <v>0.120958007611893</v>
      </c>
      <c r="I349" s="17" t="s">
        <v>115</v>
      </c>
    </row>
    <row r="350" spans="1:9" x14ac:dyDescent="0.3">
      <c r="A350" s="17" t="s">
        <v>196</v>
      </c>
      <c r="B350" s="17" t="s">
        <v>66</v>
      </c>
      <c r="C350" s="17" t="s">
        <v>113</v>
      </c>
      <c r="D350" s="17" t="s">
        <v>114</v>
      </c>
      <c r="E350" s="17" t="s">
        <v>102</v>
      </c>
      <c r="F350" s="17" t="s">
        <v>165</v>
      </c>
      <c r="G350" s="17">
        <v>22.567551049999999</v>
      </c>
      <c r="H350" s="17">
        <v>19.967749999999999</v>
      </c>
      <c r="I350" s="17" t="s">
        <v>115</v>
      </c>
    </row>
    <row r="351" spans="1:9" x14ac:dyDescent="0.3">
      <c r="A351" s="17" t="s">
        <v>196</v>
      </c>
      <c r="B351" s="17" t="s">
        <v>66</v>
      </c>
      <c r="C351" s="17" t="s">
        <v>113</v>
      </c>
      <c r="D351" s="17" t="s">
        <v>114</v>
      </c>
      <c r="E351" s="17" t="s">
        <v>102</v>
      </c>
      <c r="F351" s="17" t="s">
        <v>174</v>
      </c>
      <c r="G351" s="17">
        <v>7.9321213311027202E-3</v>
      </c>
      <c r="H351" s="17">
        <v>7.0183342161588402E-3</v>
      </c>
      <c r="I351" s="17" t="s">
        <v>115</v>
      </c>
    </row>
    <row r="352" spans="1:9" x14ac:dyDescent="0.3">
      <c r="A352" s="17" t="s">
        <v>196</v>
      </c>
      <c r="B352" s="17" t="s">
        <v>66</v>
      </c>
      <c r="C352" s="17" t="s">
        <v>113</v>
      </c>
      <c r="D352" s="17" t="s">
        <v>114</v>
      </c>
      <c r="E352" s="17" t="s">
        <v>102</v>
      </c>
      <c r="F352" s="17" t="s">
        <v>166</v>
      </c>
      <c r="G352" s="17">
        <v>252.03324755056599</v>
      </c>
      <c r="H352" s="17">
        <v>222.99880335389</v>
      </c>
      <c r="I352" s="17" t="s">
        <v>115</v>
      </c>
    </row>
    <row r="353" spans="1:9" x14ac:dyDescent="0.3">
      <c r="A353" s="17" t="s">
        <v>196</v>
      </c>
      <c r="B353" s="17" t="s">
        <v>66</v>
      </c>
      <c r="C353" s="17" t="s">
        <v>113</v>
      </c>
      <c r="D353" s="17" t="s">
        <v>114</v>
      </c>
      <c r="E353" s="17" t="s">
        <v>103</v>
      </c>
      <c r="F353" s="17" t="s">
        <v>103</v>
      </c>
      <c r="G353" s="17">
        <v>32.176794000000001</v>
      </c>
      <c r="H353" s="17">
        <v>28.47</v>
      </c>
      <c r="I353" s="17" t="s">
        <v>115</v>
      </c>
    </row>
    <row r="354" spans="1:9" x14ac:dyDescent="0.3">
      <c r="A354" s="17" t="s">
        <v>196</v>
      </c>
      <c r="B354" s="17" t="s">
        <v>66</v>
      </c>
      <c r="C354" s="17" t="s">
        <v>167</v>
      </c>
      <c r="D354" s="17" t="s">
        <v>168</v>
      </c>
      <c r="E354" s="17" t="s">
        <v>100</v>
      </c>
      <c r="F354" s="17" t="s">
        <v>100</v>
      </c>
      <c r="G354" s="17">
        <v>0</v>
      </c>
      <c r="H354" s="17">
        <v>0</v>
      </c>
      <c r="I354" s="17" t="s">
        <v>115</v>
      </c>
    </row>
    <row r="355" spans="1:9" x14ac:dyDescent="0.3">
      <c r="A355" s="17" t="s">
        <v>196</v>
      </c>
      <c r="B355" s="17" t="s">
        <v>66</v>
      </c>
      <c r="C355" s="17" t="s">
        <v>167</v>
      </c>
      <c r="D355" s="17" t="s">
        <v>114</v>
      </c>
      <c r="E355" s="17" t="s">
        <v>100</v>
      </c>
      <c r="F355" s="17" t="s">
        <v>100</v>
      </c>
      <c r="G355" s="17">
        <v>514.28620799999999</v>
      </c>
      <c r="H355" s="17">
        <v>455.04</v>
      </c>
      <c r="I355" s="17" t="s">
        <v>115</v>
      </c>
    </row>
    <row r="356" spans="1:9" x14ac:dyDescent="0.3">
      <c r="A356" s="17" t="s">
        <v>196</v>
      </c>
      <c r="B356" s="17" t="s">
        <v>67</v>
      </c>
      <c r="C356" s="17" t="s">
        <v>113</v>
      </c>
      <c r="D356" s="17" t="s">
        <v>114</v>
      </c>
      <c r="E356" s="17" t="s">
        <v>179</v>
      </c>
      <c r="F356" s="17" t="s">
        <v>179</v>
      </c>
      <c r="G356" s="17">
        <v>434.66652479999999</v>
      </c>
      <c r="H356" s="17">
        <v>371.25599999999997</v>
      </c>
      <c r="I356" s="17" t="s">
        <v>115</v>
      </c>
    </row>
    <row r="357" spans="1:9" x14ac:dyDescent="0.3">
      <c r="A357" s="17" t="s">
        <v>196</v>
      </c>
      <c r="B357" s="17" t="s">
        <v>67</v>
      </c>
      <c r="C357" s="17" t="s">
        <v>113</v>
      </c>
      <c r="D357" s="17" t="s">
        <v>114</v>
      </c>
      <c r="E357" s="17" t="s">
        <v>71</v>
      </c>
      <c r="F357" s="17" t="s">
        <v>71</v>
      </c>
      <c r="G357" s="17">
        <v>51.393436800000003</v>
      </c>
      <c r="H357" s="17">
        <v>43.896000000000001</v>
      </c>
      <c r="I357" s="17" t="s">
        <v>115</v>
      </c>
    </row>
    <row r="358" spans="1:9" x14ac:dyDescent="0.3">
      <c r="A358" s="17" t="s">
        <v>196</v>
      </c>
      <c r="B358" s="17" t="s">
        <v>67</v>
      </c>
      <c r="C358" s="17" t="s">
        <v>113</v>
      </c>
      <c r="D358" s="17" t="s">
        <v>114</v>
      </c>
      <c r="E358" s="17" t="s">
        <v>72</v>
      </c>
      <c r="F358" s="17" t="s">
        <v>180</v>
      </c>
      <c r="G358" s="17">
        <v>375.46825420800002</v>
      </c>
      <c r="H358" s="17">
        <v>320.69376</v>
      </c>
      <c r="I358" s="17" t="s">
        <v>115</v>
      </c>
    </row>
    <row r="359" spans="1:9" x14ac:dyDescent="0.3">
      <c r="A359" s="17" t="s">
        <v>196</v>
      </c>
      <c r="B359" s="17" t="s">
        <v>67</v>
      </c>
      <c r="C359" s="17" t="s">
        <v>113</v>
      </c>
      <c r="D359" s="17" t="s">
        <v>114</v>
      </c>
      <c r="E359" s="17" t="s">
        <v>73</v>
      </c>
      <c r="F359" s="17" t="s">
        <v>169</v>
      </c>
      <c r="G359" s="17">
        <v>0</v>
      </c>
      <c r="H359" s="17">
        <v>0</v>
      </c>
      <c r="I359" s="17" t="s">
        <v>115</v>
      </c>
    </row>
    <row r="360" spans="1:9" x14ac:dyDescent="0.3">
      <c r="A360" s="17" t="s">
        <v>196</v>
      </c>
      <c r="B360" s="17" t="s">
        <v>67</v>
      </c>
      <c r="C360" s="17" t="s">
        <v>113</v>
      </c>
      <c r="D360" s="17" t="s">
        <v>114</v>
      </c>
      <c r="E360" s="17" t="s">
        <v>73</v>
      </c>
      <c r="F360" s="17" t="s">
        <v>117</v>
      </c>
      <c r="G360" s="17">
        <v>0</v>
      </c>
      <c r="H360" s="17">
        <v>0</v>
      </c>
      <c r="I360" s="17" t="s">
        <v>115</v>
      </c>
    </row>
    <row r="361" spans="1:9" x14ac:dyDescent="0.3">
      <c r="A361" s="17" t="s">
        <v>196</v>
      </c>
      <c r="B361" s="17" t="s">
        <v>67</v>
      </c>
      <c r="C361" s="17" t="s">
        <v>113</v>
      </c>
      <c r="D361" s="17" t="s">
        <v>114</v>
      </c>
      <c r="E361" s="17" t="s">
        <v>73</v>
      </c>
      <c r="F361" s="17" t="s">
        <v>181</v>
      </c>
      <c r="G361" s="17">
        <v>93.466536814083597</v>
      </c>
      <c r="H361" s="17">
        <v>79.831343367000002</v>
      </c>
      <c r="I361" s="17" t="s">
        <v>115</v>
      </c>
    </row>
    <row r="362" spans="1:9" x14ac:dyDescent="0.3">
      <c r="A362" s="17" t="s">
        <v>196</v>
      </c>
      <c r="B362" s="17" t="s">
        <v>67</v>
      </c>
      <c r="C362" s="17" t="s">
        <v>113</v>
      </c>
      <c r="D362" s="17" t="s">
        <v>114</v>
      </c>
      <c r="E362" s="17" t="s">
        <v>73</v>
      </c>
      <c r="F362" s="17" t="s">
        <v>118</v>
      </c>
      <c r="G362" s="17">
        <v>499.81423900800002</v>
      </c>
      <c r="H362" s="17">
        <v>426.89976000000001</v>
      </c>
      <c r="I362" s="17" t="s">
        <v>115</v>
      </c>
    </row>
    <row r="363" spans="1:9" x14ac:dyDescent="0.3">
      <c r="A363" s="17" t="s">
        <v>196</v>
      </c>
      <c r="B363" s="17" t="s">
        <v>67</v>
      </c>
      <c r="C363" s="17" t="s">
        <v>113</v>
      </c>
      <c r="D363" s="17" t="s">
        <v>114</v>
      </c>
      <c r="E363" s="17" t="s">
        <v>73</v>
      </c>
      <c r="F363" s="17" t="s">
        <v>120</v>
      </c>
      <c r="G363" s="17">
        <v>12.6566832016438</v>
      </c>
      <c r="H363" s="17">
        <v>10.810286301369899</v>
      </c>
      <c r="I363" s="17" t="s">
        <v>115</v>
      </c>
    </row>
    <row r="364" spans="1:9" x14ac:dyDescent="0.3">
      <c r="A364" s="17" t="s">
        <v>196</v>
      </c>
      <c r="B364" s="17" t="s">
        <v>67</v>
      </c>
      <c r="C364" s="17" t="s">
        <v>113</v>
      </c>
      <c r="D364" s="17" t="s">
        <v>114</v>
      </c>
      <c r="E364" s="17" t="s">
        <v>74</v>
      </c>
      <c r="F364" s="17" t="s">
        <v>121</v>
      </c>
      <c r="G364" s="17">
        <v>491.15961515999999</v>
      </c>
      <c r="H364" s="17">
        <v>419.5077</v>
      </c>
      <c r="I364" s="17" t="s">
        <v>115</v>
      </c>
    </row>
    <row r="365" spans="1:9" x14ac:dyDescent="0.3">
      <c r="A365" s="17" t="s">
        <v>196</v>
      </c>
      <c r="B365" s="17" t="s">
        <v>67</v>
      </c>
      <c r="C365" s="17" t="s">
        <v>113</v>
      </c>
      <c r="D365" s="17" t="s">
        <v>114</v>
      </c>
      <c r="E365" s="17" t="s">
        <v>76</v>
      </c>
      <c r="F365" s="17" t="s">
        <v>122</v>
      </c>
      <c r="G365" s="17">
        <v>234.34498640000001</v>
      </c>
      <c r="H365" s="17">
        <v>200.15799999999999</v>
      </c>
      <c r="I365" s="17" t="s">
        <v>115</v>
      </c>
    </row>
    <row r="366" spans="1:9" x14ac:dyDescent="0.3">
      <c r="A366" s="17" t="s">
        <v>196</v>
      </c>
      <c r="B366" s="17" t="s">
        <v>67</v>
      </c>
      <c r="C366" s="17" t="s">
        <v>113</v>
      </c>
      <c r="D366" s="17" t="s">
        <v>114</v>
      </c>
      <c r="E366" s="17" t="s">
        <v>182</v>
      </c>
      <c r="F366" s="17" t="s">
        <v>182</v>
      </c>
      <c r="G366" s="17">
        <v>42.676146813496601</v>
      </c>
      <c r="H366" s="17">
        <v>36.450415795607</v>
      </c>
      <c r="I366" s="17" t="s">
        <v>115</v>
      </c>
    </row>
    <row r="367" spans="1:9" x14ac:dyDescent="0.3">
      <c r="A367" s="17" t="s">
        <v>196</v>
      </c>
      <c r="B367" s="17" t="s">
        <v>67</v>
      </c>
      <c r="C367" s="17" t="s">
        <v>113</v>
      </c>
      <c r="D367" s="17" t="s">
        <v>114</v>
      </c>
      <c r="E367" s="17" t="s">
        <v>182</v>
      </c>
      <c r="F367" s="17" t="s">
        <v>192</v>
      </c>
      <c r="G367" s="17">
        <v>4.3757614659264697E-5</v>
      </c>
      <c r="H367" s="17">
        <v>3.7374115698039499E-5</v>
      </c>
      <c r="I367" s="17" t="s">
        <v>115</v>
      </c>
    </row>
    <row r="368" spans="1:9" x14ac:dyDescent="0.3">
      <c r="A368" s="17" t="s">
        <v>196</v>
      </c>
      <c r="B368" s="17" t="s">
        <v>67</v>
      </c>
      <c r="C368" s="17" t="s">
        <v>113</v>
      </c>
      <c r="D368" s="17" t="s">
        <v>114</v>
      </c>
      <c r="E368" s="17" t="s">
        <v>182</v>
      </c>
      <c r="F368" s="17" t="s">
        <v>183</v>
      </c>
      <c r="G368" s="17">
        <v>281.79376384</v>
      </c>
      <c r="H368" s="17">
        <v>240.6848</v>
      </c>
      <c r="I368" s="17" t="s">
        <v>115</v>
      </c>
    </row>
    <row r="369" spans="1:9" x14ac:dyDescent="0.3">
      <c r="A369" s="17" t="s">
        <v>196</v>
      </c>
      <c r="B369" s="17" t="s">
        <v>67</v>
      </c>
      <c r="C369" s="17" t="s">
        <v>113</v>
      </c>
      <c r="D369" s="17" t="s">
        <v>114</v>
      </c>
      <c r="E369" s="17" t="s">
        <v>80</v>
      </c>
      <c r="F369" s="17" t="s">
        <v>80</v>
      </c>
      <c r="G369" s="17">
        <v>1.0650576900096</v>
      </c>
      <c r="H369" s="17">
        <v>0.90968371199999998</v>
      </c>
      <c r="I369" s="17" t="s">
        <v>115</v>
      </c>
    </row>
    <row r="370" spans="1:9" x14ac:dyDescent="0.3">
      <c r="A370" s="17" t="s">
        <v>196</v>
      </c>
      <c r="B370" s="17" t="s">
        <v>67</v>
      </c>
      <c r="C370" s="17" t="s">
        <v>113</v>
      </c>
      <c r="D370" s="17" t="s">
        <v>114</v>
      </c>
      <c r="E370" s="17" t="s">
        <v>77</v>
      </c>
      <c r="F370" s="17" t="s">
        <v>77</v>
      </c>
      <c r="G370" s="17">
        <v>1.7269299999999999E-4</v>
      </c>
      <c r="H370" s="17">
        <v>1.4750000000000001E-4</v>
      </c>
      <c r="I370" s="17" t="s">
        <v>115</v>
      </c>
    </row>
    <row r="371" spans="1:9" x14ac:dyDescent="0.3">
      <c r="A371" s="17" t="s">
        <v>196</v>
      </c>
      <c r="B371" s="17" t="s">
        <v>67</v>
      </c>
      <c r="C371" s="17" t="s">
        <v>113</v>
      </c>
      <c r="D371" s="17" t="s">
        <v>114</v>
      </c>
      <c r="E371" s="17" t="s">
        <v>78</v>
      </c>
      <c r="F371" s="17" t="s">
        <v>123</v>
      </c>
      <c r="G371" s="17">
        <v>2.1076615707526898</v>
      </c>
      <c r="H371" s="17">
        <v>1.8001892473118299</v>
      </c>
      <c r="I371" s="17" t="s">
        <v>115</v>
      </c>
    </row>
    <row r="372" spans="1:9" x14ac:dyDescent="0.3">
      <c r="A372" s="17" t="s">
        <v>196</v>
      </c>
      <c r="B372" s="17" t="s">
        <v>67</v>
      </c>
      <c r="C372" s="17" t="s">
        <v>113</v>
      </c>
      <c r="D372" s="17" t="s">
        <v>114</v>
      </c>
      <c r="E372" s="17" t="s">
        <v>78</v>
      </c>
      <c r="F372" s="17" t="s">
        <v>124</v>
      </c>
      <c r="G372" s="17">
        <v>75.809299999999993</v>
      </c>
      <c r="H372" s="17">
        <v>64.75</v>
      </c>
      <c r="I372" s="17" t="s">
        <v>115</v>
      </c>
    </row>
    <row r="373" spans="1:9" x14ac:dyDescent="0.3">
      <c r="A373" s="17" t="s">
        <v>196</v>
      </c>
      <c r="B373" s="17" t="s">
        <v>67</v>
      </c>
      <c r="C373" s="17" t="s">
        <v>113</v>
      </c>
      <c r="D373" s="17" t="s">
        <v>114</v>
      </c>
      <c r="E373" s="17" t="s">
        <v>81</v>
      </c>
      <c r="F373" s="17" t="s">
        <v>81</v>
      </c>
      <c r="G373" s="17">
        <v>67.4748293836291</v>
      </c>
      <c r="H373" s="17">
        <v>57.631388267534199</v>
      </c>
      <c r="I373" s="17" t="s">
        <v>115</v>
      </c>
    </row>
    <row r="374" spans="1:9" x14ac:dyDescent="0.3">
      <c r="A374" s="17" t="s">
        <v>196</v>
      </c>
      <c r="B374" s="17" t="s">
        <v>67</v>
      </c>
      <c r="C374" s="17" t="s">
        <v>113</v>
      </c>
      <c r="D374" s="17" t="s">
        <v>114</v>
      </c>
      <c r="E374" s="17" t="s">
        <v>82</v>
      </c>
      <c r="F374" s="17" t="s">
        <v>82</v>
      </c>
      <c r="G374" s="17">
        <v>245.41454968994799</v>
      </c>
      <c r="H374" s="17">
        <v>209.61270045263799</v>
      </c>
      <c r="I374" s="17" t="s">
        <v>115</v>
      </c>
    </row>
    <row r="375" spans="1:9" x14ac:dyDescent="0.3">
      <c r="A375" s="17" t="s">
        <v>196</v>
      </c>
      <c r="B375" s="17" t="s">
        <v>67</v>
      </c>
      <c r="C375" s="17" t="s">
        <v>113</v>
      </c>
      <c r="D375" s="17" t="s">
        <v>114</v>
      </c>
      <c r="E375" s="17" t="s">
        <v>83</v>
      </c>
      <c r="F375" s="17" t="s">
        <v>127</v>
      </c>
      <c r="G375" s="17">
        <v>1.8205255984817601</v>
      </c>
      <c r="H375" s="17">
        <v>1.5549415771111801</v>
      </c>
      <c r="I375" s="17" t="s">
        <v>115</v>
      </c>
    </row>
    <row r="376" spans="1:9" x14ac:dyDescent="0.3">
      <c r="A376" s="17" t="s">
        <v>196</v>
      </c>
      <c r="B376" s="17" t="s">
        <v>67</v>
      </c>
      <c r="C376" s="17" t="s">
        <v>113</v>
      </c>
      <c r="D376" s="17" t="s">
        <v>114</v>
      </c>
      <c r="E376" s="17" t="s">
        <v>83</v>
      </c>
      <c r="F376" s="17" t="s">
        <v>128</v>
      </c>
      <c r="G376" s="17">
        <v>9.9799610711584208</v>
      </c>
      <c r="H376" s="17">
        <v>8.5240528451985202</v>
      </c>
      <c r="I376" s="17" t="s">
        <v>115</v>
      </c>
    </row>
    <row r="377" spans="1:9" x14ac:dyDescent="0.3">
      <c r="A377" s="17" t="s">
        <v>196</v>
      </c>
      <c r="B377" s="17" t="s">
        <v>67</v>
      </c>
      <c r="C377" s="17" t="s">
        <v>113</v>
      </c>
      <c r="D377" s="17" t="s">
        <v>114</v>
      </c>
      <c r="E377" s="17" t="s">
        <v>84</v>
      </c>
      <c r="F377" s="17" t="s">
        <v>129</v>
      </c>
      <c r="G377" s="17">
        <v>9815.0909352722192</v>
      </c>
      <c r="H377" s="17">
        <v>8383.2344852000497</v>
      </c>
      <c r="I377" s="17" t="s">
        <v>115</v>
      </c>
    </row>
    <row r="378" spans="1:9" x14ac:dyDescent="0.3">
      <c r="A378" s="17" t="s">
        <v>196</v>
      </c>
      <c r="B378" s="17" t="s">
        <v>67</v>
      </c>
      <c r="C378" s="17" t="s">
        <v>113</v>
      </c>
      <c r="D378" s="17" t="s">
        <v>114</v>
      </c>
      <c r="E378" s="17" t="s">
        <v>85</v>
      </c>
      <c r="F378" s="17" t="s">
        <v>85</v>
      </c>
      <c r="G378" s="17">
        <v>158.93420944941099</v>
      </c>
      <c r="H378" s="17">
        <v>135.74838524889901</v>
      </c>
      <c r="I378" s="17" t="s">
        <v>115</v>
      </c>
    </row>
    <row r="379" spans="1:9" x14ac:dyDescent="0.3">
      <c r="A379" s="17" t="s">
        <v>196</v>
      </c>
      <c r="B379" s="17" t="s">
        <v>67</v>
      </c>
      <c r="C379" s="17" t="s">
        <v>113</v>
      </c>
      <c r="D379" s="17" t="s">
        <v>114</v>
      </c>
      <c r="E379" s="17" t="s">
        <v>89</v>
      </c>
      <c r="F379" s="17" t="s">
        <v>89</v>
      </c>
      <c r="G379" s="17">
        <v>0.42025117858799999</v>
      </c>
      <c r="H379" s="17">
        <v>0.35894361000000002</v>
      </c>
      <c r="I379" s="17" t="s">
        <v>115</v>
      </c>
    </row>
    <row r="380" spans="1:9" x14ac:dyDescent="0.3">
      <c r="A380" s="17" t="s">
        <v>196</v>
      </c>
      <c r="B380" s="17" t="s">
        <v>67</v>
      </c>
      <c r="C380" s="17" t="s">
        <v>113</v>
      </c>
      <c r="D380" s="17" t="s">
        <v>114</v>
      </c>
      <c r="E380" s="17" t="s">
        <v>90</v>
      </c>
      <c r="F380" s="17" t="s">
        <v>90</v>
      </c>
      <c r="G380" s="17">
        <v>26.697038676150999</v>
      </c>
      <c r="H380" s="17">
        <v>22.802390396439201</v>
      </c>
      <c r="I380" s="17" t="s">
        <v>115</v>
      </c>
    </row>
    <row r="381" spans="1:9" x14ac:dyDescent="0.3">
      <c r="A381" s="17" t="s">
        <v>196</v>
      </c>
      <c r="B381" s="17" t="s">
        <v>67</v>
      </c>
      <c r="C381" s="17" t="s">
        <v>113</v>
      </c>
      <c r="D381" s="17" t="s">
        <v>114</v>
      </c>
      <c r="E381" s="17" t="s">
        <v>92</v>
      </c>
      <c r="F381" s="17" t="s">
        <v>92</v>
      </c>
      <c r="G381" s="17">
        <v>0.22048171756150101</v>
      </c>
      <c r="H381" s="17">
        <v>0.188317148583448</v>
      </c>
      <c r="I381" s="17" t="s">
        <v>115</v>
      </c>
    </row>
    <row r="382" spans="1:9" x14ac:dyDescent="0.3">
      <c r="A382" s="17" t="s">
        <v>196</v>
      </c>
      <c r="B382" s="17" t="s">
        <v>67</v>
      </c>
      <c r="C382" s="17" t="s">
        <v>113</v>
      </c>
      <c r="D382" s="17" t="s">
        <v>114</v>
      </c>
      <c r="E382" s="17" t="s">
        <v>93</v>
      </c>
      <c r="F382" s="17" t="s">
        <v>130</v>
      </c>
      <c r="G382" s="17">
        <v>44.106920851200002</v>
      </c>
      <c r="H382" s="17">
        <v>37.672463999999998</v>
      </c>
      <c r="I382" s="17" t="s">
        <v>115</v>
      </c>
    </row>
    <row r="383" spans="1:9" x14ac:dyDescent="0.3">
      <c r="A383" s="17" t="s">
        <v>196</v>
      </c>
      <c r="B383" s="17" t="s">
        <v>67</v>
      </c>
      <c r="C383" s="17" t="s">
        <v>113</v>
      </c>
      <c r="D383" s="17" t="s">
        <v>114</v>
      </c>
      <c r="E383" s="17" t="s">
        <v>93</v>
      </c>
      <c r="F383" s="17" t="s">
        <v>131</v>
      </c>
      <c r="G383" s="17">
        <v>43.95792016</v>
      </c>
      <c r="H383" s="17">
        <v>37.545200000000001</v>
      </c>
      <c r="I383" s="17" t="s">
        <v>115</v>
      </c>
    </row>
    <row r="384" spans="1:9" x14ac:dyDescent="0.3">
      <c r="A384" s="17" t="s">
        <v>196</v>
      </c>
      <c r="B384" s="17" t="s">
        <v>67</v>
      </c>
      <c r="C384" s="17" t="s">
        <v>113</v>
      </c>
      <c r="D384" s="17" t="s">
        <v>114</v>
      </c>
      <c r="E384" s="17" t="s">
        <v>93</v>
      </c>
      <c r="F384" s="17" t="s">
        <v>132</v>
      </c>
      <c r="G384" s="17">
        <v>0.67747522439999996</v>
      </c>
      <c r="H384" s="17">
        <v>0.57864300000000002</v>
      </c>
      <c r="I384" s="17" t="s">
        <v>115</v>
      </c>
    </row>
    <row r="385" spans="1:9" x14ac:dyDescent="0.3">
      <c r="A385" s="17" t="s">
        <v>196</v>
      </c>
      <c r="B385" s="17" t="s">
        <v>67</v>
      </c>
      <c r="C385" s="17" t="s">
        <v>113</v>
      </c>
      <c r="D385" s="17" t="s">
        <v>114</v>
      </c>
      <c r="E385" s="17" t="s">
        <v>93</v>
      </c>
      <c r="F385" s="17" t="s">
        <v>133</v>
      </c>
      <c r="G385" s="17">
        <v>0</v>
      </c>
      <c r="H385" s="17">
        <v>0</v>
      </c>
      <c r="I385" s="17" t="s">
        <v>115</v>
      </c>
    </row>
    <row r="386" spans="1:9" x14ac:dyDescent="0.3">
      <c r="A386" s="17" t="s">
        <v>196</v>
      </c>
      <c r="B386" s="17" t="s">
        <v>67</v>
      </c>
      <c r="C386" s="17" t="s">
        <v>113</v>
      </c>
      <c r="D386" s="17" t="s">
        <v>114</v>
      </c>
      <c r="E386" s="17" t="s">
        <v>93</v>
      </c>
      <c r="F386" s="17" t="s">
        <v>134</v>
      </c>
      <c r="G386" s="17">
        <v>10.760921147199999</v>
      </c>
      <c r="H386" s="17">
        <v>9.191084</v>
      </c>
      <c r="I386" s="17" t="s">
        <v>115</v>
      </c>
    </row>
    <row r="387" spans="1:9" x14ac:dyDescent="0.3">
      <c r="A387" s="17" t="s">
        <v>196</v>
      </c>
      <c r="B387" s="17" t="s">
        <v>67</v>
      </c>
      <c r="C387" s="17" t="s">
        <v>113</v>
      </c>
      <c r="D387" s="17" t="s">
        <v>114</v>
      </c>
      <c r="E387" s="17" t="s">
        <v>93</v>
      </c>
      <c r="F387" s="17" t="s">
        <v>136</v>
      </c>
      <c r="G387" s="17">
        <v>33.202442506903999</v>
      </c>
      <c r="H387" s="17">
        <v>28.358765380000001</v>
      </c>
      <c r="I387" s="17" t="s">
        <v>115</v>
      </c>
    </row>
    <row r="388" spans="1:9" x14ac:dyDescent="0.3">
      <c r="A388" s="17" t="s">
        <v>196</v>
      </c>
      <c r="B388" s="17" t="s">
        <v>67</v>
      </c>
      <c r="C388" s="17" t="s">
        <v>113</v>
      </c>
      <c r="D388" s="17" t="s">
        <v>114</v>
      </c>
      <c r="E388" s="17" t="s">
        <v>93</v>
      </c>
      <c r="F388" s="17" t="s">
        <v>137</v>
      </c>
      <c r="G388" s="17">
        <v>88.487893200000002</v>
      </c>
      <c r="H388" s="17">
        <v>75.578999999999994</v>
      </c>
      <c r="I388" s="17" t="s">
        <v>115</v>
      </c>
    </row>
    <row r="389" spans="1:9" x14ac:dyDescent="0.3">
      <c r="A389" s="17" t="s">
        <v>196</v>
      </c>
      <c r="B389" s="17" t="s">
        <v>67</v>
      </c>
      <c r="C389" s="17" t="s">
        <v>113</v>
      </c>
      <c r="D389" s="17" t="s">
        <v>114</v>
      </c>
      <c r="E389" s="17" t="s">
        <v>95</v>
      </c>
      <c r="F389" s="17" t="s">
        <v>138</v>
      </c>
      <c r="G389" s="17">
        <v>988.49613695999994</v>
      </c>
      <c r="H389" s="17">
        <v>844.2912</v>
      </c>
      <c r="I389" s="17" t="s">
        <v>115</v>
      </c>
    </row>
    <row r="390" spans="1:9" x14ac:dyDescent="0.3">
      <c r="A390" s="17" t="s">
        <v>196</v>
      </c>
      <c r="B390" s="17" t="s">
        <v>67</v>
      </c>
      <c r="C390" s="17" t="s">
        <v>113</v>
      </c>
      <c r="D390" s="17" t="s">
        <v>114</v>
      </c>
      <c r="E390" s="17" t="s">
        <v>95</v>
      </c>
      <c r="F390" s="17" t="s">
        <v>185</v>
      </c>
      <c r="G390" s="17">
        <v>11.323977599999999</v>
      </c>
      <c r="H390" s="17">
        <v>9.6720000000000006</v>
      </c>
      <c r="I390" s="17" t="s">
        <v>115</v>
      </c>
    </row>
    <row r="391" spans="1:9" x14ac:dyDescent="0.3">
      <c r="A391" s="17" t="s">
        <v>196</v>
      </c>
      <c r="B391" s="17" t="s">
        <v>67</v>
      </c>
      <c r="C391" s="17" t="s">
        <v>113</v>
      </c>
      <c r="D391" s="17" t="s">
        <v>114</v>
      </c>
      <c r="E391" s="17" t="s">
        <v>96</v>
      </c>
      <c r="F391" s="17" t="s">
        <v>96</v>
      </c>
      <c r="G391" s="17">
        <v>428.5689984</v>
      </c>
      <c r="H391" s="17">
        <v>366.048</v>
      </c>
      <c r="I391" s="17" t="s">
        <v>115</v>
      </c>
    </row>
    <row r="392" spans="1:9" x14ac:dyDescent="0.3">
      <c r="A392" s="17" t="s">
        <v>196</v>
      </c>
      <c r="B392" s="17" t="s">
        <v>67</v>
      </c>
      <c r="C392" s="17" t="s">
        <v>113</v>
      </c>
      <c r="D392" s="17" t="s">
        <v>114</v>
      </c>
      <c r="E392" s="17" t="s">
        <v>99</v>
      </c>
      <c r="F392" s="17" t="s">
        <v>142</v>
      </c>
      <c r="G392" s="17">
        <v>3.0417894492216</v>
      </c>
      <c r="H392" s="17">
        <v>2.5980436020000002</v>
      </c>
      <c r="I392" s="17" t="s">
        <v>115</v>
      </c>
    </row>
    <row r="393" spans="1:9" x14ac:dyDescent="0.3">
      <c r="A393" s="17" t="s">
        <v>196</v>
      </c>
      <c r="B393" s="17" t="s">
        <v>67</v>
      </c>
      <c r="C393" s="17" t="s">
        <v>113</v>
      </c>
      <c r="D393" s="17" t="s">
        <v>114</v>
      </c>
      <c r="E393" s="17" t="s">
        <v>99</v>
      </c>
      <c r="F393" s="17" t="s">
        <v>143</v>
      </c>
      <c r="G393" s="17">
        <v>4.8824629548968002</v>
      </c>
      <c r="H393" s="17">
        <v>4.1701938460000001</v>
      </c>
      <c r="I393" s="17" t="s">
        <v>115</v>
      </c>
    </row>
    <row r="394" spans="1:9" x14ac:dyDescent="0.3">
      <c r="A394" s="17" t="s">
        <v>196</v>
      </c>
      <c r="B394" s="17" t="s">
        <v>67</v>
      </c>
      <c r="C394" s="17" t="s">
        <v>113</v>
      </c>
      <c r="D394" s="17" t="s">
        <v>114</v>
      </c>
      <c r="E394" s="17" t="s">
        <v>99</v>
      </c>
      <c r="F394" s="17" t="s">
        <v>144</v>
      </c>
      <c r="G394" s="17">
        <v>2.5285329369559999E-2</v>
      </c>
      <c r="H394" s="17">
        <v>2.15966257E-2</v>
      </c>
      <c r="I394" s="17" t="s">
        <v>115</v>
      </c>
    </row>
    <row r="395" spans="1:9" x14ac:dyDescent="0.3">
      <c r="A395" s="17" t="s">
        <v>196</v>
      </c>
      <c r="B395" s="17" t="s">
        <v>67</v>
      </c>
      <c r="C395" s="17" t="s">
        <v>113</v>
      </c>
      <c r="D395" s="17" t="s">
        <v>114</v>
      </c>
      <c r="E395" s="17" t="s">
        <v>99</v>
      </c>
      <c r="F395" s="17" t="s">
        <v>147</v>
      </c>
      <c r="G395" s="17">
        <v>2.0764264446399999E-3</v>
      </c>
      <c r="H395" s="17">
        <v>1.7735107999999999E-3</v>
      </c>
      <c r="I395" s="17" t="s">
        <v>115</v>
      </c>
    </row>
    <row r="396" spans="1:9" x14ac:dyDescent="0.3">
      <c r="A396" s="17" t="s">
        <v>196</v>
      </c>
      <c r="B396" s="17" t="s">
        <v>67</v>
      </c>
      <c r="C396" s="17" t="s">
        <v>113</v>
      </c>
      <c r="D396" s="17" t="s">
        <v>114</v>
      </c>
      <c r="E396" s="17" t="s">
        <v>99</v>
      </c>
      <c r="F396" s="17" t="s">
        <v>148</v>
      </c>
      <c r="G396" s="17">
        <v>216.09370406269699</v>
      </c>
      <c r="H396" s="17">
        <v>184.56927234599999</v>
      </c>
      <c r="I396" s="17" t="s">
        <v>115</v>
      </c>
    </row>
    <row r="397" spans="1:9" x14ac:dyDescent="0.3">
      <c r="A397" s="17" t="s">
        <v>196</v>
      </c>
      <c r="B397" s="17" t="s">
        <v>67</v>
      </c>
      <c r="C397" s="17" t="s">
        <v>113</v>
      </c>
      <c r="D397" s="17" t="s">
        <v>114</v>
      </c>
      <c r="E397" s="17" t="s">
        <v>99</v>
      </c>
      <c r="F397" s="17" t="s">
        <v>150</v>
      </c>
      <c r="G397" s="17">
        <v>2.1600089200000001E-4</v>
      </c>
      <c r="H397" s="17">
        <v>1.8448999999999999E-4</v>
      </c>
      <c r="I397" s="17" t="s">
        <v>115</v>
      </c>
    </row>
    <row r="398" spans="1:9" x14ac:dyDescent="0.3">
      <c r="A398" s="17" t="s">
        <v>196</v>
      </c>
      <c r="B398" s="17" t="s">
        <v>67</v>
      </c>
      <c r="C398" s="17" t="s">
        <v>113</v>
      </c>
      <c r="D398" s="17" t="s">
        <v>114</v>
      </c>
      <c r="E398" s="17" t="s">
        <v>99</v>
      </c>
      <c r="F398" s="17" t="s">
        <v>151</v>
      </c>
      <c r="G398" s="17">
        <v>12.590392639033199</v>
      </c>
      <c r="H398" s="17">
        <v>10.7536664153</v>
      </c>
      <c r="I398" s="17" t="s">
        <v>115</v>
      </c>
    </row>
    <row r="399" spans="1:9" x14ac:dyDescent="0.3">
      <c r="A399" s="17" t="s">
        <v>196</v>
      </c>
      <c r="B399" s="17" t="s">
        <v>67</v>
      </c>
      <c r="C399" s="17" t="s">
        <v>113</v>
      </c>
      <c r="D399" s="17" t="s">
        <v>114</v>
      </c>
      <c r="E399" s="17" t="s">
        <v>99</v>
      </c>
      <c r="F399" s="17" t="s">
        <v>152</v>
      </c>
      <c r="G399" s="17">
        <v>34.403384143502599</v>
      </c>
      <c r="H399" s="17">
        <v>29.3845098595</v>
      </c>
      <c r="I399" s="17" t="s">
        <v>115</v>
      </c>
    </row>
    <row r="400" spans="1:9" x14ac:dyDescent="0.3">
      <c r="A400" s="17" t="s">
        <v>196</v>
      </c>
      <c r="B400" s="17" t="s">
        <v>67</v>
      </c>
      <c r="C400" s="17" t="s">
        <v>113</v>
      </c>
      <c r="D400" s="17" t="s">
        <v>114</v>
      </c>
      <c r="E400" s="17" t="s">
        <v>99</v>
      </c>
      <c r="F400" s="17" t="s">
        <v>154</v>
      </c>
      <c r="G400" s="17">
        <v>1.2410479999999999E-5</v>
      </c>
      <c r="H400" s="17">
        <v>1.06E-5</v>
      </c>
      <c r="I400" s="17" t="s">
        <v>115</v>
      </c>
    </row>
    <row r="401" spans="1:9" x14ac:dyDescent="0.3">
      <c r="A401" s="17" t="s">
        <v>196</v>
      </c>
      <c r="B401" s="17" t="s">
        <v>67</v>
      </c>
      <c r="C401" s="17" t="s">
        <v>113</v>
      </c>
      <c r="D401" s="17" t="s">
        <v>114</v>
      </c>
      <c r="E401" s="17" t="s">
        <v>101</v>
      </c>
      <c r="F401" s="17" t="s">
        <v>186</v>
      </c>
      <c r="G401" s="17">
        <v>262.10219572</v>
      </c>
      <c r="H401" s="17">
        <v>223.86590000000001</v>
      </c>
      <c r="I401" s="17" t="s">
        <v>115</v>
      </c>
    </row>
    <row r="402" spans="1:9" x14ac:dyDescent="0.3">
      <c r="A402" s="17" t="s">
        <v>196</v>
      </c>
      <c r="B402" s="17" t="s">
        <v>67</v>
      </c>
      <c r="C402" s="17" t="s">
        <v>113</v>
      </c>
      <c r="D402" s="17" t="s">
        <v>114</v>
      </c>
      <c r="E402" s="17" t="s">
        <v>101</v>
      </c>
      <c r="F402" s="17" t="s">
        <v>155</v>
      </c>
      <c r="G402" s="17">
        <v>423.80936863454002</v>
      </c>
      <c r="H402" s="17">
        <v>361.98272005000001</v>
      </c>
      <c r="I402" s="17" t="s">
        <v>115</v>
      </c>
    </row>
    <row r="403" spans="1:9" x14ac:dyDescent="0.3">
      <c r="A403" s="17" t="s">
        <v>196</v>
      </c>
      <c r="B403" s="17" t="s">
        <v>67</v>
      </c>
      <c r="C403" s="17" t="s">
        <v>113</v>
      </c>
      <c r="D403" s="17" t="s">
        <v>114</v>
      </c>
      <c r="E403" s="17" t="s">
        <v>101</v>
      </c>
      <c r="F403" s="17" t="s">
        <v>187</v>
      </c>
      <c r="G403" s="17">
        <v>437.86238060284802</v>
      </c>
      <c r="H403" s="17">
        <v>373.98563426959998</v>
      </c>
      <c r="I403" s="17" t="s">
        <v>115</v>
      </c>
    </row>
    <row r="404" spans="1:9" x14ac:dyDescent="0.3">
      <c r="A404" s="17" t="s">
        <v>196</v>
      </c>
      <c r="B404" s="17" t="s">
        <v>67</v>
      </c>
      <c r="C404" s="17" t="s">
        <v>113</v>
      </c>
      <c r="D404" s="17" t="s">
        <v>114</v>
      </c>
      <c r="E404" s="17" t="s">
        <v>101</v>
      </c>
      <c r="F404" s="17" t="s">
        <v>158</v>
      </c>
      <c r="G404" s="17">
        <v>106.35828192</v>
      </c>
      <c r="H404" s="17">
        <v>90.842399999999998</v>
      </c>
      <c r="I404" s="17" t="s">
        <v>115</v>
      </c>
    </row>
    <row r="405" spans="1:9" x14ac:dyDescent="0.3">
      <c r="A405" s="17" t="s">
        <v>196</v>
      </c>
      <c r="B405" s="17" t="s">
        <v>67</v>
      </c>
      <c r="C405" s="17" t="s">
        <v>113</v>
      </c>
      <c r="D405" s="17" t="s">
        <v>114</v>
      </c>
      <c r="E405" s="17" t="s">
        <v>101</v>
      </c>
      <c r="F405" s="17" t="s">
        <v>160</v>
      </c>
      <c r="G405" s="17">
        <v>1224.6446873340501</v>
      </c>
      <c r="H405" s="17">
        <v>1045.9896543679999</v>
      </c>
      <c r="I405" s="17" t="s">
        <v>115</v>
      </c>
    </row>
    <row r="406" spans="1:9" x14ac:dyDescent="0.3">
      <c r="A406" s="17" t="s">
        <v>196</v>
      </c>
      <c r="B406" s="17" t="s">
        <v>67</v>
      </c>
      <c r="C406" s="17" t="s">
        <v>113</v>
      </c>
      <c r="D406" s="17" t="s">
        <v>114</v>
      </c>
      <c r="E406" s="17" t="s">
        <v>101</v>
      </c>
      <c r="F406" s="17" t="s">
        <v>188</v>
      </c>
      <c r="G406" s="17">
        <v>207.30858873464999</v>
      </c>
      <c r="H406" s="17">
        <v>177.065757375</v>
      </c>
      <c r="I406" s="17" t="s">
        <v>115</v>
      </c>
    </row>
    <row r="407" spans="1:9" x14ac:dyDescent="0.3">
      <c r="A407" s="17" t="s">
        <v>196</v>
      </c>
      <c r="B407" s="17" t="s">
        <v>67</v>
      </c>
      <c r="C407" s="17" t="s">
        <v>113</v>
      </c>
      <c r="D407" s="17" t="s">
        <v>114</v>
      </c>
      <c r="E407" s="17" t="s">
        <v>101</v>
      </c>
      <c r="F407" s="17" t="s">
        <v>189</v>
      </c>
      <c r="G407" s="17">
        <v>27.756155763911998</v>
      </c>
      <c r="H407" s="17">
        <v>23.707000140000002</v>
      </c>
      <c r="I407" s="17" t="s">
        <v>115</v>
      </c>
    </row>
    <row r="408" spans="1:9" x14ac:dyDescent="0.3">
      <c r="A408" s="17" t="s">
        <v>196</v>
      </c>
      <c r="B408" s="17" t="s">
        <v>67</v>
      </c>
      <c r="C408" s="17" t="s">
        <v>113</v>
      </c>
      <c r="D408" s="17" t="s">
        <v>114</v>
      </c>
      <c r="E408" s="17" t="s">
        <v>190</v>
      </c>
      <c r="F408" s="17" t="s">
        <v>191</v>
      </c>
      <c r="G408" s="17">
        <v>95.463433506861094</v>
      </c>
      <c r="H408" s="17">
        <v>81.536926466400004</v>
      </c>
      <c r="I408" s="17" t="s">
        <v>115</v>
      </c>
    </row>
    <row r="409" spans="1:9" x14ac:dyDescent="0.3">
      <c r="A409" s="17" t="s">
        <v>196</v>
      </c>
      <c r="B409" s="17" t="s">
        <v>67</v>
      </c>
      <c r="C409" s="17" t="s">
        <v>113</v>
      </c>
      <c r="D409" s="17" t="s">
        <v>114</v>
      </c>
      <c r="E409" s="17" t="s">
        <v>102</v>
      </c>
      <c r="F409" s="17" t="s">
        <v>165</v>
      </c>
      <c r="G409" s="17">
        <v>16.667274639999999</v>
      </c>
      <c r="H409" s="17">
        <v>14.235799999999999</v>
      </c>
      <c r="I409" s="17" t="s">
        <v>115</v>
      </c>
    </row>
    <row r="410" spans="1:9" x14ac:dyDescent="0.3">
      <c r="A410" s="17" t="s">
        <v>196</v>
      </c>
      <c r="B410" s="17" t="s">
        <v>67</v>
      </c>
      <c r="C410" s="17" t="s">
        <v>113</v>
      </c>
      <c r="D410" s="17" t="s">
        <v>114</v>
      </c>
      <c r="E410" s="17" t="s">
        <v>102</v>
      </c>
      <c r="F410" s="17" t="s">
        <v>174</v>
      </c>
      <c r="G410" s="17">
        <v>1.0611807953876199E-2</v>
      </c>
      <c r="H410" s="17">
        <v>9.0637239100411493E-3</v>
      </c>
      <c r="I410" s="17" t="s">
        <v>115</v>
      </c>
    </row>
    <row r="411" spans="1:9" x14ac:dyDescent="0.3">
      <c r="A411" s="17" t="s">
        <v>196</v>
      </c>
      <c r="B411" s="17" t="s">
        <v>67</v>
      </c>
      <c r="C411" s="17" t="s">
        <v>113</v>
      </c>
      <c r="D411" s="17" t="s">
        <v>114</v>
      </c>
      <c r="E411" s="17" t="s">
        <v>102</v>
      </c>
      <c r="F411" s="17" t="s">
        <v>166</v>
      </c>
      <c r="G411" s="17">
        <v>274.33839853877203</v>
      </c>
      <c r="H411" s="17">
        <v>234.31704692413001</v>
      </c>
      <c r="I411" s="17" t="s">
        <v>115</v>
      </c>
    </row>
    <row r="412" spans="1:9" x14ac:dyDescent="0.3">
      <c r="A412" s="17" t="s">
        <v>196</v>
      </c>
      <c r="B412" s="17" t="s">
        <v>67</v>
      </c>
      <c r="C412" s="17" t="s">
        <v>113</v>
      </c>
      <c r="D412" s="17" t="s">
        <v>114</v>
      </c>
      <c r="E412" s="17" t="s">
        <v>103</v>
      </c>
      <c r="F412" s="17" t="s">
        <v>103</v>
      </c>
      <c r="G412" s="17">
        <v>34.443765200000001</v>
      </c>
      <c r="H412" s="17">
        <v>29.419</v>
      </c>
      <c r="I412" s="17" t="s">
        <v>115</v>
      </c>
    </row>
    <row r="413" spans="1:9" x14ac:dyDescent="0.3">
      <c r="A413" s="17" t="s">
        <v>196</v>
      </c>
      <c r="B413" s="17" t="s">
        <v>67</v>
      </c>
      <c r="C413" s="17" t="s">
        <v>167</v>
      </c>
      <c r="D413" s="17" t="s">
        <v>168</v>
      </c>
      <c r="E413" s="17" t="s">
        <v>100</v>
      </c>
      <c r="F413" s="17" t="s">
        <v>100</v>
      </c>
      <c r="G413" s="17">
        <v>0</v>
      </c>
      <c r="H413" s="17">
        <v>0</v>
      </c>
      <c r="I413" s="17" t="s">
        <v>115</v>
      </c>
    </row>
    <row r="414" spans="1:9" x14ac:dyDescent="0.3">
      <c r="A414" s="17" t="s">
        <v>196</v>
      </c>
      <c r="B414" s="17" t="s">
        <v>67</v>
      </c>
      <c r="C414" s="17" t="s">
        <v>167</v>
      </c>
      <c r="D414" s="17" t="s">
        <v>114</v>
      </c>
      <c r="E414" s="17" t="s">
        <v>100</v>
      </c>
      <c r="F414" s="17" t="s">
        <v>100</v>
      </c>
      <c r="G414" s="17">
        <v>550.51952640000002</v>
      </c>
      <c r="H414" s="17">
        <v>470.20800000000003</v>
      </c>
      <c r="I414" s="17" t="s">
        <v>115</v>
      </c>
    </row>
    <row r="415" spans="1:9" x14ac:dyDescent="0.3">
      <c r="A415" s="17" t="s">
        <v>196</v>
      </c>
      <c r="B415" s="17" t="s">
        <v>68</v>
      </c>
      <c r="C415" s="17" t="s">
        <v>113</v>
      </c>
      <c r="D415" s="17" t="s">
        <v>114</v>
      </c>
      <c r="E415" s="17" t="s">
        <v>179</v>
      </c>
      <c r="F415" s="17" t="s">
        <v>179</v>
      </c>
      <c r="G415" s="17">
        <v>427.77972599999998</v>
      </c>
      <c r="H415" s="17">
        <v>371.25599999999997</v>
      </c>
      <c r="I415" s="17" t="s">
        <v>115</v>
      </c>
    </row>
    <row r="416" spans="1:9" x14ac:dyDescent="0.3">
      <c r="A416" s="17" t="s">
        <v>196</v>
      </c>
      <c r="B416" s="17" t="s">
        <v>68</v>
      </c>
      <c r="C416" s="17" t="s">
        <v>113</v>
      </c>
      <c r="D416" s="17" t="s">
        <v>114</v>
      </c>
      <c r="E416" s="17" t="s">
        <v>71</v>
      </c>
      <c r="F416" s="17" t="s">
        <v>71</v>
      </c>
      <c r="G416" s="17">
        <v>50.579166000000001</v>
      </c>
      <c r="H416" s="17">
        <v>43.896000000000001</v>
      </c>
      <c r="I416" s="17" t="s">
        <v>115</v>
      </c>
    </row>
    <row r="417" spans="1:9" x14ac:dyDescent="0.3">
      <c r="A417" s="17" t="s">
        <v>196</v>
      </c>
      <c r="B417" s="17" t="s">
        <v>68</v>
      </c>
      <c r="C417" s="17" t="s">
        <v>113</v>
      </c>
      <c r="D417" s="17" t="s">
        <v>114</v>
      </c>
      <c r="E417" s="17" t="s">
        <v>72</v>
      </c>
      <c r="F417" s="17" t="s">
        <v>180</v>
      </c>
      <c r="G417" s="17">
        <v>369.51938496000002</v>
      </c>
      <c r="H417" s="17">
        <v>320.69376</v>
      </c>
      <c r="I417" s="17" t="s">
        <v>115</v>
      </c>
    </row>
    <row r="418" spans="1:9" x14ac:dyDescent="0.3">
      <c r="A418" s="17" t="s">
        <v>196</v>
      </c>
      <c r="B418" s="17" t="s">
        <v>68</v>
      </c>
      <c r="C418" s="17" t="s">
        <v>113</v>
      </c>
      <c r="D418" s="17" t="s">
        <v>114</v>
      </c>
      <c r="E418" s="17" t="s">
        <v>73</v>
      </c>
      <c r="F418" s="17" t="s">
        <v>117</v>
      </c>
      <c r="G418" s="17">
        <v>0</v>
      </c>
      <c r="H418" s="17">
        <v>0</v>
      </c>
      <c r="I418" s="17" t="s">
        <v>115</v>
      </c>
    </row>
    <row r="419" spans="1:9" x14ac:dyDescent="0.3">
      <c r="A419" s="17" t="s">
        <v>196</v>
      </c>
      <c r="B419" s="17" t="s">
        <v>68</v>
      </c>
      <c r="C419" s="17" t="s">
        <v>113</v>
      </c>
      <c r="D419" s="17" t="s">
        <v>114</v>
      </c>
      <c r="E419" s="17" t="s">
        <v>73</v>
      </c>
      <c r="F419" s="17" t="s">
        <v>118</v>
      </c>
      <c r="G419" s="17">
        <v>580.507592586751</v>
      </c>
      <c r="H419" s="17">
        <v>503.80350842850999</v>
      </c>
      <c r="I419" s="17" t="s">
        <v>115</v>
      </c>
    </row>
    <row r="420" spans="1:9" x14ac:dyDescent="0.3">
      <c r="A420" s="17" t="s">
        <v>196</v>
      </c>
      <c r="B420" s="17" t="s">
        <v>68</v>
      </c>
      <c r="C420" s="17" t="s">
        <v>113</v>
      </c>
      <c r="D420" s="17" t="s">
        <v>114</v>
      </c>
      <c r="E420" s="17" t="s">
        <v>73</v>
      </c>
      <c r="F420" s="17" t="s">
        <v>120</v>
      </c>
      <c r="G420" s="17">
        <v>12.464529090411</v>
      </c>
      <c r="H420" s="17">
        <v>10.8175561643836</v>
      </c>
      <c r="I420" s="17" t="s">
        <v>115</v>
      </c>
    </row>
    <row r="421" spans="1:9" x14ac:dyDescent="0.3">
      <c r="A421" s="17" t="s">
        <v>196</v>
      </c>
      <c r="B421" s="17" t="s">
        <v>68</v>
      </c>
      <c r="C421" s="17" t="s">
        <v>113</v>
      </c>
      <c r="D421" s="17" t="s">
        <v>114</v>
      </c>
      <c r="E421" s="17" t="s">
        <v>74</v>
      </c>
      <c r="F421" s="17" t="s">
        <v>121</v>
      </c>
      <c r="G421" s="17">
        <v>116.40006455</v>
      </c>
      <c r="H421" s="17">
        <v>101.0198</v>
      </c>
      <c r="I421" s="17" t="s">
        <v>115</v>
      </c>
    </row>
    <row r="422" spans="1:9" x14ac:dyDescent="0.3">
      <c r="A422" s="17" t="s">
        <v>196</v>
      </c>
      <c r="B422" s="17" t="s">
        <v>68</v>
      </c>
      <c r="C422" s="17" t="s">
        <v>113</v>
      </c>
      <c r="D422" s="17" t="s">
        <v>114</v>
      </c>
      <c r="E422" s="17" t="s">
        <v>76</v>
      </c>
      <c r="F422" s="17" t="s">
        <v>122</v>
      </c>
      <c r="G422" s="17">
        <v>51.007803000000003</v>
      </c>
      <c r="H422" s="17">
        <v>44.268000000000001</v>
      </c>
      <c r="I422" s="17" t="s">
        <v>115</v>
      </c>
    </row>
    <row r="423" spans="1:9" x14ac:dyDescent="0.3">
      <c r="A423" s="17" t="s">
        <v>196</v>
      </c>
      <c r="B423" s="17" t="s">
        <v>68</v>
      </c>
      <c r="C423" s="17" t="s">
        <v>113</v>
      </c>
      <c r="D423" s="17" t="s">
        <v>114</v>
      </c>
      <c r="E423" s="17" t="s">
        <v>182</v>
      </c>
      <c r="F423" s="17" t="s">
        <v>182</v>
      </c>
      <c r="G423" s="17">
        <v>85.993005781356004</v>
      </c>
      <c r="H423" s="17">
        <v>74.630510550102898</v>
      </c>
      <c r="I423" s="17" t="s">
        <v>115</v>
      </c>
    </row>
    <row r="424" spans="1:9" x14ac:dyDescent="0.3">
      <c r="A424" s="17" t="s">
        <v>196</v>
      </c>
      <c r="B424" s="17" t="s">
        <v>68</v>
      </c>
      <c r="C424" s="17" t="s">
        <v>113</v>
      </c>
      <c r="D424" s="17" t="s">
        <v>114</v>
      </c>
      <c r="E424" s="17" t="s">
        <v>182</v>
      </c>
      <c r="F424" s="17" t="s">
        <v>192</v>
      </c>
      <c r="G424" s="17">
        <v>4.7373202716400803E-5</v>
      </c>
      <c r="H424" s="17">
        <v>4.11136495694518E-5</v>
      </c>
      <c r="I424" s="17" t="s">
        <v>115</v>
      </c>
    </row>
    <row r="425" spans="1:9" x14ac:dyDescent="0.3">
      <c r="A425" s="17" t="s">
        <v>196</v>
      </c>
      <c r="B425" s="17" t="s">
        <v>68</v>
      </c>
      <c r="C425" s="17" t="s">
        <v>113</v>
      </c>
      <c r="D425" s="17" t="s">
        <v>114</v>
      </c>
      <c r="E425" s="17" t="s">
        <v>182</v>
      </c>
      <c r="F425" s="17" t="s">
        <v>183</v>
      </c>
      <c r="G425" s="17">
        <v>277.32906079999998</v>
      </c>
      <c r="H425" s="17">
        <v>240.6848</v>
      </c>
      <c r="I425" s="17" t="s">
        <v>115</v>
      </c>
    </row>
    <row r="426" spans="1:9" x14ac:dyDescent="0.3">
      <c r="A426" s="17" t="s">
        <v>196</v>
      </c>
      <c r="B426" s="17" t="s">
        <v>68</v>
      </c>
      <c r="C426" s="17" t="s">
        <v>113</v>
      </c>
      <c r="D426" s="17" t="s">
        <v>114</v>
      </c>
      <c r="E426" s="17" t="s">
        <v>80</v>
      </c>
      <c r="F426" s="17" t="s">
        <v>80</v>
      </c>
      <c r="G426" s="17">
        <v>1.0455602826570001</v>
      </c>
      <c r="H426" s="17">
        <v>0.90740749200000004</v>
      </c>
      <c r="I426" s="17" t="s">
        <v>115</v>
      </c>
    </row>
    <row r="427" spans="1:9" x14ac:dyDescent="0.3">
      <c r="A427" s="17" t="s">
        <v>196</v>
      </c>
      <c r="B427" s="17" t="s">
        <v>68</v>
      </c>
      <c r="C427" s="17" t="s">
        <v>113</v>
      </c>
      <c r="D427" s="17" t="s">
        <v>114</v>
      </c>
      <c r="E427" s="17" t="s">
        <v>77</v>
      </c>
      <c r="F427" s="17" t="s">
        <v>77</v>
      </c>
      <c r="G427" s="17">
        <v>1.69956875E-4</v>
      </c>
      <c r="H427" s="17">
        <v>1.4750000000000001E-4</v>
      </c>
      <c r="I427" s="17" t="s">
        <v>115</v>
      </c>
    </row>
    <row r="428" spans="1:9" x14ac:dyDescent="0.3">
      <c r="A428" s="17" t="s">
        <v>196</v>
      </c>
      <c r="B428" s="17" t="s">
        <v>68</v>
      </c>
      <c r="C428" s="17" t="s">
        <v>113</v>
      </c>
      <c r="D428" s="17" t="s">
        <v>114</v>
      </c>
      <c r="E428" s="17" t="s">
        <v>78</v>
      </c>
      <c r="F428" s="17" t="s">
        <v>123</v>
      </c>
      <c r="G428" s="17">
        <v>2.9792576</v>
      </c>
      <c r="H428" s="17">
        <v>2.5855999999999999</v>
      </c>
      <c r="I428" s="17" t="s">
        <v>115</v>
      </c>
    </row>
    <row r="429" spans="1:9" x14ac:dyDescent="0.3">
      <c r="A429" s="17" t="s">
        <v>196</v>
      </c>
      <c r="B429" s="17" t="s">
        <v>68</v>
      </c>
      <c r="C429" s="17" t="s">
        <v>113</v>
      </c>
      <c r="D429" s="17" t="s">
        <v>114</v>
      </c>
      <c r="E429" s="17" t="s">
        <v>78</v>
      </c>
      <c r="F429" s="17" t="s">
        <v>124</v>
      </c>
      <c r="G429" s="17">
        <v>107.15925</v>
      </c>
      <c r="H429" s="17">
        <v>93</v>
      </c>
      <c r="I429" s="17" t="s">
        <v>115</v>
      </c>
    </row>
    <row r="430" spans="1:9" x14ac:dyDescent="0.3">
      <c r="A430" s="17" t="s">
        <v>196</v>
      </c>
      <c r="B430" s="17" t="s">
        <v>68</v>
      </c>
      <c r="C430" s="17" t="s">
        <v>113</v>
      </c>
      <c r="D430" s="17" t="s">
        <v>114</v>
      </c>
      <c r="E430" s="17" t="s">
        <v>81</v>
      </c>
      <c r="F430" s="17" t="s">
        <v>81</v>
      </c>
      <c r="G430" s="17">
        <v>70.388387996838205</v>
      </c>
      <c r="H430" s="17">
        <v>61.0877743517797</v>
      </c>
      <c r="I430" s="17" t="s">
        <v>115</v>
      </c>
    </row>
    <row r="431" spans="1:9" x14ac:dyDescent="0.3">
      <c r="A431" s="17" t="s">
        <v>196</v>
      </c>
      <c r="B431" s="17" t="s">
        <v>68</v>
      </c>
      <c r="C431" s="17" t="s">
        <v>113</v>
      </c>
      <c r="D431" s="17" t="s">
        <v>114</v>
      </c>
      <c r="E431" s="17" t="s">
        <v>82</v>
      </c>
      <c r="F431" s="17" t="s">
        <v>82</v>
      </c>
      <c r="G431" s="17">
        <v>244.58136518734099</v>
      </c>
      <c r="H431" s="17">
        <v>212.26414856788099</v>
      </c>
      <c r="I431" s="17" t="s">
        <v>115</v>
      </c>
    </row>
    <row r="432" spans="1:9" x14ac:dyDescent="0.3">
      <c r="A432" s="17" t="s">
        <v>196</v>
      </c>
      <c r="B432" s="17" t="s">
        <v>68</v>
      </c>
      <c r="C432" s="17" t="s">
        <v>113</v>
      </c>
      <c r="D432" s="17" t="s">
        <v>114</v>
      </c>
      <c r="E432" s="17" t="s">
        <v>83</v>
      </c>
      <c r="F432" s="17" t="s">
        <v>127</v>
      </c>
      <c r="G432" s="17">
        <v>0.69440454138656205</v>
      </c>
      <c r="H432" s="17">
        <v>0.602650936330277</v>
      </c>
      <c r="I432" s="17" t="s">
        <v>115</v>
      </c>
    </row>
    <row r="433" spans="1:9" x14ac:dyDescent="0.3">
      <c r="A433" s="17" t="s">
        <v>196</v>
      </c>
      <c r="B433" s="17" t="s">
        <v>68</v>
      </c>
      <c r="C433" s="17" t="s">
        <v>113</v>
      </c>
      <c r="D433" s="17" t="s">
        <v>114</v>
      </c>
      <c r="E433" s="17" t="s">
        <v>83</v>
      </c>
      <c r="F433" s="17" t="s">
        <v>128</v>
      </c>
      <c r="G433" s="17">
        <v>10.511392190004401</v>
      </c>
      <c r="H433" s="17">
        <v>9.1224926795438801</v>
      </c>
      <c r="I433" s="17" t="s">
        <v>115</v>
      </c>
    </row>
    <row r="434" spans="1:9" x14ac:dyDescent="0.3">
      <c r="A434" s="17" t="s">
        <v>196</v>
      </c>
      <c r="B434" s="17" t="s">
        <v>68</v>
      </c>
      <c r="C434" s="17" t="s">
        <v>113</v>
      </c>
      <c r="D434" s="17" t="s">
        <v>114</v>
      </c>
      <c r="E434" s="17" t="s">
        <v>84</v>
      </c>
      <c r="F434" s="17" t="s">
        <v>129</v>
      </c>
      <c r="G434" s="17">
        <v>4036.1553208898499</v>
      </c>
      <c r="H434" s="17">
        <v>3502.8468829592998</v>
      </c>
      <c r="I434" s="17" t="s">
        <v>115</v>
      </c>
    </row>
    <row r="435" spans="1:9" x14ac:dyDescent="0.3">
      <c r="A435" s="17" t="s">
        <v>196</v>
      </c>
      <c r="B435" s="17" t="s">
        <v>68</v>
      </c>
      <c r="C435" s="17" t="s">
        <v>113</v>
      </c>
      <c r="D435" s="17" t="s">
        <v>114</v>
      </c>
      <c r="E435" s="17" t="s">
        <v>85</v>
      </c>
      <c r="F435" s="17" t="s">
        <v>85</v>
      </c>
      <c r="G435" s="17">
        <v>126.496552821397</v>
      </c>
      <c r="H435" s="17">
        <v>109.782211170663</v>
      </c>
      <c r="I435" s="17" t="s">
        <v>115</v>
      </c>
    </row>
    <row r="436" spans="1:9" x14ac:dyDescent="0.3">
      <c r="A436" s="17" t="s">
        <v>196</v>
      </c>
      <c r="B436" s="17" t="s">
        <v>68</v>
      </c>
      <c r="C436" s="17" t="s">
        <v>113</v>
      </c>
      <c r="D436" s="17" t="s">
        <v>114</v>
      </c>
      <c r="E436" s="17" t="s">
        <v>89</v>
      </c>
      <c r="F436" s="17" t="s">
        <v>89</v>
      </c>
      <c r="G436" s="17">
        <v>0.54307951854750003</v>
      </c>
      <c r="H436" s="17">
        <v>0.47132090999999998</v>
      </c>
      <c r="I436" s="17" t="s">
        <v>115</v>
      </c>
    </row>
    <row r="437" spans="1:9" x14ac:dyDescent="0.3">
      <c r="A437" s="17" t="s">
        <v>196</v>
      </c>
      <c r="B437" s="17" t="s">
        <v>68</v>
      </c>
      <c r="C437" s="17" t="s">
        <v>113</v>
      </c>
      <c r="D437" s="17" t="s">
        <v>114</v>
      </c>
      <c r="E437" s="17" t="s">
        <v>90</v>
      </c>
      <c r="F437" s="17" t="s">
        <v>90</v>
      </c>
      <c r="G437" s="17">
        <v>12.6154798221822</v>
      </c>
      <c r="H437" s="17">
        <v>10.948561355766699</v>
      </c>
      <c r="I437" s="17" t="s">
        <v>115</v>
      </c>
    </row>
    <row r="438" spans="1:9" x14ac:dyDescent="0.3">
      <c r="A438" s="17" t="s">
        <v>196</v>
      </c>
      <c r="B438" s="17" t="s">
        <v>68</v>
      </c>
      <c r="C438" s="17" t="s">
        <v>113</v>
      </c>
      <c r="D438" s="17" t="s">
        <v>114</v>
      </c>
      <c r="E438" s="17" t="s">
        <v>92</v>
      </c>
      <c r="F438" s="17" t="s">
        <v>92</v>
      </c>
      <c r="G438" s="17">
        <v>0.74141009436143801</v>
      </c>
      <c r="H438" s="17">
        <v>0.64344551474197298</v>
      </c>
      <c r="I438" s="17" t="s">
        <v>115</v>
      </c>
    </row>
    <row r="439" spans="1:9" x14ac:dyDescent="0.3">
      <c r="A439" s="17" t="s">
        <v>196</v>
      </c>
      <c r="B439" s="17" t="s">
        <v>68</v>
      </c>
      <c r="C439" s="17" t="s">
        <v>113</v>
      </c>
      <c r="D439" s="17" t="s">
        <v>114</v>
      </c>
      <c r="E439" s="17" t="s">
        <v>93</v>
      </c>
      <c r="F439" s="17" t="s">
        <v>130</v>
      </c>
      <c r="G439" s="17">
        <v>51.414632516499999</v>
      </c>
      <c r="H439" s="17">
        <v>44.621074</v>
      </c>
      <c r="I439" s="17" t="s">
        <v>115</v>
      </c>
    </row>
    <row r="440" spans="1:9" x14ac:dyDescent="0.3">
      <c r="A440" s="17" t="s">
        <v>196</v>
      </c>
      <c r="B440" s="17" t="s">
        <v>68</v>
      </c>
      <c r="C440" s="17" t="s">
        <v>113</v>
      </c>
      <c r="D440" s="17" t="s">
        <v>114</v>
      </c>
      <c r="E440" s="17" t="s">
        <v>93</v>
      </c>
      <c r="F440" s="17" t="s">
        <v>131</v>
      </c>
      <c r="G440" s="17">
        <v>36.177423699999999</v>
      </c>
      <c r="H440" s="17">
        <v>31.397200000000002</v>
      </c>
      <c r="I440" s="17" t="s">
        <v>115</v>
      </c>
    </row>
    <row r="441" spans="1:9" x14ac:dyDescent="0.3">
      <c r="A441" s="17" t="s">
        <v>196</v>
      </c>
      <c r="B441" s="17" t="s">
        <v>68</v>
      </c>
      <c r="C441" s="17" t="s">
        <v>113</v>
      </c>
      <c r="D441" s="17" t="s">
        <v>114</v>
      </c>
      <c r="E441" s="17" t="s">
        <v>93</v>
      </c>
      <c r="F441" s="17" t="s">
        <v>132</v>
      </c>
      <c r="G441" s="17">
        <v>0.51495723262500004</v>
      </c>
      <c r="H441" s="17">
        <v>0.44691449999999999</v>
      </c>
      <c r="I441" s="17" t="s">
        <v>115</v>
      </c>
    </row>
    <row r="442" spans="1:9" x14ac:dyDescent="0.3">
      <c r="A442" s="17" t="s">
        <v>196</v>
      </c>
      <c r="B442" s="17" t="s">
        <v>68</v>
      </c>
      <c r="C442" s="17" t="s">
        <v>113</v>
      </c>
      <c r="D442" s="17" t="s">
        <v>114</v>
      </c>
      <c r="E442" s="17" t="s">
        <v>93</v>
      </c>
      <c r="F442" s="17" t="s">
        <v>133</v>
      </c>
      <c r="G442" s="17">
        <v>7.4150539818548404</v>
      </c>
      <c r="H442" s="17">
        <v>6.4352822580645199</v>
      </c>
      <c r="I442" s="17" t="s">
        <v>115</v>
      </c>
    </row>
    <row r="443" spans="1:9" x14ac:dyDescent="0.3">
      <c r="A443" s="17" t="s">
        <v>196</v>
      </c>
      <c r="B443" s="17" t="s">
        <v>68</v>
      </c>
      <c r="C443" s="17" t="s">
        <v>113</v>
      </c>
      <c r="D443" s="17" t="s">
        <v>114</v>
      </c>
      <c r="E443" s="17" t="s">
        <v>93</v>
      </c>
      <c r="F443" s="17" t="s">
        <v>134</v>
      </c>
      <c r="G443" s="17">
        <v>11.76625042175</v>
      </c>
      <c r="H443" s="17">
        <v>10.211543000000001</v>
      </c>
      <c r="I443" s="17" t="s">
        <v>115</v>
      </c>
    </row>
    <row r="444" spans="1:9" x14ac:dyDescent="0.3">
      <c r="A444" s="17" t="s">
        <v>196</v>
      </c>
      <c r="B444" s="17" t="s">
        <v>68</v>
      </c>
      <c r="C444" s="17" t="s">
        <v>113</v>
      </c>
      <c r="D444" s="17" t="s">
        <v>114</v>
      </c>
      <c r="E444" s="17" t="s">
        <v>93</v>
      </c>
      <c r="F444" s="17" t="s">
        <v>136</v>
      </c>
      <c r="G444" s="17">
        <v>30.692124808070002</v>
      </c>
      <c r="H444" s="17">
        <v>26.636688920000001</v>
      </c>
      <c r="I444" s="17" t="s">
        <v>115</v>
      </c>
    </row>
    <row r="445" spans="1:9" x14ac:dyDescent="0.3">
      <c r="A445" s="17" t="s">
        <v>196</v>
      </c>
      <c r="B445" s="17" t="s">
        <v>68</v>
      </c>
      <c r="C445" s="17" t="s">
        <v>113</v>
      </c>
      <c r="D445" s="17" t="s">
        <v>114</v>
      </c>
      <c r="E445" s="17" t="s">
        <v>93</v>
      </c>
      <c r="F445" s="17" t="s">
        <v>137</v>
      </c>
      <c r="G445" s="17">
        <v>85.006310427499997</v>
      </c>
      <c r="H445" s="17">
        <v>73.774190000000004</v>
      </c>
      <c r="I445" s="17" t="s">
        <v>115</v>
      </c>
    </row>
    <row r="446" spans="1:9" x14ac:dyDescent="0.3">
      <c r="A446" s="17" t="s">
        <v>196</v>
      </c>
      <c r="B446" s="17" t="s">
        <v>68</v>
      </c>
      <c r="C446" s="17" t="s">
        <v>113</v>
      </c>
      <c r="D446" s="17" t="s">
        <v>114</v>
      </c>
      <c r="E446" s="17" t="s">
        <v>95</v>
      </c>
      <c r="F446" s="17" t="s">
        <v>138</v>
      </c>
      <c r="G446" s="17">
        <v>972.8345352</v>
      </c>
      <c r="H446" s="17">
        <v>844.2912</v>
      </c>
      <c r="I446" s="17" t="s">
        <v>115</v>
      </c>
    </row>
    <row r="447" spans="1:9" x14ac:dyDescent="0.3">
      <c r="A447" s="17" t="s">
        <v>196</v>
      </c>
      <c r="B447" s="17" t="s">
        <v>68</v>
      </c>
      <c r="C447" s="17" t="s">
        <v>113</v>
      </c>
      <c r="D447" s="17" t="s">
        <v>114</v>
      </c>
      <c r="E447" s="17" t="s">
        <v>95</v>
      </c>
      <c r="F447" s="17" t="s">
        <v>185</v>
      </c>
      <c r="G447" s="17">
        <v>11.144562000000001</v>
      </c>
      <c r="H447" s="17">
        <v>9.6720000000000006</v>
      </c>
      <c r="I447" s="17" t="s">
        <v>115</v>
      </c>
    </row>
    <row r="448" spans="1:9" x14ac:dyDescent="0.3">
      <c r="A448" s="17" t="s">
        <v>196</v>
      </c>
      <c r="B448" s="17" t="s">
        <v>68</v>
      </c>
      <c r="C448" s="17" t="s">
        <v>113</v>
      </c>
      <c r="D448" s="17" t="s">
        <v>114</v>
      </c>
      <c r="E448" s="17" t="s">
        <v>96</v>
      </c>
      <c r="F448" s="17" t="s">
        <v>96</v>
      </c>
      <c r="G448" s="17">
        <v>421.77880800000003</v>
      </c>
      <c r="H448" s="17">
        <v>366.048</v>
      </c>
      <c r="I448" s="17" t="s">
        <v>115</v>
      </c>
    </row>
    <row r="449" spans="1:9" x14ac:dyDescent="0.3">
      <c r="A449" s="17" t="s">
        <v>196</v>
      </c>
      <c r="B449" s="17" t="s">
        <v>68</v>
      </c>
      <c r="C449" s="17" t="s">
        <v>113</v>
      </c>
      <c r="D449" s="17" t="s">
        <v>114</v>
      </c>
      <c r="E449" s="17" t="s">
        <v>99</v>
      </c>
      <c r="F449" s="17" t="s">
        <v>142</v>
      </c>
      <c r="G449" s="17">
        <v>2.9938880351187498</v>
      </c>
      <c r="H449" s="17">
        <v>2.5982972750000002</v>
      </c>
      <c r="I449" s="17" t="s">
        <v>115</v>
      </c>
    </row>
    <row r="450" spans="1:9" x14ac:dyDescent="0.3">
      <c r="A450" s="17" t="s">
        <v>196</v>
      </c>
      <c r="B450" s="17" t="s">
        <v>68</v>
      </c>
      <c r="C450" s="17" t="s">
        <v>113</v>
      </c>
      <c r="D450" s="17" t="s">
        <v>114</v>
      </c>
      <c r="E450" s="17" t="s">
        <v>99</v>
      </c>
      <c r="F450" s="17" t="s">
        <v>143</v>
      </c>
      <c r="G450" s="17">
        <v>4.2552417652976002</v>
      </c>
      <c r="H450" s="17">
        <v>3.6929848256</v>
      </c>
      <c r="I450" s="17" t="s">
        <v>115</v>
      </c>
    </row>
    <row r="451" spans="1:9" x14ac:dyDescent="0.3">
      <c r="A451" s="17" t="s">
        <v>196</v>
      </c>
      <c r="B451" s="17" t="s">
        <v>68</v>
      </c>
      <c r="C451" s="17" t="s">
        <v>113</v>
      </c>
      <c r="D451" s="17" t="s">
        <v>114</v>
      </c>
      <c r="E451" s="17" t="s">
        <v>99</v>
      </c>
      <c r="F451" s="17" t="s">
        <v>144</v>
      </c>
      <c r="G451" s="17">
        <v>3.2665517796999999E-2</v>
      </c>
      <c r="H451" s="17">
        <v>2.8349332000000001E-2</v>
      </c>
      <c r="I451" s="17" t="s">
        <v>115</v>
      </c>
    </row>
    <row r="452" spans="1:9" x14ac:dyDescent="0.3">
      <c r="A452" s="17" t="s">
        <v>196</v>
      </c>
      <c r="B452" s="17" t="s">
        <v>68</v>
      </c>
      <c r="C452" s="17" t="s">
        <v>113</v>
      </c>
      <c r="D452" s="17" t="s">
        <v>114</v>
      </c>
      <c r="E452" s="17" t="s">
        <v>99</v>
      </c>
      <c r="F452" s="17" t="s">
        <v>147</v>
      </c>
      <c r="G452" s="17">
        <v>2.2262774347E-3</v>
      </c>
      <c r="H452" s="17">
        <v>1.9321131999999999E-3</v>
      </c>
      <c r="I452" s="17" t="s">
        <v>115</v>
      </c>
    </row>
    <row r="453" spans="1:9" x14ac:dyDescent="0.3">
      <c r="A453" s="17" t="s">
        <v>196</v>
      </c>
      <c r="B453" s="17" t="s">
        <v>68</v>
      </c>
      <c r="C453" s="17" t="s">
        <v>113</v>
      </c>
      <c r="D453" s="17" t="s">
        <v>114</v>
      </c>
      <c r="E453" s="17" t="s">
        <v>99</v>
      </c>
      <c r="F453" s="17" t="s">
        <v>148</v>
      </c>
      <c r="G453" s="17">
        <v>191.08528278274699</v>
      </c>
      <c r="H453" s="17">
        <v>165.83665244759999</v>
      </c>
      <c r="I453" s="17" t="s">
        <v>115</v>
      </c>
    </row>
    <row r="454" spans="1:9" x14ac:dyDescent="0.3">
      <c r="A454" s="17" t="s">
        <v>196</v>
      </c>
      <c r="B454" s="17" t="s">
        <v>68</v>
      </c>
      <c r="C454" s="17" t="s">
        <v>113</v>
      </c>
      <c r="D454" s="17" t="s">
        <v>114</v>
      </c>
      <c r="E454" s="17" t="s">
        <v>99</v>
      </c>
      <c r="F454" s="17" t="s">
        <v>150</v>
      </c>
      <c r="G454" s="17">
        <v>2.076838445E-4</v>
      </c>
      <c r="H454" s="17">
        <v>1.80242E-4</v>
      </c>
      <c r="I454" s="17" t="s">
        <v>115</v>
      </c>
    </row>
    <row r="455" spans="1:9" x14ac:dyDescent="0.3">
      <c r="A455" s="17" t="s">
        <v>196</v>
      </c>
      <c r="B455" s="17" t="s">
        <v>68</v>
      </c>
      <c r="C455" s="17" t="s">
        <v>113</v>
      </c>
      <c r="D455" s="17" t="s">
        <v>114</v>
      </c>
      <c r="E455" s="17" t="s">
        <v>99</v>
      </c>
      <c r="F455" s="17" t="s">
        <v>151</v>
      </c>
      <c r="G455" s="17">
        <v>62.429159257098199</v>
      </c>
      <c r="H455" s="17">
        <v>54.1802206614</v>
      </c>
      <c r="I455" s="17" t="s">
        <v>115</v>
      </c>
    </row>
    <row r="456" spans="1:9" x14ac:dyDescent="0.3">
      <c r="A456" s="17" t="s">
        <v>196</v>
      </c>
      <c r="B456" s="17" t="s">
        <v>68</v>
      </c>
      <c r="C456" s="17" t="s">
        <v>113</v>
      </c>
      <c r="D456" s="17" t="s">
        <v>114</v>
      </c>
      <c r="E456" s="17" t="s">
        <v>99</v>
      </c>
      <c r="F456" s="17" t="s">
        <v>152</v>
      </c>
      <c r="G456" s="17">
        <v>38.3426386328521</v>
      </c>
      <c r="H456" s="17">
        <v>33.2763190565</v>
      </c>
      <c r="I456" s="17" t="s">
        <v>115</v>
      </c>
    </row>
    <row r="457" spans="1:9" x14ac:dyDescent="0.3">
      <c r="A457" s="17" t="s">
        <v>196</v>
      </c>
      <c r="B457" s="17" t="s">
        <v>68</v>
      </c>
      <c r="C457" s="17" t="s">
        <v>113</v>
      </c>
      <c r="D457" s="17" t="s">
        <v>114</v>
      </c>
      <c r="E457" s="17" t="s">
        <v>99</v>
      </c>
      <c r="F457" s="17" t="s">
        <v>154</v>
      </c>
      <c r="G457" s="17">
        <v>2.02017079E-5</v>
      </c>
      <c r="H457" s="17">
        <v>1.7532399999999998E-5</v>
      </c>
      <c r="I457" s="17" t="s">
        <v>115</v>
      </c>
    </row>
    <row r="458" spans="1:9" x14ac:dyDescent="0.3">
      <c r="A458" s="17" t="s">
        <v>196</v>
      </c>
      <c r="B458" s="17" t="s">
        <v>68</v>
      </c>
      <c r="C458" s="17" t="s">
        <v>113</v>
      </c>
      <c r="D458" s="17" t="s">
        <v>114</v>
      </c>
      <c r="E458" s="17" t="s">
        <v>101</v>
      </c>
      <c r="F458" s="17" t="s">
        <v>186</v>
      </c>
      <c r="G458" s="17">
        <v>258.261965986988</v>
      </c>
      <c r="H458" s="17">
        <v>224.13709350139999</v>
      </c>
      <c r="I458" s="17" t="s">
        <v>115</v>
      </c>
    </row>
    <row r="459" spans="1:9" x14ac:dyDescent="0.3">
      <c r="A459" s="17" t="s">
        <v>196</v>
      </c>
      <c r="B459" s="17" t="s">
        <v>68</v>
      </c>
      <c r="C459" s="17" t="s">
        <v>113</v>
      </c>
      <c r="D459" s="17" t="s">
        <v>114</v>
      </c>
      <c r="E459" s="17" t="s">
        <v>101</v>
      </c>
      <c r="F459" s="17" t="s">
        <v>155</v>
      </c>
      <c r="G459" s="17">
        <v>481.35682978435898</v>
      </c>
      <c r="H459" s="17">
        <v>417.75381191960003</v>
      </c>
      <c r="I459" s="17" t="s">
        <v>115</v>
      </c>
    </row>
    <row r="460" spans="1:9" x14ac:dyDescent="0.3">
      <c r="A460" s="17" t="s">
        <v>196</v>
      </c>
      <c r="B460" s="17" t="s">
        <v>68</v>
      </c>
      <c r="C460" s="17" t="s">
        <v>113</v>
      </c>
      <c r="D460" s="17" t="s">
        <v>114</v>
      </c>
      <c r="E460" s="17" t="s">
        <v>101</v>
      </c>
      <c r="F460" s="17" t="s">
        <v>187</v>
      </c>
      <c r="G460" s="17">
        <v>3.5980055071735499</v>
      </c>
      <c r="H460" s="17">
        <v>3.1225910238000001</v>
      </c>
      <c r="I460" s="17" t="s">
        <v>115</v>
      </c>
    </row>
    <row r="461" spans="1:9" x14ac:dyDescent="0.3">
      <c r="A461" s="17" t="s">
        <v>196</v>
      </c>
      <c r="B461" s="17" t="s">
        <v>68</v>
      </c>
      <c r="C461" s="17" t="s">
        <v>113</v>
      </c>
      <c r="D461" s="17" t="s">
        <v>114</v>
      </c>
      <c r="E461" s="17" t="s">
        <v>101</v>
      </c>
      <c r="F461" s="17" t="s">
        <v>158</v>
      </c>
      <c r="G461" s="17">
        <v>104.652076843331</v>
      </c>
      <c r="H461" s="17">
        <v>90.824106611700003</v>
      </c>
      <c r="I461" s="17" t="s">
        <v>115</v>
      </c>
    </row>
    <row r="462" spans="1:9" x14ac:dyDescent="0.3">
      <c r="A462" s="17" t="s">
        <v>196</v>
      </c>
      <c r="B462" s="17" t="s">
        <v>68</v>
      </c>
      <c r="C462" s="17" t="s">
        <v>113</v>
      </c>
      <c r="D462" s="17" t="s">
        <v>114</v>
      </c>
      <c r="E462" s="17" t="s">
        <v>101</v>
      </c>
      <c r="F462" s="17" t="s">
        <v>160</v>
      </c>
      <c r="G462" s="17">
        <v>1094.8389230810999</v>
      </c>
      <c r="H462" s="17">
        <v>950.17480848870002</v>
      </c>
      <c r="I462" s="17" t="s">
        <v>115</v>
      </c>
    </row>
    <row r="463" spans="1:9" x14ac:dyDescent="0.3">
      <c r="A463" s="17" t="s">
        <v>196</v>
      </c>
      <c r="B463" s="17" t="s">
        <v>68</v>
      </c>
      <c r="C463" s="17" t="s">
        <v>113</v>
      </c>
      <c r="D463" s="17" t="s">
        <v>114</v>
      </c>
      <c r="E463" s="17" t="s">
        <v>101</v>
      </c>
      <c r="F463" s="17" t="s">
        <v>188</v>
      </c>
      <c r="G463" s="17">
        <v>204.004042622523</v>
      </c>
      <c r="H463" s="17">
        <v>177.048420588</v>
      </c>
      <c r="I463" s="17" t="s">
        <v>115</v>
      </c>
    </row>
    <row r="464" spans="1:9" x14ac:dyDescent="0.3">
      <c r="A464" s="17" t="s">
        <v>196</v>
      </c>
      <c r="B464" s="17" t="s">
        <v>68</v>
      </c>
      <c r="C464" s="17" t="s">
        <v>113</v>
      </c>
      <c r="D464" s="17" t="s">
        <v>114</v>
      </c>
      <c r="E464" s="17" t="s">
        <v>190</v>
      </c>
      <c r="F464" s="17" t="s">
        <v>191</v>
      </c>
      <c r="G464" s="17">
        <v>93.955128106969795</v>
      </c>
      <c r="H464" s="17">
        <v>81.540575488800002</v>
      </c>
      <c r="I464" s="17" t="s">
        <v>115</v>
      </c>
    </row>
    <row r="465" spans="1:9" x14ac:dyDescent="0.3">
      <c r="A465" s="17" t="s">
        <v>196</v>
      </c>
      <c r="B465" s="17" t="s">
        <v>68</v>
      </c>
      <c r="C465" s="17" t="s">
        <v>113</v>
      </c>
      <c r="D465" s="17" t="s">
        <v>114</v>
      </c>
      <c r="E465" s="17" t="s">
        <v>102</v>
      </c>
      <c r="F465" s="17" t="s">
        <v>165</v>
      </c>
      <c r="G465" s="17">
        <v>13.6306566</v>
      </c>
      <c r="H465" s="17">
        <v>11.829599999999999</v>
      </c>
      <c r="I465" s="17" t="s">
        <v>115</v>
      </c>
    </row>
    <row r="466" spans="1:9" x14ac:dyDescent="0.3">
      <c r="A466" s="17" t="s">
        <v>196</v>
      </c>
      <c r="B466" s="17" t="s">
        <v>68</v>
      </c>
      <c r="C466" s="17" t="s">
        <v>113</v>
      </c>
      <c r="D466" s="17" t="s">
        <v>114</v>
      </c>
      <c r="E466" s="17" t="s">
        <v>102</v>
      </c>
      <c r="F466" s="17" t="s">
        <v>174</v>
      </c>
      <c r="G466" s="17">
        <v>1.1806901257223701E-2</v>
      </c>
      <c r="H466" s="17">
        <v>1.02468225274235E-2</v>
      </c>
      <c r="I466" s="17" t="s">
        <v>115</v>
      </c>
    </row>
    <row r="467" spans="1:9" x14ac:dyDescent="0.3">
      <c r="A467" s="17" t="s">
        <v>196</v>
      </c>
      <c r="B467" s="17" t="s">
        <v>68</v>
      </c>
      <c r="C467" s="17" t="s">
        <v>113</v>
      </c>
      <c r="D467" s="17" t="s">
        <v>114</v>
      </c>
      <c r="E467" s="17" t="s">
        <v>102</v>
      </c>
      <c r="F467" s="17" t="s">
        <v>166</v>
      </c>
      <c r="G467" s="17">
        <v>268.99412042305198</v>
      </c>
      <c r="H467" s="17">
        <v>233.45117849689899</v>
      </c>
      <c r="I467" s="17" t="s">
        <v>115</v>
      </c>
    </row>
    <row r="468" spans="1:9" x14ac:dyDescent="0.3">
      <c r="A468" s="17" t="s">
        <v>196</v>
      </c>
      <c r="B468" s="17" t="s">
        <v>68</v>
      </c>
      <c r="C468" s="17" t="s">
        <v>113</v>
      </c>
      <c r="D468" s="17" t="s">
        <v>114</v>
      </c>
      <c r="E468" s="17" t="s">
        <v>103</v>
      </c>
      <c r="F468" s="17" t="s">
        <v>103</v>
      </c>
      <c r="G468" s="17">
        <v>33.898042750000002</v>
      </c>
      <c r="H468" s="17">
        <v>29.419</v>
      </c>
      <c r="I468" s="17" t="s">
        <v>115</v>
      </c>
    </row>
    <row r="469" spans="1:9" x14ac:dyDescent="0.3">
      <c r="A469" s="17" t="s">
        <v>196</v>
      </c>
      <c r="B469" s="17" t="s">
        <v>68</v>
      </c>
      <c r="C469" s="17" t="s">
        <v>167</v>
      </c>
      <c r="D469" s="17" t="s">
        <v>168</v>
      </c>
      <c r="E469" s="17" t="s">
        <v>100</v>
      </c>
      <c r="F469" s="17" t="s">
        <v>100</v>
      </c>
      <c r="G469" s="17">
        <v>0</v>
      </c>
      <c r="H469" s="17">
        <v>0</v>
      </c>
      <c r="I469" s="17" t="s">
        <v>115</v>
      </c>
    </row>
    <row r="470" spans="1:9" x14ac:dyDescent="0.3">
      <c r="A470" s="17" t="s">
        <v>196</v>
      </c>
      <c r="B470" s="17" t="s">
        <v>68</v>
      </c>
      <c r="C470" s="17" t="s">
        <v>167</v>
      </c>
      <c r="D470" s="17" t="s">
        <v>114</v>
      </c>
      <c r="E470" s="17" t="s">
        <v>100</v>
      </c>
      <c r="F470" s="17" t="s">
        <v>100</v>
      </c>
      <c r="G470" s="17">
        <v>541.79716800000006</v>
      </c>
      <c r="H470" s="17">
        <v>470.20800000000003</v>
      </c>
      <c r="I470" s="17" t="s">
        <v>115</v>
      </c>
    </row>
    <row r="471" spans="1:9" x14ac:dyDescent="0.3">
      <c r="A471" s="17" t="s">
        <v>196</v>
      </c>
      <c r="B471" s="17" t="s">
        <v>69</v>
      </c>
      <c r="C471" s="17" t="s">
        <v>113</v>
      </c>
      <c r="D471" s="17" t="s">
        <v>114</v>
      </c>
      <c r="E471" s="17" t="s">
        <v>179</v>
      </c>
      <c r="F471" s="17" t="s">
        <v>179</v>
      </c>
      <c r="G471" s="17">
        <v>322.21931990000002</v>
      </c>
      <c r="H471" s="17">
        <v>277.94299999999998</v>
      </c>
      <c r="I471" s="17" t="s">
        <v>115</v>
      </c>
    </row>
    <row r="472" spans="1:9" x14ac:dyDescent="0.3">
      <c r="A472" s="17" t="s">
        <v>196</v>
      </c>
      <c r="B472" s="17" t="s">
        <v>69</v>
      </c>
      <c r="C472" s="17" t="s">
        <v>113</v>
      </c>
      <c r="D472" s="17" t="s">
        <v>114</v>
      </c>
      <c r="E472" s="17" t="s">
        <v>71</v>
      </c>
      <c r="F472" s="17" t="s">
        <v>71</v>
      </c>
      <c r="G472" s="17">
        <v>39.397651199999999</v>
      </c>
      <c r="H472" s="17">
        <v>33.984000000000002</v>
      </c>
      <c r="I472" s="17" t="s">
        <v>115</v>
      </c>
    </row>
    <row r="473" spans="1:9" x14ac:dyDescent="0.3">
      <c r="A473" s="17" t="s">
        <v>196</v>
      </c>
      <c r="B473" s="17" t="s">
        <v>69</v>
      </c>
      <c r="C473" s="17" t="s">
        <v>113</v>
      </c>
      <c r="D473" s="17" t="s">
        <v>114</v>
      </c>
      <c r="E473" s="17" t="s">
        <v>72</v>
      </c>
      <c r="F473" s="17" t="s">
        <v>180</v>
      </c>
      <c r="G473" s="17">
        <v>279.334911648</v>
      </c>
      <c r="H473" s="17">
        <v>240.95135999999999</v>
      </c>
      <c r="I473" s="17" t="s">
        <v>115</v>
      </c>
    </row>
    <row r="474" spans="1:9" x14ac:dyDescent="0.3">
      <c r="A474" s="17" t="s">
        <v>196</v>
      </c>
      <c r="B474" s="17" t="s">
        <v>69</v>
      </c>
      <c r="C474" s="17" t="s">
        <v>113</v>
      </c>
      <c r="D474" s="17" t="s">
        <v>114</v>
      </c>
      <c r="E474" s="17" t="s">
        <v>73</v>
      </c>
      <c r="F474" s="17" t="s">
        <v>117</v>
      </c>
      <c r="G474" s="17">
        <v>0</v>
      </c>
      <c r="H474" s="17">
        <v>0</v>
      </c>
      <c r="I474" s="17" t="s">
        <v>115</v>
      </c>
    </row>
    <row r="475" spans="1:9" x14ac:dyDescent="0.3">
      <c r="A475" s="17" t="s">
        <v>196</v>
      </c>
      <c r="B475" s="17" t="s">
        <v>69</v>
      </c>
      <c r="C475" s="17" t="s">
        <v>113</v>
      </c>
      <c r="D475" s="17" t="s">
        <v>114</v>
      </c>
      <c r="E475" s="17" t="s">
        <v>73</v>
      </c>
      <c r="F475" s="17" t="s">
        <v>118</v>
      </c>
      <c r="G475" s="17">
        <v>438.31513457900002</v>
      </c>
      <c r="H475" s="17">
        <v>378.08602999999999</v>
      </c>
      <c r="I475" s="17" t="s">
        <v>115</v>
      </c>
    </row>
    <row r="476" spans="1:9" x14ac:dyDescent="0.3">
      <c r="A476" s="17" t="s">
        <v>196</v>
      </c>
      <c r="B476" s="17" t="s">
        <v>69</v>
      </c>
      <c r="C476" s="17" t="s">
        <v>113</v>
      </c>
      <c r="D476" s="17" t="s">
        <v>114</v>
      </c>
      <c r="E476" s="17" t="s">
        <v>73</v>
      </c>
      <c r="F476" s="17" t="s">
        <v>120</v>
      </c>
      <c r="G476" s="17">
        <v>9.3887387416438397</v>
      </c>
      <c r="H476" s="17">
        <v>8.0986273972602696</v>
      </c>
      <c r="I476" s="17" t="s">
        <v>115</v>
      </c>
    </row>
    <row r="477" spans="1:9" x14ac:dyDescent="0.3">
      <c r="A477" s="17" t="s">
        <v>196</v>
      </c>
      <c r="B477" s="17" t="s">
        <v>69</v>
      </c>
      <c r="C477" s="17" t="s">
        <v>113</v>
      </c>
      <c r="D477" s="17" t="s">
        <v>114</v>
      </c>
      <c r="E477" s="17" t="s">
        <v>74</v>
      </c>
      <c r="F477" s="17" t="s">
        <v>121</v>
      </c>
      <c r="G477" s="17">
        <v>213.54963265135001</v>
      </c>
      <c r="H477" s="17">
        <v>184.2056695</v>
      </c>
      <c r="I477" s="17" t="s">
        <v>115</v>
      </c>
    </row>
    <row r="478" spans="1:9" x14ac:dyDescent="0.3">
      <c r="A478" s="17" t="s">
        <v>196</v>
      </c>
      <c r="B478" s="17" t="s">
        <v>69</v>
      </c>
      <c r="C478" s="17" t="s">
        <v>113</v>
      </c>
      <c r="D478" s="17" t="s">
        <v>114</v>
      </c>
      <c r="E478" s="17" t="s">
        <v>76</v>
      </c>
      <c r="F478" s="17" t="s">
        <v>122</v>
      </c>
      <c r="G478" s="17">
        <v>38.420940950000002</v>
      </c>
      <c r="H478" s="17">
        <v>33.141500000000001</v>
      </c>
      <c r="I478" s="17" t="s">
        <v>115</v>
      </c>
    </row>
    <row r="479" spans="1:9" x14ac:dyDescent="0.3">
      <c r="A479" s="17" t="s">
        <v>196</v>
      </c>
      <c r="B479" s="17" t="s">
        <v>69</v>
      </c>
      <c r="C479" s="17" t="s">
        <v>113</v>
      </c>
      <c r="D479" s="17" t="s">
        <v>114</v>
      </c>
      <c r="E479" s="17" t="s">
        <v>182</v>
      </c>
      <c r="F479" s="17" t="s">
        <v>182</v>
      </c>
      <c r="G479" s="17">
        <v>93.818220028797001</v>
      </c>
      <c r="H479" s="17">
        <v>80.926610910719404</v>
      </c>
      <c r="I479" s="17" t="s">
        <v>115</v>
      </c>
    </row>
    <row r="480" spans="1:9" x14ac:dyDescent="0.3">
      <c r="A480" s="17" t="s">
        <v>196</v>
      </c>
      <c r="B480" s="17" t="s">
        <v>69</v>
      </c>
      <c r="C480" s="17" t="s">
        <v>113</v>
      </c>
      <c r="D480" s="17" t="s">
        <v>114</v>
      </c>
      <c r="E480" s="17" t="s">
        <v>182</v>
      </c>
      <c r="F480" s="17" t="s">
        <v>192</v>
      </c>
      <c r="G480" s="17">
        <v>1.7342239629834899E-4</v>
      </c>
      <c r="H480" s="17">
        <v>1.49592337012291E-4</v>
      </c>
      <c r="I480" s="17" t="s">
        <v>115</v>
      </c>
    </row>
    <row r="481" spans="1:9" x14ac:dyDescent="0.3">
      <c r="A481" s="17" t="s">
        <v>196</v>
      </c>
      <c r="B481" s="17" t="s">
        <v>69</v>
      </c>
      <c r="C481" s="17" t="s">
        <v>113</v>
      </c>
      <c r="D481" s="17" t="s">
        <v>114</v>
      </c>
      <c r="E481" s="17" t="s">
        <v>182</v>
      </c>
      <c r="F481" s="17" t="s">
        <v>183</v>
      </c>
      <c r="G481" s="17">
        <v>208.14431209032301</v>
      </c>
      <c r="H481" s="17">
        <v>179.543096774194</v>
      </c>
      <c r="I481" s="17" t="s">
        <v>115</v>
      </c>
    </row>
    <row r="482" spans="1:9" x14ac:dyDescent="0.3">
      <c r="A482" s="17" t="s">
        <v>196</v>
      </c>
      <c r="B482" s="17" t="s">
        <v>69</v>
      </c>
      <c r="C482" s="17" t="s">
        <v>113</v>
      </c>
      <c r="D482" s="17" t="s">
        <v>114</v>
      </c>
      <c r="E482" s="17" t="s">
        <v>80</v>
      </c>
      <c r="F482" s="17" t="s">
        <v>80</v>
      </c>
      <c r="G482" s="17">
        <v>0.787173796590804</v>
      </c>
      <c r="H482" s="17">
        <v>0.67900784662365599</v>
      </c>
      <c r="I482" s="17" t="s">
        <v>115</v>
      </c>
    </row>
    <row r="483" spans="1:9" x14ac:dyDescent="0.3">
      <c r="A483" s="17" t="s">
        <v>196</v>
      </c>
      <c r="B483" s="17" t="s">
        <v>69</v>
      </c>
      <c r="C483" s="17" t="s">
        <v>113</v>
      </c>
      <c r="D483" s="17" t="s">
        <v>114</v>
      </c>
      <c r="E483" s="17" t="s">
        <v>77</v>
      </c>
      <c r="F483" s="17" t="s">
        <v>77</v>
      </c>
      <c r="G483" s="17">
        <v>1.4363727000000001E-4</v>
      </c>
      <c r="H483" s="17">
        <v>1.239E-4</v>
      </c>
      <c r="I483" s="17" t="s">
        <v>115</v>
      </c>
    </row>
    <row r="484" spans="1:9" x14ac:dyDescent="0.3">
      <c r="A484" s="17" t="s">
        <v>196</v>
      </c>
      <c r="B484" s="17" t="s">
        <v>69</v>
      </c>
      <c r="C484" s="17" t="s">
        <v>113</v>
      </c>
      <c r="D484" s="17" t="s">
        <v>114</v>
      </c>
      <c r="E484" s="17" t="s">
        <v>78</v>
      </c>
      <c r="F484" s="17" t="s">
        <v>123</v>
      </c>
      <c r="G484" s="17">
        <v>2.2440856808602199</v>
      </c>
      <c r="H484" s="17">
        <v>1.9357247311828001</v>
      </c>
      <c r="I484" s="17" t="s">
        <v>115</v>
      </c>
    </row>
    <row r="485" spans="1:9" x14ac:dyDescent="0.3">
      <c r="A485" s="17" t="s">
        <v>196</v>
      </c>
      <c r="B485" s="17" t="s">
        <v>69</v>
      </c>
      <c r="C485" s="17" t="s">
        <v>113</v>
      </c>
      <c r="D485" s="17" t="s">
        <v>114</v>
      </c>
      <c r="E485" s="17" t="s">
        <v>78</v>
      </c>
      <c r="F485" s="17" t="s">
        <v>124</v>
      </c>
      <c r="G485" s="17">
        <v>80.716262499999999</v>
      </c>
      <c r="H485" s="17">
        <v>69.625</v>
      </c>
      <c r="I485" s="17" t="s">
        <v>115</v>
      </c>
    </row>
    <row r="486" spans="1:9" x14ac:dyDescent="0.3">
      <c r="A486" s="17" t="s">
        <v>196</v>
      </c>
      <c r="B486" s="17" t="s">
        <v>69</v>
      </c>
      <c r="C486" s="17" t="s">
        <v>113</v>
      </c>
      <c r="D486" s="17" t="s">
        <v>114</v>
      </c>
      <c r="E486" s="17" t="s">
        <v>81</v>
      </c>
      <c r="F486" s="17" t="s">
        <v>81</v>
      </c>
      <c r="G486" s="17">
        <v>53.508171766078597</v>
      </c>
      <c r="H486" s="17">
        <v>46.155586790372297</v>
      </c>
      <c r="I486" s="17" t="s">
        <v>115</v>
      </c>
    </row>
    <row r="487" spans="1:9" x14ac:dyDescent="0.3">
      <c r="A487" s="17" t="s">
        <v>196</v>
      </c>
      <c r="B487" s="17" t="s">
        <v>69</v>
      </c>
      <c r="C487" s="17" t="s">
        <v>113</v>
      </c>
      <c r="D487" s="17" t="s">
        <v>114</v>
      </c>
      <c r="E487" s="17" t="s">
        <v>82</v>
      </c>
      <c r="F487" s="17" t="s">
        <v>82</v>
      </c>
      <c r="G487" s="17">
        <v>184.139965653594</v>
      </c>
      <c r="H487" s="17">
        <v>158.837199735697</v>
      </c>
      <c r="I487" s="17" t="s">
        <v>115</v>
      </c>
    </row>
    <row r="488" spans="1:9" x14ac:dyDescent="0.3">
      <c r="A488" s="17" t="s">
        <v>196</v>
      </c>
      <c r="B488" s="17" t="s">
        <v>69</v>
      </c>
      <c r="C488" s="17" t="s">
        <v>113</v>
      </c>
      <c r="D488" s="17" t="s">
        <v>114</v>
      </c>
      <c r="E488" s="17" t="s">
        <v>83</v>
      </c>
      <c r="F488" s="17" t="s">
        <v>127</v>
      </c>
      <c r="G488" s="17">
        <v>0.71714769592293504</v>
      </c>
      <c r="H488" s="17">
        <v>0.61860406790557698</v>
      </c>
      <c r="I488" s="17" t="s">
        <v>115</v>
      </c>
    </row>
    <row r="489" spans="1:9" x14ac:dyDescent="0.3">
      <c r="A489" s="17" t="s">
        <v>196</v>
      </c>
      <c r="B489" s="17" t="s">
        <v>69</v>
      </c>
      <c r="C489" s="17" t="s">
        <v>113</v>
      </c>
      <c r="D489" s="17" t="s">
        <v>114</v>
      </c>
      <c r="E489" s="17" t="s">
        <v>83</v>
      </c>
      <c r="F489" s="17" t="s">
        <v>128</v>
      </c>
      <c r="G489" s="17">
        <v>8.3030830236620901</v>
      </c>
      <c r="H489" s="17">
        <v>7.1621521811973503</v>
      </c>
      <c r="I489" s="17" t="s">
        <v>115</v>
      </c>
    </row>
    <row r="490" spans="1:9" x14ac:dyDescent="0.3">
      <c r="A490" s="17" t="s">
        <v>196</v>
      </c>
      <c r="B490" s="17" t="s">
        <v>69</v>
      </c>
      <c r="C490" s="17" t="s">
        <v>113</v>
      </c>
      <c r="D490" s="17" t="s">
        <v>114</v>
      </c>
      <c r="E490" s="17" t="s">
        <v>84</v>
      </c>
      <c r="F490" s="17" t="s">
        <v>129</v>
      </c>
      <c r="G490" s="17">
        <v>3738.2782958463499</v>
      </c>
      <c r="H490" s="17">
        <v>3224.59958237415</v>
      </c>
      <c r="I490" s="17" t="s">
        <v>115</v>
      </c>
    </row>
    <row r="491" spans="1:9" x14ac:dyDescent="0.3">
      <c r="A491" s="17" t="s">
        <v>196</v>
      </c>
      <c r="B491" s="17" t="s">
        <v>69</v>
      </c>
      <c r="C491" s="17" t="s">
        <v>113</v>
      </c>
      <c r="D491" s="17" t="s">
        <v>114</v>
      </c>
      <c r="E491" s="17" t="s">
        <v>85</v>
      </c>
      <c r="F491" s="17" t="s">
        <v>85</v>
      </c>
      <c r="G491" s="17">
        <v>95.281825534211805</v>
      </c>
      <c r="H491" s="17">
        <v>82.189101642553098</v>
      </c>
      <c r="I491" s="17" t="s">
        <v>115</v>
      </c>
    </row>
    <row r="492" spans="1:9" x14ac:dyDescent="0.3">
      <c r="A492" s="17" t="s">
        <v>196</v>
      </c>
      <c r="B492" s="17" t="s">
        <v>69</v>
      </c>
      <c r="C492" s="17" t="s">
        <v>113</v>
      </c>
      <c r="D492" s="17" t="s">
        <v>114</v>
      </c>
      <c r="E492" s="17" t="s">
        <v>89</v>
      </c>
      <c r="F492" s="17" t="s">
        <v>89</v>
      </c>
      <c r="G492" s="17">
        <v>0.34053729167699998</v>
      </c>
      <c r="H492" s="17">
        <v>0.29374389000000001</v>
      </c>
      <c r="I492" s="17" t="s">
        <v>115</v>
      </c>
    </row>
    <row r="493" spans="1:9" x14ac:dyDescent="0.3">
      <c r="A493" s="17" t="s">
        <v>196</v>
      </c>
      <c r="B493" s="17" t="s">
        <v>69</v>
      </c>
      <c r="C493" s="17" t="s">
        <v>113</v>
      </c>
      <c r="D493" s="17" t="s">
        <v>114</v>
      </c>
      <c r="E493" s="17" t="s">
        <v>90</v>
      </c>
      <c r="F493" s="17" t="s">
        <v>90</v>
      </c>
      <c r="G493" s="17">
        <v>9.4734157777735799</v>
      </c>
      <c r="H493" s="17">
        <v>8.1716689189800498</v>
      </c>
      <c r="I493" s="17" t="s">
        <v>115</v>
      </c>
    </row>
    <row r="494" spans="1:9" x14ac:dyDescent="0.3">
      <c r="A494" s="17" t="s">
        <v>196</v>
      </c>
      <c r="B494" s="17" t="s">
        <v>69</v>
      </c>
      <c r="C494" s="17" t="s">
        <v>113</v>
      </c>
      <c r="D494" s="17" t="s">
        <v>114</v>
      </c>
      <c r="E494" s="17" t="s">
        <v>92</v>
      </c>
      <c r="F494" s="17" t="s">
        <v>92</v>
      </c>
      <c r="G494" s="17">
        <v>0.67163398879701397</v>
      </c>
      <c r="H494" s="17">
        <v>0.57934442232124095</v>
      </c>
      <c r="I494" s="17" t="s">
        <v>115</v>
      </c>
    </row>
    <row r="495" spans="1:9" x14ac:dyDescent="0.3">
      <c r="A495" s="17" t="s">
        <v>196</v>
      </c>
      <c r="B495" s="17" t="s">
        <v>69</v>
      </c>
      <c r="C495" s="17" t="s">
        <v>113</v>
      </c>
      <c r="D495" s="17" t="s">
        <v>114</v>
      </c>
      <c r="E495" s="17" t="s">
        <v>93</v>
      </c>
      <c r="F495" s="17" t="s">
        <v>130</v>
      </c>
      <c r="G495" s="17">
        <v>39.593767662399998</v>
      </c>
      <c r="H495" s="17">
        <v>34.153168000000001</v>
      </c>
      <c r="I495" s="17" t="s">
        <v>115</v>
      </c>
    </row>
    <row r="496" spans="1:9" x14ac:dyDescent="0.3">
      <c r="A496" s="17" t="s">
        <v>196</v>
      </c>
      <c r="B496" s="17" t="s">
        <v>69</v>
      </c>
      <c r="C496" s="17" t="s">
        <v>113</v>
      </c>
      <c r="D496" s="17" t="s">
        <v>114</v>
      </c>
      <c r="E496" s="17" t="s">
        <v>93</v>
      </c>
      <c r="F496" s="17" t="s">
        <v>131</v>
      </c>
      <c r="G496" s="17">
        <v>27.42811056</v>
      </c>
      <c r="H496" s="17">
        <v>23.659199999999998</v>
      </c>
      <c r="I496" s="17" t="s">
        <v>115</v>
      </c>
    </row>
    <row r="497" spans="1:9" x14ac:dyDescent="0.3">
      <c r="A497" s="17" t="s">
        <v>196</v>
      </c>
      <c r="B497" s="17" t="s">
        <v>69</v>
      </c>
      <c r="C497" s="17" t="s">
        <v>113</v>
      </c>
      <c r="D497" s="17" t="s">
        <v>114</v>
      </c>
      <c r="E497" s="17" t="s">
        <v>93</v>
      </c>
      <c r="F497" s="17" t="s">
        <v>132</v>
      </c>
      <c r="G497" s="17">
        <v>0.38840665515</v>
      </c>
      <c r="H497" s="17">
        <v>0.33503549999999999</v>
      </c>
      <c r="I497" s="17" t="s">
        <v>115</v>
      </c>
    </row>
    <row r="498" spans="1:9" x14ac:dyDescent="0.3">
      <c r="A498" s="17" t="s">
        <v>196</v>
      </c>
      <c r="B498" s="17" t="s">
        <v>69</v>
      </c>
      <c r="C498" s="17" t="s">
        <v>113</v>
      </c>
      <c r="D498" s="17" t="s">
        <v>114</v>
      </c>
      <c r="E498" s="17" t="s">
        <v>93</v>
      </c>
      <c r="F498" s="17" t="s">
        <v>133</v>
      </c>
      <c r="G498" s="17">
        <v>7.69485375</v>
      </c>
      <c r="H498" s="17">
        <v>6.6375000000000002</v>
      </c>
      <c r="I498" s="17" t="s">
        <v>115</v>
      </c>
    </row>
    <row r="499" spans="1:9" x14ac:dyDescent="0.3">
      <c r="A499" s="17" t="s">
        <v>196</v>
      </c>
      <c r="B499" s="17" t="s">
        <v>69</v>
      </c>
      <c r="C499" s="17" t="s">
        <v>113</v>
      </c>
      <c r="D499" s="17" t="s">
        <v>114</v>
      </c>
      <c r="E499" s="17" t="s">
        <v>93</v>
      </c>
      <c r="F499" s="17" t="s">
        <v>134</v>
      </c>
      <c r="G499" s="17">
        <v>8.2156269605500007</v>
      </c>
      <c r="H499" s="17">
        <v>7.0867135000000001</v>
      </c>
      <c r="I499" s="17" t="s">
        <v>115</v>
      </c>
    </row>
    <row r="500" spans="1:9" x14ac:dyDescent="0.3">
      <c r="A500" s="17" t="s">
        <v>196</v>
      </c>
      <c r="B500" s="17" t="s">
        <v>69</v>
      </c>
      <c r="C500" s="17" t="s">
        <v>113</v>
      </c>
      <c r="D500" s="17" t="s">
        <v>114</v>
      </c>
      <c r="E500" s="17" t="s">
        <v>93</v>
      </c>
      <c r="F500" s="17" t="s">
        <v>136</v>
      </c>
      <c r="G500" s="17">
        <v>23.163437958446</v>
      </c>
      <c r="H500" s="17">
        <v>19.98053822</v>
      </c>
      <c r="I500" s="17" t="s">
        <v>115</v>
      </c>
    </row>
    <row r="501" spans="1:9" x14ac:dyDescent="0.3">
      <c r="A501" s="17" t="s">
        <v>196</v>
      </c>
      <c r="B501" s="17" t="s">
        <v>69</v>
      </c>
      <c r="C501" s="17" t="s">
        <v>113</v>
      </c>
      <c r="D501" s="17" t="s">
        <v>114</v>
      </c>
      <c r="E501" s="17" t="s">
        <v>93</v>
      </c>
      <c r="F501" s="17" t="s">
        <v>137</v>
      </c>
      <c r="G501" s="17">
        <v>64.416527685999995</v>
      </c>
      <c r="H501" s="17">
        <v>55.565019999999997</v>
      </c>
      <c r="I501" s="17" t="s">
        <v>115</v>
      </c>
    </row>
    <row r="502" spans="1:9" x14ac:dyDescent="0.3">
      <c r="A502" s="17" t="s">
        <v>196</v>
      </c>
      <c r="B502" s="17" t="s">
        <v>69</v>
      </c>
      <c r="C502" s="17" t="s">
        <v>113</v>
      </c>
      <c r="D502" s="17" t="s">
        <v>114</v>
      </c>
      <c r="E502" s="17" t="s">
        <v>95</v>
      </c>
      <c r="F502" s="17" t="s">
        <v>138</v>
      </c>
      <c r="G502" s="17">
        <v>732.77451747999999</v>
      </c>
      <c r="H502" s="17">
        <v>632.08360000000005</v>
      </c>
      <c r="I502" s="17" t="s">
        <v>115</v>
      </c>
    </row>
    <row r="503" spans="1:9" x14ac:dyDescent="0.3">
      <c r="A503" s="17" t="s">
        <v>196</v>
      </c>
      <c r="B503" s="17" t="s">
        <v>69</v>
      </c>
      <c r="C503" s="17" t="s">
        <v>113</v>
      </c>
      <c r="D503" s="17" t="s">
        <v>114</v>
      </c>
      <c r="E503" s="17" t="s">
        <v>95</v>
      </c>
      <c r="F503" s="17" t="s">
        <v>185</v>
      </c>
      <c r="G503" s="17">
        <v>8.3944913000000003</v>
      </c>
      <c r="H503" s="17">
        <v>7.2409999999999997</v>
      </c>
      <c r="I503" s="17" t="s">
        <v>115</v>
      </c>
    </row>
    <row r="504" spans="1:9" x14ac:dyDescent="0.3">
      <c r="A504" s="17" t="s">
        <v>196</v>
      </c>
      <c r="B504" s="17" t="s">
        <v>69</v>
      </c>
      <c r="C504" s="17" t="s">
        <v>113</v>
      </c>
      <c r="D504" s="17" t="s">
        <v>114</v>
      </c>
      <c r="E504" s="17" t="s">
        <v>96</v>
      </c>
      <c r="F504" s="17" t="s">
        <v>96</v>
      </c>
      <c r="G504" s="17">
        <v>318.26958480000002</v>
      </c>
      <c r="H504" s="17">
        <v>274.536</v>
      </c>
      <c r="I504" s="17" t="s">
        <v>115</v>
      </c>
    </row>
    <row r="505" spans="1:9" x14ac:dyDescent="0.3">
      <c r="A505" s="17" t="s">
        <v>196</v>
      </c>
      <c r="B505" s="17" t="s">
        <v>69</v>
      </c>
      <c r="C505" s="17" t="s">
        <v>113</v>
      </c>
      <c r="D505" s="17" t="s">
        <v>114</v>
      </c>
      <c r="E505" s="17" t="s">
        <v>99</v>
      </c>
      <c r="F505" s="17" t="s">
        <v>142</v>
      </c>
      <c r="G505" s="17">
        <v>2.3338740974668002</v>
      </c>
      <c r="H505" s="17">
        <v>2.0131752760000001</v>
      </c>
      <c r="I505" s="17" t="s">
        <v>115</v>
      </c>
    </row>
    <row r="506" spans="1:9" x14ac:dyDescent="0.3">
      <c r="A506" s="17" t="s">
        <v>196</v>
      </c>
      <c r="B506" s="17" t="s">
        <v>69</v>
      </c>
      <c r="C506" s="17" t="s">
        <v>113</v>
      </c>
      <c r="D506" s="17" t="s">
        <v>114</v>
      </c>
      <c r="E506" s="17" t="s">
        <v>99</v>
      </c>
      <c r="F506" s="17" t="s">
        <v>143</v>
      </c>
      <c r="G506" s="17">
        <v>1.92629667647564</v>
      </c>
      <c r="H506" s="17">
        <v>1.6616032748</v>
      </c>
      <c r="I506" s="17" t="s">
        <v>115</v>
      </c>
    </row>
    <row r="507" spans="1:9" x14ac:dyDescent="0.3">
      <c r="A507" s="17" t="s">
        <v>196</v>
      </c>
      <c r="B507" s="17" t="s">
        <v>69</v>
      </c>
      <c r="C507" s="17" t="s">
        <v>113</v>
      </c>
      <c r="D507" s="17" t="s">
        <v>114</v>
      </c>
      <c r="E507" s="17" t="s">
        <v>99</v>
      </c>
      <c r="F507" s="17" t="s">
        <v>144</v>
      </c>
      <c r="G507" s="17">
        <v>6.7110512387970001E-2</v>
      </c>
      <c r="H507" s="17">
        <v>5.7888822899999998E-2</v>
      </c>
      <c r="I507" s="17" t="s">
        <v>115</v>
      </c>
    </row>
    <row r="508" spans="1:9" x14ac:dyDescent="0.3">
      <c r="A508" s="17" t="s">
        <v>196</v>
      </c>
      <c r="B508" s="17" t="s">
        <v>69</v>
      </c>
      <c r="C508" s="17" t="s">
        <v>113</v>
      </c>
      <c r="D508" s="17" t="s">
        <v>114</v>
      </c>
      <c r="E508" s="17" t="s">
        <v>99</v>
      </c>
      <c r="F508" s="17" t="s">
        <v>147</v>
      </c>
      <c r="G508" s="17">
        <v>1.6352428013180001E-3</v>
      </c>
      <c r="H508" s="17">
        <v>1.41054326E-3</v>
      </c>
      <c r="I508" s="17" t="s">
        <v>115</v>
      </c>
    </row>
    <row r="509" spans="1:9" x14ac:dyDescent="0.3">
      <c r="A509" s="17" t="s">
        <v>196</v>
      </c>
      <c r="B509" s="17" t="s">
        <v>69</v>
      </c>
      <c r="C509" s="17" t="s">
        <v>113</v>
      </c>
      <c r="D509" s="17" t="s">
        <v>114</v>
      </c>
      <c r="E509" s="17" t="s">
        <v>99</v>
      </c>
      <c r="F509" s="17" t="s">
        <v>148</v>
      </c>
      <c r="G509" s="17">
        <v>149.36712052325299</v>
      </c>
      <c r="H509" s="17">
        <v>128.84250886160001</v>
      </c>
      <c r="I509" s="17" t="s">
        <v>115</v>
      </c>
    </row>
    <row r="510" spans="1:9" x14ac:dyDescent="0.3">
      <c r="A510" s="17" t="s">
        <v>196</v>
      </c>
      <c r="B510" s="17" t="s">
        <v>69</v>
      </c>
      <c r="C510" s="17" t="s">
        <v>113</v>
      </c>
      <c r="D510" s="17" t="s">
        <v>114</v>
      </c>
      <c r="E510" s="17" t="s">
        <v>99</v>
      </c>
      <c r="F510" s="17" t="s">
        <v>150</v>
      </c>
      <c r="G510" s="17">
        <v>1.5233897580000001E-4</v>
      </c>
      <c r="H510" s="17">
        <v>1.3140600000000001E-4</v>
      </c>
      <c r="I510" s="17" t="s">
        <v>115</v>
      </c>
    </row>
    <row r="511" spans="1:9" x14ac:dyDescent="0.3">
      <c r="A511" s="17" t="s">
        <v>196</v>
      </c>
      <c r="B511" s="17" t="s">
        <v>69</v>
      </c>
      <c r="C511" s="17" t="s">
        <v>113</v>
      </c>
      <c r="D511" s="17" t="s">
        <v>114</v>
      </c>
      <c r="E511" s="17" t="s">
        <v>99</v>
      </c>
      <c r="F511" s="17" t="s">
        <v>151</v>
      </c>
      <c r="G511" s="17">
        <v>38.322512497736199</v>
      </c>
      <c r="H511" s="17">
        <v>33.056596651200003</v>
      </c>
      <c r="I511" s="17" t="s">
        <v>115</v>
      </c>
    </row>
    <row r="512" spans="1:9" x14ac:dyDescent="0.3">
      <c r="A512" s="17" t="s">
        <v>196</v>
      </c>
      <c r="B512" s="17" t="s">
        <v>69</v>
      </c>
      <c r="C512" s="17" t="s">
        <v>113</v>
      </c>
      <c r="D512" s="17" t="s">
        <v>114</v>
      </c>
      <c r="E512" s="17" t="s">
        <v>99</v>
      </c>
      <c r="F512" s="17" t="s">
        <v>152</v>
      </c>
      <c r="G512" s="17">
        <v>37.472248109413897</v>
      </c>
      <c r="H512" s="17">
        <v>32.323167523000002</v>
      </c>
      <c r="I512" s="17" t="s">
        <v>115</v>
      </c>
    </row>
    <row r="513" spans="1:9" x14ac:dyDescent="0.3">
      <c r="A513" s="17" t="s">
        <v>196</v>
      </c>
      <c r="B513" s="17" t="s">
        <v>69</v>
      </c>
      <c r="C513" s="17" t="s">
        <v>113</v>
      </c>
      <c r="D513" s="17" t="s">
        <v>114</v>
      </c>
      <c r="E513" s="17" t="s">
        <v>99</v>
      </c>
      <c r="F513" s="17" t="s">
        <v>153</v>
      </c>
      <c r="G513" s="17">
        <v>1.6415687999999999E-7</v>
      </c>
      <c r="H513" s="17">
        <v>1.416E-7</v>
      </c>
      <c r="I513" s="17" t="s">
        <v>115</v>
      </c>
    </row>
    <row r="514" spans="1:9" x14ac:dyDescent="0.3">
      <c r="A514" s="17" t="s">
        <v>196</v>
      </c>
      <c r="B514" s="17" t="s">
        <v>69</v>
      </c>
      <c r="C514" s="17" t="s">
        <v>113</v>
      </c>
      <c r="D514" s="17" t="s">
        <v>114</v>
      </c>
      <c r="E514" s="17" t="s">
        <v>99</v>
      </c>
      <c r="F514" s="17" t="s">
        <v>154</v>
      </c>
      <c r="G514" s="17">
        <v>2.4675468639999999E-5</v>
      </c>
      <c r="H514" s="17">
        <v>2.12848E-5</v>
      </c>
      <c r="I514" s="17" t="s">
        <v>115</v>
      </c>
    </row>
    <row r="515" spans="1:9" x14ac:dyDescent="0.3">
      <c r="A515" s="17" t="s">
        <v>196</v>
      </c>
      <c r="B515" s="17" t="s">
        <v>69</v>
      </c>
      <c r="C515" s="17" t="s">
        <v>113</v>
      </c>
      <c r="D515" s="17" t="s">
        <v>114</v>
      </c>
      <c r="E515" s="17" t="s">
        <v>101</v>
      </c>
      <c r="F515" s="17" t="s">
        <v>186</v>
      </c>
      <c r="G515" s="17">
        <v>193.85407020134301</v>
      </c>
      <c r="H515" s="17">
        <v>167.21648425890001</v>
      </c>
      <c r="I515" s="17" t="s">
        <v>115</v>
      </c>
    </row>
    <row r="516" spans="1:9" x14ac:dyDescent="0.3">
      <c r="A516" s="17" t="s">
        <v>196</v>
      </c>
      <c r="B516" s="17" t="s">
        <v>69</v>
      </c>
      <c r="C516" s="17" t="s">
        <v>113</v>
      </c>
      <c r="D516" s="17" t="s">
        <v>114</v>
      </c>
      <c r="E516" s="17" t="s">
        <v>101</v>
      </c>
      <c r="F516" s="17" t="s">
        <v>155</v>
      </c>
      <c r="G516" s="17">
        <v>368.238707500202</v>
      </c>
      <c r="H516" s="17">
        <v>317.63884024859999</v>
      </c>
      <c r="I516" s="17" t="s">
        <v>115</v>
      </c>
    </row>
    <row r="517" spans="1:9" x14ac:dyDescent="0.3">
      <c r="A517" s="17" t="s">
        <v>196</v>
      </c>
      <c r="B517" s="17" t="s">
        <v>69</v>
      </c>
      <c r="C517" s="17" t="s">
        <v>113</v>
      </c>
      <c r="D517" s="17" t="s">
        <v>114</v>
      </c>
      <c r="E517" s="17" t="s">
        <v>101</v>
      </c>
      <c r="F517" s="17" t="s">
        <v>158</v>
      </c>
      <c r="G517" s="17">
        <v>78.546400137941305</v>
      </c>
      <c r="H517" s="17">
        <v>67.753299523799996</v>
      </c>
      <c r="I517" s="17" t="s">
        <v>115</v>
      </c>
    </row>
    <row r="518" spans="1:9" x14ac:dyDescent="0.3">
      <c r="A518" s="17" t="s">
        <v>196</v>
      </c>
      <c r="B518" s="17" t="s">
        <v>69</v>
      </c>
      <c r="C518" s="17" t="s">
        <v>113</v>
      </c>
      <c r="D518" s="17" t="s">
        <v>114</v>
      </c>
      <c r="E518" s="17" t="s">
        <v>101</v>
      </c>
      <c r="F518" s="17" t="s">
        <v>160</v>
      </c>
      <c r="G518" s="17">
        <v>905.17333822615399</v>
      </c>
      <c r="H518" s="17">
        <v>780.79301149499997</v>
      </c>
      <c r="I518" s="17" t="s">
        <v>115</v>
      </c>
    </row>
    <row r="519" spans="1:9" x14ac:dyDescent="0.3">
      <c r="A519" s="17" t="s">
        <v>196</v>
      </c>
      <c r="B519" s="17" t="s">
        <v>69</v>
      </c>
      <c r="C519" s="17" t="s">
        <v>113</v>
      </c>
      <c r="D519" s="17" t="s">
        <v>114</v>
      </c>
      <c r="E519" s="17" t="s">
        <v>101</v>
      </c>
      <c r="F519" s="17" t="s">
        <v>188</v>
      </c>
      <c r="G519" s="17">
        <v>153.251101753055</v>
      </c>
      <c r="H519" s="17">
        <v>132.192790264</v>
      </c>
      <c r="I519" s="17" t="s">
        <v>115</v>
      </c>
    </row>
    <row r="520" spans="1:9" x14ac:dyDescent="0.3">
      <c r="A520" s="17" t="s">
        <v>196</v>
      </c>
      <c r="B520" s="17" t="s">
        <v>69</v>
      </c>
      <c r="C520" s="17" t="s">
        <v>113</v>
      </c>
      <c r="D520" s="17" t="s">
        <v>114</v>
      </c>
      <c r="E520" s="17" t="s">
        <v>190</v>
      </c>
      <c r="F520" s="17" t="s">
        <v>191</v>
      </c>
      <c r="G520" s="17">
        <v>70.5073220796436</v>
      </c>
      <c r="H520" s="17">
        <v>60.818875251999998</v>
      </c>
      <c r="I520" s="17" t="s">
        <v>115</v>
      </c>
    </row>
    <row r="521" spans="1:9" x14ac:dyDescent="0.3">
      <c r="A521" s="17" t="s">
        <v>196</v>
      </c>
      <c r="B521" s="17" t="s">
        <v>69</v>
      </c>
      <c r="C521" s="17" t="s">
        <v>113</v>
      </c>
      <c r="D521" s="17" t="s">
        <v>114</v>
      </c>
      <c r="E521" s="17" t="s">
        <v>102</v>
      </c>
      <c r="F521" s="17" t="s">
        <v>165</v>
      </c>
      <c r="G521" s="17">
        <v>10.276325025</v>
      </c>
      <c r="H521" s="17">
        <v>8.8642500000000002</v>
      </c>
      <c r="I521" s="17" t="s">
        <v>115</v>
      </c>
    </row>
    <row r="522" spans="1:9" x14ac:dyDescent="0.3">
      <c r="A522" s="17" t="s">
        <v>196</v>
      </c>
      <c r="B522" s="17" t="s">
        <v>69</v>
      </c>
      <c r="C522" s="17" t="s">
        <v>113</v>
      </c>
      <c r="D522" s="17" t="s">
        <v>114</v>
      </c>
      <c r="E522" s="17" t="s">
        <v>102</v>
      </c>
      <c r="F522" s="17" t="s">
        <v>174</v>
      </c>
      <c r="G522" s="17">
        <v>7.9784334760950905E-3</v>
      </c>
      <c r="H522" s="17">
        <v>6.8821128923445898E-3</v>
      </c>
      <c r="I522" s="17" t="s">
        <v>115</v>
      </c>
    </row>
    <row r="523" spans="1:9" x14ac:dyDescent="0.3">
      <c r="A523" s="17" t="s">
        <v>196</v>
      </c>
      <c r="B523" s="17" t="s">
        <v>69</v>
      </c>
      <c r="C523" s="17" t="s">
        <v>113</v>
      </c>
      <c r="D523" s="17" t="s">
        <v>114</v>
      </c>
      <c r="E523" s="17" t="s">
        <v>102</v>
      </c>
      <c r="F523" s="17" t="s">
        <v>166</v>
      </c>
      <c r="G523" s="17">
        <v>207.72639952352301</v>
      </c>
      <c r="H523" s="17">
        <v>179.18260978480299</v>
      </c>
      <c r="I523" s="17" t="s">
        <v>115</v>
      </c>
    </row>
    <row r="524" spans="1:9" x14ac:dyDescent="0.3">
      <c r="A524" s="17" t="s">
        <v>196</v>
      </c>
      <c r="B524" s="17" t="s">
        <v>69</v>
      </c>
      <c r="C524" s="17" t="s">
        <v>113</v>
      </c>
      <c r="D524" s="17" t="s">
        <v>114</v>
      </c>
      <c r="E524" s="17" t="s">
        <v>103</v>
      </c>
      <c r="F524" s="17" t="s">
        <v>103</v>
      </c>
      <c r="G524" s="17">
        <v>25.304041099999999</v>
      </c>
      <c r="H524" s="17">
        <v>21.827000000000002</v>
      </c>
      <c r="I524" s="17" t="s">
        <v>115</v>
      </c>
    </row>
    <row r="525" spans="1:9" x14ac:dyDescent="0.3">
      <c r="A525" s="17" t="s">
        <v>196</v>
      </c>
      <c r="B525" s="17" t="s">
        <v>69</v>
      </c>
      <c r="C525" s="17" t="s">
        <v>167</v>
      </c>
      <c r="D525" s="17" t="s">
        <v>168</v>
      </c>
      <c r="E525" s="17" t="s">
        <v>100</v>
      </c>
      <c r="F525" s="17" t="s">
        <v>100</v>
      </c>
      <c r="G525" s="17">
        <v>0</v>
      </c>
      <c r="H525" s="17">
        <v>0</v>
      </c>
      <c r="I525" s="17" t="s">
        <v>115</v>
      </c>
    </row>
    <row r="526" spans="1:9" x14ac:dyDescent="0.3">
      <c r="A526" s="17" t="s">
        <v>196</v>
      </c>
      <c r="B526" s="17" t="s">
        <v>69</v>
      </c>
      <c r="C526" s="17" t="s">
        <v>167</v>
      </c>
      <c r="D526" s="17" t="s">
        <v>114</v>
      </c>
      <c r="E526" s="17" t="s">
        <v>100</v>
      </c>
      <c r="F526" s="17" t="s">
        <v>100</v>
      </c>
      <c r="G526" s="17">
        <v>408.1014232</v>
      </c>
      <c r="H526" s="17">
        <v>352.024</v>
      </c>
      <c r="I526" s="17" t="s">
        <v>115</v>
      </c>
    </row>
  </sheetData>
  <autoFilter ref="B1:I526" xr:uid="{00000000-0009-0000-0000-000001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01029-DABC-4F7F-AC15-8B45A820CB5D}">
  <dimension ref="A1:I432"/>
  <sheetViews>
    <sheetView topLeftCell="A398" workbookViewId="0">
      <selection activeCell="A2" sqref="A2:I432"/>
    </sheetView>
  </sheetViews>
  <sheetFormatPr defaultRowHeight="15.6" x14ac:dyDescent="0.3"/>
  <cols>
    <col min="1" max="1" width="29.5546875" style="17" bestFit="1" customWidth="1"/>
    <col min="2" max="16384" width="8.88671875" style="17"/>
  </cols>
  <sheetData>
    <row r="1" spans="1:9" x14ac:dyDescent="0.3">
      <c r="A1" s="17" t="s">
        <v>59</v>
      </c>
      <c r="B1" s="17" t="s">
        <v>105</v>
      </c>
      <c r="C1" s="17" t="s">
        <v>106</v>
      </c>
      <c r="D1" s="17" t="s">
        <v>107</v>
      </c>
      <c r="E1" s="17" t="s">
        <v>108</v>
      </c>
      <c r="F1" s="17" t="s">
        <v>109</v>
      </c>
      <c r="G1" s="17" t="s">
        <v>110</v>
      </c>
      <c r="H1" s="17" t="s">
        <v>111</v>
      </c>
      <c r="I1" s="17" t="s">
        <v>112</v>
      </c>
    </row>
    <row r="2" spans="1:9" x14ac:dyDescent="0.3">
      <c r="A2" s="17" t="s">
        <v>195</v>
      </c>
      <c r="B2" s="17" t="s">
        <v>61</v>
      </c>
      <c r="C2" s="17" t="s">
        <v>113</v>
      </c>
      <c r="D2" s="17" t="s">
        <v>114</v>
      </c>
      <c r="E2" s="17" t="s">
        <v>71</v>
      </c>
      <c r="F2" s="17" t="s">
        <v>71</v>
      </c>
      <c r="G2" s="17">
        <v>11.806608000000001</v>
      </c>
      <c r="H2" s="17">
        <v>11.327999999999999</v>
      </c>
      <c r="I2" s="17" t="s">
        <v>115</v>
      </c>
    </row>
    <row r="3" spans="1:9" x14ac:dyDescent="0.3">
      <c r="A3" s="17" t="s">
        <v>195</v>
      </c>
      <c r="B3" s="17" t="s">
        <v>61</v>
      </c>
      <c r="C3" s="17" t="s">
        <v>113</v>
      </c>
      <c r="D3" s="17" t="s">
        <v>114</v>
      </c>
      <c r="E3" s="17" t="s">
        <v>72</v>
      </c>
      <c r="F3" s="17" t="s">
        <v>116</v>
      </c>
      <c r="G3" s="17">
        <v>92.908039561898605</v>
      </c>
      <c r="H3" s="17">
        <v>89.1417985722222</v>
      </c>
      <c r="I3" s="17" t="s">
        <v>115</v>
      </c>
    </row>
    <row r="4" spans="1:9" x14ac:dyDescent="0.3">
      <c r="A4" s="17" t="s">
        <v>195</v>
      </c>
      <c r="B4" s="17" t="s">
        <v>61</v>
      </c>
      <c r="C4" s="17" t="s">
        <v>113</v>
      </c>
      <c r="D4" s="17" t="s">
        <v>114</v>
      </c>
      <c r="E4" s="17" t="s">
        <v>73</v>
      </c>
      <c r="F4" s="17" t="s">
        <v>117</v>
      </c>
      <c r="G4" s="17">
        <v>0</v>
      </c>
      <c r="H4" s="17">
        <v>0</v>
      </c>
      <c r="I4" s="17" t="s">
        <v>115</v>
      </c>
    </row>
    <row r="5" spans="1:9" x14ac:dyDescent="0.3">
      <c r="A5" s="17" t="s">
        <v>195</v>
      </c>
      <c r="B5" s="17" t="s">
        <v>61</v>
      </c>
      <c r="C5" s="17" t="s">
        <v>113</v>
      </c>
      <c r="D5" s="17" t="s">
        <v>114</v>
      </c>
      <c r="E5" s="17" t="s">
        <v>73</v>
      </c>
      <c r="F5" s="17" t="s">
        <v>119</v>
      </c>
      <c r="G5" s="17">
        <v>93.351647914140003</v>
      </c>
      <c r="H5" s="17">
        <v>89.567424239999994</v>
      </c>
      <c r="I5" s="17" t="s">
        <v>115</v>
      </c>
    </row>
    <row r="6" spans="1:9" x14ac:dyDescent="0.3">
      <c r="A6" s="17" t="s">
        <v>195</v>
      </c>
      <c r="B6" s="17" t="s">
        <v>61</v>
      </c>
      <c r="C6" s="17" t="s">
        <v>113</v>
      </c>
      <c r="D6" s="17" t="s">
        <v>114</v>
      </c>
      <c r="E6" s="17" t="s">
        <v>73</v>
      </c>
      <c r="F6" s="17" t="s">
        <v>120</v>
      </c>
      <c r="G6" s="17">
        <v>2.8413805222602702</v>
      </c>
      <c r="H6" s="17">
        <v>2.7261986301369898</v>
      </c>
      <c r="I6" s="17" t="s">
        <v>115</v>
      </c>
    </row>
    <row r="7" spans="1:9" x14ac:dyDescent="0.3">
      <c r="A7" s="17" t="s">
        <v>195</v>
      </c>
      <c r="B7" s="17" t="s">
        <v>61</v>
      </c>
      <c r="C7" s="17" t="s">
        <v>113</v>
      </c>
      <c r="D7" s="17" t="s">
        <v>114</v>
      </c>
      <c r="E7" s="17" t="s">
        <v>75</v>
      </c>
      <c r="F7" s="17" t="s">
        <v>75</v>
      </c>
      <c r="G7" s="17">
        <v>56.847284158644797</v>
      </c>
      <c r="H7" s="17">
        <v>54.542848796972699</v>
      </c>
      <c r="I7" s="17" t="s">
        <v>115</v>
      </c>
    </row>
    <row r="8" spans="1:9" x14ac:dyDescent="0.3">
      <c r="A8" s="17" t="s">
        <v>195</v>
      </c>
      <c r="B8" s="17" t="s">
        <v>61</v>
      </c>
      <c r="C8" s="17" t="s">
        <v>113</v>
      </c>
      <c r="D8" s="17" t="s">
        <v>114</v>
      </c>
      <c r="E8" s="17" t="s">
        <v>80</v>
      </c>
      <c r="F8" s="17" t="s">
        <v>80</v>
      </c>
      <c r="G8" s="17">
        <v>0.174366546464539</v>
      </c>
      <c r="H8" s="17">
        <v>0.16729819761529299</v>
      </c>
      <c r="I8" s="17" t="s">
        <v>115</v>
      </c>
    </row>
    <row r="9" spans="1:9" x14ac:dyDescent="0.3">
      <c r="A9" s="17" t="s">
        <v>195</v>
      </c>
      <c r="B9" s="17" t="s">
        <v>61</v>
      </c>
      <c r="C9" s="17" t="s">
        <v>113</v>
      </c>
      <c r="D9" s="17" t="s">
        <v>114</v>
      </c>
      <c r="E9" s="17" t="s">
        <v>77</v>
      </c>
      <c r="F9" s="17" t="s">
        <v>77</v>
      </c>
      <c r="G9" s="17">
        <v>3.5050867499999999E-4</v>
      </c>
      <c r="H9" s="17">
        <v>3.3629999999999999E-4</v>
      </c>
      <c r="I9" s="17" t="s">
        <v>115</v>
      </c>
    </row>
    <row r="10" spans="1:9" x14ac:dyDescent="0.3">
      <c r="A10" s="17" t="s">
        <v>195</v>
      </c>
      <c r="B10" s="17" t="s">
        <v>61</v>
      </c>
      <c r="C10" s="17" t="s">
        <v>113</v>
      </c>
      <c r="D10" s="17" t="s">
        <v>114</v>
      </c>
      <c r="E10" s="17" t="s">
        <v>78</v>
      </c>
      <c r="F10" s="17" t="s">
        <v>123</v>
      </c>
      <c r="G10" s="17">
        <v>1.86538094623656</v>
      </c>
      <c r="H10" s="17">
        <v>1.7897634408602201</v>
      </c>
      <c r="I10" s="17" t="s">
        <v>115</v>
      </c>
    </row>
    <row r="11" spans="1:9" x14ac:dyDescent="0.3">
      <c r="A11" s="17" t="s">
        <v>195</v>
      </c>
      <c r="B11" s="17" t="s">
        <v>61</v>
      </c>
      <c r="C11" s="17" t="s">
        <v>113</v>
      </c>
      <c r="D11" s="17" t="s">
        <v>114</v>
      </c>
      <c r="E11" s="17" t="s">
        <v>78</v>
      </c>
      <c r="F11" s="17" t="s">
        <v>125</v>
      </c>
      <c r="G11" s="17">
        <v>128.60739649999999</v>
      </c>
      <c r="H11" s="17">
        <v>123.39400000000001</v>
      </c>
      <c r="I11" s="17" t="s">
        <v>115</v>
      </c>
    </row>
    <row r="12" spans="1:9" x14ac:dyDescent="0.3">
      <c r="A12" s="17" t="s">
        <v>195</v>
      </c>
      <c r="B12" s="17" t="s">
        <v>61</v>
      </c>
      <c r="C12" s="17" t="s">
        <v>113</v>
      </c>
      <c r="D12" s="17" t="s">
        <v>114</v>
      </c>
      <c r="E12" s="17" t="s">
        <v>81</v>
      </c>
      <c r="F12" s="17" t="s">
        <v>81</v>
      </c>
      <c r="G12" s="17">
        <v>72.358412814848407</v>
      </c>
      <c r="H12" s="17">
        <v>69.425198191267398</v>
      </c>
      <c r="I12" s="17" t="s">
        <v>115</v>
      </c>
    </row>
    <row r="13" spans="1:9" x14ac:dyDescent="0.3">
      <c r="A13" s="17" t="s">
        <v>195</v>
      </c>
      <c r="B13" s="17" t="s">
        <v>61</v>
      </c>
      <c r="C13" s="17" t="s">
        <v>113</v>
      </c>
      <c r="D13" s="17" t="s">
        <v>114</v>
      </c>
      <c r="E13" s="17" t="s">
        <v>83</v>
      </c>
      <c r="F13" s="17" t="s">
        <v>127</v>
      </c>
      <c r="G13" s="17">
        <v>6.1939231479464299E-2</v>
      </c>
      <c r="H13" s="17">
        <v>5.9428382326182999E-2</v>
      </c>
      <c r="I13" s="17" t="s">
        <v>115</v>
      </c>
    </row>
    <row r="14" spans="1:9" x14ac:dyDescent="0.3">
      <c r="A14" s="17" t="s">
        <v>195</v>
      </c>
      <c r="B14" s="17" t="s">
        <v>61</v>
      </c>
      <c r="C14" s="17" t="s">
        <v>113</v>
      </c>
      <c r="D14" s="17" t="s">
        <v>114</v>
      </c>
      <c r="E14" s="17" t="s">
        <v>83</v>
      </c>
      <c r="F14" s="17" t="s">
        <v>128</v>
      </c>
      <c r="G14" s="17">
        <v>1.3771137211025001E-2</v>
      </c>
      <c r="H14" s="17">
        <v>1.32128925027825E-2</v>
      </c>
      <c r="I14" s="17" t="s">
        <v>115</v>
      </c>
    </row>
    <row r="15" spans="1:9" x14ac:dyDescent="0.3">
      <c r="A15" s="17" t="s">
        <v>195</v>
      </c>
      <c r="B15" s="17" t="s">
        <v>61</v>
      </c>
      <c r="C15" s="17" t="s">
        <v>113</v>
      </c>
      <c r="D15" s="17" t="s">
        <v>114</v>
      </c>
      <c r="E15" s="17" t="s">
        <v>85</v>
      </c>
      <c r="F15" s="17" t="s">
        <v>85</v>
      </c>
      <c r="G15" s="17">
        <v>19.8193348855363</v>
      </c>
      <c r="H15" s="17">
        <v>19.015912579070601</v>
      </c>
      <c r="I15" s="17" t="s">
        <v>115</v>
      </c>
    </row>
    <row r="16" spans="1:9" x14ac:dyDescent="0.3">
      <c r="A16" s="17" t="s">
        <v>195</v>
      </c>
      <c r="B16" s="17" t="s">
        <v>61</v>
      </c>
      <c r="C16" s="17" t="s">
        <v>113</v>
      </c>
      <c r="D16" s="17" t="s">
        <v>114</v>
      </c>
      <c r="E16" s="17" t="s">
        <v>87</v>
      </c>
      <c r="F16" s="17" t="s">
        <v>87</v>
      </c>
      <c r="G16" s="17">
        <v>7.5275255550000004E-4</v>
      </c>
      <c r="H16" s="17">
        <v>7.2223800000000005E-4</v>
      </c>
      <c r="I16" s="17" t="s">
        <v>115</v>
      </c>
    </row>
    <row r="17" spans="1:9" x14ac:dyDescent="0.3">
      <c r="A17" s="17" t="s">
        <v>195</v>
      </c>
      <c r="B17" s="17" t="s">
        <v>61</v>
      </c>
      <c r="C17" s="17" t="s">
        <v>113</v>
      </c>
      <c r="D17" s="17" t="s">
        <v>114</v>
      </c>
      <c r="E17" s="17" t="s">
        <v>88</v>
      </c>
      <c r="F17" s="17" t="s">
        <v>88</v>
      </c>
      <c r="G17" s="17">
        <v>8.5344641249999995</v>
      </c>
      <c r="H17" s="17">
        <v>8.1884999999999994</v>
      </c>
      <c r="I17" s="17" t="s">
        <v>115</v>
      </c>
    </row>
    <row r="18" spans="1:9" x14ac:dyDescent="0.3">
      <c r="A18" s="17" t="s">
        <v>195</v>
      </c>
      <c r="B18" s="17" t="s">
        <v>61</v>
      </c>
      <c r="C18" s="17" t="s">
        <v>113</v>
      </c>
      <c r="D18" s="17" t="s">
        <v>114</v>
      </c>
      <c r="E18" s="17" t="s">
        <v>89</v>
      </c>
      <c r="F18" s="17" t="s">
        <v>89</v>
      </c>
      <c r="G18" s="17">
        <v>2.3781091207500001E-2</v>
      </c>
      <c r="H18" s="17">
        <v>2.2817069999999998E-2</v>
      </c>
      <c r="I18" s="17" t="s">
        <v>115</v>
      </c>
    </row>
    <row r="19" spans="1:9" x14ac:dyDescent="0.3">
      <c r="A19" s="17" t="s">
        <v>195</v>
      </c>
      <c r="B19" s="17" t="s">
        <v>61</v>
      </c>
      <c r="C19" s="17" t="s">
        <v>113</v>
      </c>
      <c r="D19" s="17" t="s">
        <v>114</v>
      </c>
      <c r="E19" s="17" t="s">
        <v>90</v>
      </c>
      <c r="F19" s="17" t="s">
        <v>90</v>
      </c>
      <c r="G19" s="17">
        <v>5.7899136331578704</v>
      </c>
      <c r="H19" s="17">
        <v>5.5552061723750201</v>
      </c>
      <c r="I19" s="17" t="s">
        <v>115</v>
      </c>
    </row>
    <row r="20" spans="1:9" x14ac:dyDescent="0.3">
      <c r="A20" s="17" t="s">
        <v>195</v>
      </c>
      <c r="B20" s="17" t="s">
        <v>61</v>
      </c>
      <c r="C20" s="17" t="s">
        <v>113</v>
      </c>
      <c r="D20" s="17" t="s">
        <v>114</v>
      </c>
      <c r="E20" s="17" t="s">
        <v>93</v>
      </c>
      <c r="F20" s="17" t="s">
        <v>130</v>
      </c>
      <c r="G20" s="17">
        <v>33.418272508500003</v>
      </c>
      <c r="H20" s="17">
        <v>32.063586000000001</v>
      </c>
      <c r="I20" s="17" t="s">
        <v>115</v>
      </c>
    </row>
    <row r="21" spans="1:9" x14ac:dyDescent="0.3">
      <c r="A21" s="17" t="s">
        <v>195</v>
      </c>
      <c r="B21" s="17" t="s">
        <v>61</v>
      </c>
      <c r="C21" s="17" t="s">
        <v>113</v>
      </c>
      <c r="D21" s="17" t="s">
        <v>114</v>
      </c>
      <c r="E21" s="17" t="s">
        <v>93</v>
      </c>
      <c r="F21" s="17" t="s">
        <v>131</v>
      </c>
      <c r="G21" s="17">
        <v>8.8272321500000004</v>
      </c>
      <c r="H21" s="17">
        <v>8.4694000000000003</v>
      </c>
      <c r="I21" s="17" t="s">
        <v>115</v>
      </c>
    </row>
    <row r="22" spans="1:9" x14ac:dyDescent="0.3">
      <c r="A22" s="17" t="s">
        <v>195</v>
      </c>
      <c r="B22" s="17" t="s">
        <v>61</v>
      </c>
      <c r="C22" s="17" t="s">
        <v>113</v>
      </c>
      <c r="D22" s="17" t="s">
        <v>114</v>
      </c>
      <c r="E22" s="17" t="s">
        <v>93</v>
      </c>
      <c r="F22" s="17" t="s">
        <v>132</v>
      </c>
      <c r="G22" s="17">
        <v>0.220882479125</v>
      </c>
      <c r="H22" s="17">
        <v>0.21192849999999999</v>
      </c>
      <c r="I22" s="17" t="s">
        <v>115</v>
      </c>
    </row>
    <row r="23" spans="1:9" x14ac:dyDescent="0.3">
      <c r="A23" s="17" t="s">
        <v>195</v>
      </c>
      <c r="B23" s="17" t="s">
        <v>61</v>
      </c>
      <c r="C23" s="17" t="s">
        <v>113</v>
      </c>
      <c r="D23" s="17" t="s">
        <v>114</v>
      </c>
      <c r="E23" s="17" t="s">
        <v>93</v>
      </c>
      <c r="F23" s="17" t="s">
        <v>133</v>
      </c>
      <c r="G23" s="17">
        <v>0</v>
      </c>
      <c r="H23" s="17">
        <v>0</v>
      </c>
      <c r="I23" s="17" t="s">
        <v>115</v>
      </c>
    </row>
    <row r="24" spans="1:9" x14ac:dyDescent="0.3">
      <c r="A24" s="17" t="s">
        <v>195</v>
      </c>
      <c r="B24" s="17" t="s">
        <v>61</v>
      </c>
      <c r="C24" s="17" t="s">
        <v>113</v>
      </c>
      <c r="D24" s="17" t="s">
        <v>114</v>
      </c>
      <c r="E24" s="17" t="s">
        <v>93</v>
      </c>
      <c r="F24" s="17" t="s">
        <v>134</v>
      </c>
      <c r="G24" s="17">
        <v>3.1552409460000002</v>
      </c>
      <c r="H24" s="17">
        <v>3.027336</v>
      </c>
      <c r="I24" s="17" t="s">
        <v>115</v>
      </c>
    </row>
    <row r="25" spans="1:9" x14ac:dyDescent="0.3">
      <c r="A25" s="17" t="s">
        <v>195</v>
      </c>
      <c r="B25" s="17" t="s">
        <v>61</v>
      </c>
      <c r="C25" s="17" t="s">
        <v>113</v>
      </c>
      <c r="D25" s="17" t="s">
        <v>114</v>
      </c>
      <c r="E25" s="17" t="s">
        <v>93</v>
      </c>
      <c r="F25" s="17" t="s">
        <v>135</v>
      </c>
      <c r="G25" s="17">
        <v>0</v>
      </c>
      <c r="H25" s="17">
        <v>0</v>
      </c>
      <c r="I25" s="17" t="s">
        <v>115</v>
      </c>
    </row>
    <row r="26" spans="1:9" x14ac:dyDescent="0.3">
      <c r="A26" s="17" t="s">
        <v>195</v>
      </c>
      <c r="B26" s="17" t="s">
        <v>61</v>
      </c>
      <c r="C26" s="17" t="s">
        <v>113</v>
      </c>
      <c r="D26" s="17" t="s">
        <v>114</v>
      </c>
      <c r="E26" s="17" t="s">
        <v>93</v>
      </c>
      <c r="F26" s="17" t="s">
        <v>136</v>
      </c>
      <c r="G26" s="17">
        <v>10.047790279999999</v>
      </c>
      <c r="H26" s="17">
        <v>9.6404800000000002</v>
      </c>
      <c r="I26" s="17" t="s">
        <v>115</v>
      </c>
    </row>
    <row r="27" spans="1:9" x14ac:dyDescent="0.3">
      <c r="A27" s="17" t="s">
        <v>195</v>
      </c>
      <c r="B27" s="17" t="s">
        <v>61</v>
      </c>
      <c r="C27" s="17" t="s">
        <v>113</v>
      </c>
      <c r="D27" s="17" t="s">
        <v>114</v>
      </c>
      <c r="E27" s="17" t="s">
        <v>93</v>
      </c>
      <c r="F27" s="17" t="s">
        <v>137</v>
      </c>
      <c r="G27" s="17">
        <v>18.543753689999999</v>
      </c>
      <c r="H27" s="17">
        <v>17.79204</v>
      </c>
      <c r="I27" s="17" t="s">
        <v>115</v>
      </c>
    </row>
    <row r="28" spans="1:9" x14ac:dyDescent="0.3">
      <c r="A28" s="17" t="s">
        <v>195</v>
      </c>
      <c r="B28" s="17" t="s">
        <v>61</v>
      </c>
      <c r="C28" s="17" t="s">
        <v>113</v>
      </c>
      <c r="D28" s="17" t="s">
        <v>114</v>
      </c>
      <c r="E28" s="17" t="s">
        <v>98</v>
      </c>
      <c r="F28" s="17" t="s">
        <v>139</v>
      </c>
      <c r="G28" s="17">
        <v>13.614390625</v>
      </c>
      <c r="H28" s="17">
        <v>13.0625</v>
      </c>
      <c r="I28" s="17" t="s">
        <v>115</v>
      </c>
    </row>
    <row r="29" spans="1:9" x14ac:dyDescent="0.3">
      <c r="A29" s="17" t="s">
        <v>195</v>
      </c>
      <c r="B29" s="17" t="s">
        <v>61</v>
      </c>
      <c r="C29" s="17" t="s">
        <v>113</v>
      </c>
      <c r="D29" s="17" t="s">
        <v>114</v>
      </c>
      <c r="E29" s="17" t="s">
        <v>98</v>
      </c>
      <c r="F29" s="17" t="s">
        <v>141</v>
      </c>
      <c r="G29" s="17">
        <v>6.81875252016129</v>
      </c>
      <c r="H29" s="17">
        <v>6.5423387096774199</v>
      </c>
      <c r="I29" s="17" t="s">
        <v>115</v>
      </c>
    </row>
    <row r="30" spans="1:9" x14ac:dyDescent="0.3">
      <c r="A30" s="17" t="s">
        <v>195</v>
      </c>
      <c r="B30" s="17" t="s">
        <v>61</v>
      </c>
      <c r="C30" s="17" t="s">
        <v>113</v>
      </c>
      <c r="D30" s="17" t="s">
        <v>114</v>
      </c>
      <c r="E30" s="17" t="s">
        <v>96</v>
      </c>
      <c r="F30" s="17" t="s">
        <v>96</v>
      </c>
      <c r="G30" s="17">
        <v>1.3499743124999999E-4</v>
      </c>
      <c r="H30" s="17">
        <v>1.2952499999999999E-4</v>
      </c>
      <c r="I30" s="17" t="s">
        <v>115</v>
      </c>
    </row>
    <row r="31" spans="1:9" x14ac:dyDescent="0.3">
      <c r="A31" s="17" t="s">
        <v>195</v>
      </c>
      <c r="B31" s="17" t="s">
        <v>61</v>
      </c>
      <c r="C31" s="17" t="s">
        <v>113</v>
      </c>
      <c r="D31" s="17" t="s">
        <v>114</v>
      </c>
      <c r="E31" s="17" t="s">
        <v>99</v>
      </c>
      <c r="F31" s="17" t="s">
        <v>142</v>
      </c>
      <c r="G31" s="17">
        <v>3.564027550875E-2</v>
      </c>
      <c r="H31" s="17">
        <v>3.4195515000000003E-2</v>
      </c>
      <c r="I31" s="17" t="s">
        <v>115</v>
      </c>
    </row>
    <row r="32" spans="1:9" x14ac:dyDescent="0.3">
      <c r="A32" s="17" t="s">
        <v>195</v>
      </c>
      <c r="B32" s="17" t="s">
        <v>61</v>
      </c>
      <c r="C32" s="17" t="s">
        <v>113</v>
      </c>
      <c r="D32" s="17" t="s">
        <v>114</v>
      </c>
      <c r="E32" s="17" t="s">
        <v>99</v>
      </c>
      <c r="F32" s="17" t="s">
        <v>143</v>
      </c>
      <c r="G32" s="17">
        <v>0.1877119519429</v>
      </c>
      <c r="H32" s="17">
        <v>0.1801026164</v>
      </c>
      <c r="I32" s="17" t="s">
        <v>115</v>
      </c>
    </row>
    <row r="33" spans="1:9" x14ac:dyDescent="0.3">
      <c r="A33" s="17" t="s">
        <v>195</v>
      </c>
      <c r="B33" s="17" t="s">
        <v>61</v>
      </c>
      <c r="C33" s="17" t="s">
        <v>113</v>
      </c>
      <c r="D33" s="17" t="s">
        <v>114</v>
      </c>
      <c r="E33" s="17" t="s">
        <v>99</v>
      </c>
      <c r="F33" s="17" t="s">
        <v>144</v>
      </c>
      <c r="G33" s="17">
        <v>7.1269159225000002E-4</v>
      </c>
      <c r="H33" s="17">
        <v>6.8380100000000005E-4</v>
      </c>
      <c r="I33" s="17" t="s">
        <v>115</v>
      </c>
    </row>
    <row r="34" spans="1:9" x14ac:dyDescent="0.3">
      <c r="A34" s="17" t="s">
        <v>195</v>
      </c>
      <c r="B34" s="17" t="s">
        <v>61</v>
      </c>
      <c r="C34" s="17" t="s">
        <v>113</v>
      </c>
      <c r="D34" s="17" t="s">
        <v>114</v>
      </c>
      <c r="E34" s="17" t="s">
        <v>99</v>
      </c>
      <c r="F34" s="17" t="s">
        <v>147</v>
      </c>
      <c r="G34" s="17">
        <v>1.799386780125E-3</v>
      </c>
      <c r="H34" s="17">
        <v>1.7264444999999999E-3</v>
      </c>
      <c r="I34" s="17" t="s">
        <v>115</v>
      </c>
    </row>
    <row r="35" spans="1:9" x14ac:dyDescent="0.3">
      <c r="A35" s="17" t="s">
        <v>195</v>
      </c>
      <c r="B35" s="17" t="s">
        <v>61</v>
      </c>
      <c r="C35" s="17" t="s">
        <v>113</v>
      </c>
      <c r="D35" s="17" t="s">
        <v>114</v>
      </c>
      <c r="E35" s="17" t="s">
        <v>99</v>
      </c>
      <c r="F35" s="17" t="s">
        <v>148</v>
      </c>
      <c r="G35" s="17">
        <v>36.540053268949997</v>
      </c>
      <c r="H35" s="17">
        <v>35.058818199999997</v>
      </c>
      <c r="I35" s="17" t="s">
        <v>115</v>
      </c>
    </row>
    <row r="36" spans="1:9" x14ac:dyDescent="0.3">
      <c r="A36" s="17" t="s">
        <v>195</v>
      </c>
      <c r="B36" s="17" t="s">
        <v>61</v>
      </c>
      <c r="C36" s="17" t="s">
        <v>113</v>
      </c>
      <c r="D36" s="17" t="s">
        <v>114</v>
      </c>
      <c r="E36" s="17" t="s">
        <v>99</v>
      </c>
      <c r="F36" s="17" t="s">
        <v>150</v>
      </c>
      <c r="G36" s="17">
        <v>3.158930511E-3</v>
      </c>
      <c r="H36" s="17">
        <v>3.0308760000000001E-3</v>
      </c>
      <c r="I36" s="17" t="s">
        <v>115</v>
      </c>
    </row>
    <row r="37" spans="1:9" x14ac:dyDescent="0.3">
      <c r="A37" s="17" t="s">
        <v>195</v>
      </c>
      <c r="B37" s="17" t="s">
        <v>61</v>
      </c>
      <c r="C37" s="17" t="s">
        <v>113</v>
      </c>
      <c r="D37" s="17" t="s">
        <v>114</v>
      </c>
      <c r="E37" s="17" t="s">
        <v>99</v>
      </c>
      <c r="F37" s="17" t="s">
        <v>152</v>
      </c>
      <c r="G37" s="17">
        <v>2.4284876909177502</v>
      </c>
      <c r="H37" s="17">
        <v>2.3300433589999998</v>
      </c>
      <c r="I37" s="17" t="s">
        <v>115</v>
      </c>
    </row>
    <row r="38" spans="1:9" x14ac:dyDescent="0.3">
      <c r="A38" s="17" t="s">
        <v>195</v>
      </c>
      <c r="B38" s="17" t="s">
        <v>61</v>
      </c>
      <c r="C38" s="17" t="s">
        <v>113</v>
      </c>
      <c r="D38" s="17" t="s">
        <v>114</v>
      </c>
      <c r="E38" s="17" t="s">
        <v>99</v>
      </c>
      <c r="F38" s="17" t="s">
        <v>153</v>
      </c>
      <c r="G38" s="17">
        <v>8.8382799999999994E-8</v>
      </c>
      <c r="H38" s="17">
        <v>8.4800000000000005E-8</v>
      </c>
      <c r="I38" s="17" t="s">
        <v>115</v>
      </c>
    </row>
    <row r="39" spans="1:9" x14ac:dyDescent="0.3">
      <c r="A39" s="17" t="s">
        <v>195</v>
      </c>
      <c r="B39" s="17" t="s">
        <v>61</v>
      </c>
      <c r="C39" s="17" t="s">
        <v>113</v>
      </c>
      <c r="D39" s="17" t="s">
        <v>114</v>
      </c>
      <c r="E39" s="17" t="s">
        <v>99</v>
      </c>
      <c r="F39" s="17" t="s">
        <v>154</v>
      </c>
      <c r="G39" s="17">
        <v>1.744984978E-3</v>
      </c>
      <c r="H39" s="17">
        <v>1.6742479999999999E-3</v>
      </c>
      <c r="I39" s="17" t="s">
        <v>115</v>
      </c>
    </row>
    <row r="40" spans="1:9" x14ac:dyDescent="0.3">
      <c r="A40" s="17" t="s">
        <v>195</v>
      </c>
      <c r="B40" s="17" t="s">
        <v>61</v>
      </c>
      <c r="C40" s="17" t="s">
        <v>113</v>
      </c>
      <c r="D40" s="17" t="s">
        <v>114</v>
      </c>
      <c r="E40" s="17" t="s">
        <v>101</v>
      </c>
      <c r="F40" s="17" t="s">
        <v>157</v>
      </c>
      <c r="G40" s="17">
        <v>250.42446774121299</v>
      </c>
      <c r="H40" s="17">
        <v>240.27293618729999</v>
      </c>
      <c r="I40" s="17" t="s">
        <v>115</v>
      </c>
    </row>
    <row r="41" spans="1:9" x14ac:dyDescent="0.3">
      <c r="A41" s="17" t="s">
        <v>195</v>
      </c>
      <c r="B41" s="17" t="s">
        <v>61</v>
      </c>
      <c r="C41" s="17" t="s">
        <v>113</v>
      </c>
      <c r="D41" s="17" t="s">
        <v>114</v>
      </c>
      <c r="E41" s="17" t="s">
        <v>101</v>
      </c>
      <c r="F41" s="17" t="s">
        <v>158</v>
      </c>
      <c r="G41" s="17">
        <v>52.522606320168599</v>
      </c>
      <c r="H41" s="17">
        <v>50.393481717599997</v>
      </c>
      <c r="I41" s="17" t="s">
        <v>115</v>
      </c>
    </row>
    <row r="42" spans="1:9" x14ac:dyDescent="0.3">
      <c r="A42" s="17" t="s">
        <v>195</v>
      </c>
      <c r="B42" s="17" t="s">
        <v>61</v>
      </c>
      <c r="C42" s="17" t="s">
        <v>113</v>
      </c>
      <c r="D42" s="17" t="s">
        <v>114</v>
      </c>
      <c r="E42" s="17" t="s">
        <v>101</v>
      </c>
      <c r="F42" s="17" t="s">
        <v>160</v>
      </c>
      <c r="G42" s="17">
        <v>77.385559392063996</v>
      </c>
      <c r="H42" s="17">
        <v>74.248557824000002</v>
      </c>
      <c r="I42" s="17" t="s">
        <v>115</v>
      </c>
    </row>
    <row r="43" spans="1:9" x14ac:dyDescent="0.3">
      <c r="A43" s="17" t="s">
        <v>195</v>
      </c>
      <c r="B43" s="17" t="s">
        <v>61</v>
      </c>
      <c r="C43" s="17" t="s">
        <v>113</v>
      </c>
      <c r="D43" s="17" t="s">
        <v>114</v>
      </c>
      <c r="E43" s="17" t="s">
        <v>102</v>
      </c>
      <c r="F43" s="17" t="s">
        <v>165</v>
      </c>
      <c r="G43" s="17">
        <v>6.91980089999306</v>
      </c>
      <c r="H43" s="17">
        <v>6.6392908611111103</v>
      </c>
      <c r="I43" s="17" t="s">
        <v>115</v>
      </c>
    </row>
    <row r="44" spans="1:9" x14ac:dyDescent="0.3">
      <c r="A44" s="17" t="s">
        <v>195</v>
      </c>
      <c r="B44" s="17" t="s">
        <v>61</v>
      </c>
      <c r="C44" s="17" t="s">
        <v>113</v>
      </c>
      <c r="D44" s="17" t="s">
        <v>114</v>
      </c>
      <c r="E44" s="17" t="s">
        <v>102</v>
      </c>
      <c r="F44" s="17" t="s">
        <v>166</v>
      </c>
      <c r="G44" s="17">
        <v>62.271460693966802</v>
      </c>
      <c r="H44" s="17">
        <v>59.747143865643402</v>
      </c>
      <c r="I44" s="17" t="s">
        <v>115</v>
      </c>
    </row>
    <row r="45" spans="1:9" x14ac:dyDescent="0.3">
      <c r="A45" s="17" t="s">
        <v>195</v>
      </c>
      <c r="B45" s="17" t="s">
        <v>61</v>
      </c>
      <c r="C45" s="17" t="s">
        <v>113</v>
      </c>
      <c r="D45" s="17" t="s">
        <v>114</v>
      </c>
      <c r="E45" s="17" t="s">
        <v>103</v>
      </c>
      <c r="F45" s="17" t="s">
        <v>103</v>
      </c>
      <c r="G45" s="17">
        <v>15.3015944809364</v>
      </c>
      <c r="H45" s="17">
        <v>14.681309168564599</v>
      </c>
      <c r="I45" s="17" t="s">
        <v>115</v>
      </c>
    </row>
    <row r="46" spans="1:9" x14ac:dyDescent="0.3">
      <c r="A46" s="17" t="s">
        <v>195</v>
      </c>
      <c r="B46" s="17" t="s">
        <v>62</v>
      </c>
      <c r="C46" s="17" t="s">
        <v>113</v>
      </c>
      <c r="D46" s="17" t="s">
        <v>114</v>
      </c>
      <c r="E46" s="17" t="s">
        <v>71</v>
      </c>
      <c r="F46" s="17" t="s">
        <v>71</v>
      </c>
      <c r="G46" s="17">
        <v>20.656607999999999</v>
      </c>
      <c r="H46" s="17">
        <v>19.824000000000002</v>
      </c>
      <c r="I46" s="17" t="s">
        <v>115</v>
      </c>
    </row>
    <row r="47" spans="1:9" x14ac:dyDescent="0.3">
      <c r="A47" s="17" t="s">
        <v>195</v>
      </c>
      <c r="B47" s="17" t="s">
        <v>62</v>
      </c>
      <c r="C47" s="17" t="s">
        <v>113</v>
      </c>
      <c r="D47" s="17" t="s">
        <v>114</v>
      </c>
      <c r="E47" s="17" t="s">
        <v>72</v>
      </c>
      <c r="F47" s="17" t="s">
        <v>116</v>
      </c>
      <c r="G47" s="17">
        <v>156.24098111999999</v>
      </c>
      <c r="H47" s="17">
        <v>149.94336000000001</v>
      </c>
      <c r="I47" s="17" t="s">
        <v>115</v>
      </c>
    </row>
    <row r="48" spans="1:9" x14ac:dyDescent="0.3">
      <c r="A48" s="17" t="s">
        <v>195</v>
      </c>
      <c r="B48" s="17" t="s">
        <v>62</v>
      </c>
      <c r="C48" s="17" t="s">
        <v>113</v>
      </c>
      <c r="D48" s="17" t="s">
        <v>114</v>
      </c>
      <c r="E48" s="17" t="s">
        <v>73</v>
      </c>
      <c r="F48" s="17" t="s">
        <v>169</v>
      </c>
      <c r="G48" s="17">
        <v>0</v>
      </c>
      <c r="H48" s="17">
        <v>0</v>
      </c>
      <c r="I48" s="17" t="s">
        <v>115</v>
      </c>
    </row>
    <row r="49" spans="1:9" x14ac:dyDescent="0.3">
      <c r="A49" s="17" t="s">
        <v>195</v>
      </c>
      <c r="B49" s="17" t="s">
        <v>62</v>
      </c>
      <c r="C49" s="17" t="s">
        <v>113</v>
      </c>
      <c r="D49" s="17" t="s">
        <v>114</v>
      </c>
      <c r="E49" s="17" t="s">
        <v>73</v>
      </c>
      <c r="F49" s="17" t="s">
        <v>117</v>
      </c>
      <c r="G49" s="17">
        <v>0</v>
      </c>
      <c r="H49" s="17">
        <v>0</v>
      </c>
      <c r="I49" s="17" t="s">
        <v>115</v>
      </c>
    </row>
    <row r="50" spans="1:9" x14ac:dyDescent="0.3">
      <c r="A50" s="17" t="s">
        <v>195</v>
      </c>
      <c r="B50" s="17" t="s">
        <v>62</v>
      </c>
      <c r="C50" s="17" t="s">
        <v>113</v>
      </c>
      <c r="D50" s="17" t="s">
        <v>114</v>
      </c>
      <c r="E50" s="17" t="s">
        <v>73</v>
      </c>
      <c r="F50" s="17" t="s">
        <v>118</v>
      </c>
      <c r="G50" s="17">
        <v>112.425407964578</v>
      </c>
      <c r="H50" s="17">
        <v>107.893865609</v>
      </c>
      <c r="I50" s="17" t="s">
        <v>115</v>
      </c>
    </row>
    <row r="51" spans="1:9" x14ac:dyDescent="0.3">
      <c r="A51" s="17" t="s">
        <v>195</v>
      </c>
      <c r="B51" s="17" t="s">
        <v>62</v>
      </c>
      <c r="C51" s="17" t="s">
        <v>113</v>
      </c>
      <c r="D51" s="17" t="s">
        <v>114</v>
      </c>
      <c r="E51" s="17" t="s">
        <v>73</v>
      </c>
      <c r="F51" s="17" t="s">
        <v>119</v>
      </c>
      <c r="G51" s="17">
        <v>113.28255848896001</v>
      </c>
      <c r="H51" s="17">
        <v>108.71646688</v>
      </c>
      <c r="I51" s="17" t="s">
        <v>115</v>
      </c>
    </row>
    <row r="52" spans="1:9" x14ac:dyDescent="0.3">
      <c r="A52" s="17" t="s">
        <v>195</v>
      </c>
      <c r="B52" s="17" t="s">
        <v>62</v>
      </c>
      <c r="C52" s="17" t="s">
        <v>113</v>
      </c>
      <c r="D52" s="17" t="s">
        <v>114</v>
      </c>
      <c r="E52" s="17" t="s">
        <v>73</v>
      </c>
      <c r="F52" s="17" t="s">
        <v>120</v>
      </c>
      <c r="G52" s="17">
        <v>5.0905325589041102</v>
      </c>
      <c r="H52" s="17">
        <v>4.8853479452054804</v>
      </c>
      <c r="I52" s="17" t="s">
        <v>115</v>
      </c>
    </row>
    <row r="53" spans="1:9" x14ac:dyDescent="0.3">
      <c r="A53" s="17" t="s">
        <v>195</v>
      </c>
      <c r="B53" s="17" t="s">
        <v>62</v>
      </c>
      <c r="C53" s="17" t="s">
        <v>113</v>
      </c>
      <c r="D53" s="17" t="s">
        <v>114</v>
      </c>
      <c r="E53" s="17" t="s">
        <v>75</v>
      </c>
      <c r="F53" s="17" t="s">
        <v>75</v>
      </c>
      <c r="G53" s="17">
        <v>54.032174361916297</v>
      </c>
      <c r="H53" s="17">
        <v>51.8542940133553</v>
      </c>
      <c r="I53" s="17" t="s">
        <v>115</v>
      </c>
    </row>
    <row r="54" spans="1:9" x14ac:dyDescent="0.3">
      <c r="A54" s="17" t="s">
        <v>195</v>
      </c>
      <c r="B54" s="17" t="s">
        <v>62</v>
      </c>
      <c r="C54" s="17" t="s">
        <v>113</v>
      </c>
      <c r="D54" s="17" t="s">
        <v>114</v>
      </c>
      <c r="E54" s="17" t="s">
        <v>80</v>
      </c>
      <c r="F54" s="17" t="s">
        <v>80</v>
      </c>
      <c r="G54" s="17">
        <v>0.28395489577316102</v>
      </c>
      <c r="H54" s="17">
        <v>0.27250949690322601</v>
      </c>
      <c r="I54" s="17" t="s">
        <v>115</v>
      </c>
    </row>
    <row r="55" spans="1:9" x14ac:dyDescent="0.3">
      <c r="A55" s="17" t="s">
        <v>195</v>
      </c>
      <c r="B55" s="17" t="s">
        <v>62</v>
      </c>
      <c r="C55" s="17" t="s">
        <v>113</v>
      </c>
      <c r="D55" s="17" t="s">
        <v>114</v>
      </c>
      <c r="E55" s="17" t="s">
        <v>77</v>
      </c>
      <c r="F55" s="17" t="s">
        <v>77</v>
      </c>
      <c r="G55" s="17">
        <v>1.475472E-4</v>
      </c>
      <c r="H55" s="17">
        <v>1.416E-4</v>
      </c>
      <c r="I55" s="17" t="s">
        <v>115</v>
      </c>
    </row>
    <row r="56" spans="1:9" x14ac:dyDescent="0.3">
      <c r="A56" s="17" t="s">
        <v>195</v>
      </c>
      <c r="B56" s="17" t="s">
        <v>62</v>
      </c>
      <c r="C56" s="17" t="s">
        <v>113</v>
      </c>
      <c r="D56" s="17" t="s">
        <v>114</v>
      </c>
      <c r="E56" s="17" t="s">
        <v>78</v>
      </c>
      <c r="F56" s="17" t="s">
        <v>123</v>
      </c>
      <c r="G56" s="17">
        <v>2.4334666322580598</v>
      </c>
      <c r="H56" s="17">
        <v>2.33538064516129</v>
      </c>
      <c r="I56" s="17" t="s">
        <v>115</v>
      </c>
    </row>
    <row r="57" spans="1:9" x14ac:dyDescent="0.3">
      <c r="A57" s="17" t="s">
        <v>195</v>
      </c>
      <c r="B57" s="17" t="s">
        <v>62</v>
      </c>
      <c r="C57" s="17" t="s">
        <v>113</v>
      </c>
      <c r="D57" s="17" t="s">
        <v>114</v>
      </c>
      <c r="E57" s="17" t="s">
        <v>78</v>
      </c>
      <c r="F57" s="17" t="s">
        <v>125</v>
      </c>
      <c r="G57" s="17">
        <v>167.77367039999999</v>
      </c>
      <c r="H57" s="17">
        <v>161.0112</v>
      </c>
      <c r="I57" s="17" t="s">
        <v>115</v>
      </c>
    </row>
    <row r="58" spans="1:9" x14ac:dyDescent="0.3">
      <c r="A58" s="17" t="s">
        <v>195</v>
      </c>
      <c r="B58" s="17" t="s">
        <v>62</v>
      </c>
      <c r="C58" s="17" t="s">
        <v>113</v>
      </c>
      <c r="D58" s="17" t="s">
        <v>114</v>
      </c>
      <c r="E58" s="17" t="s">
        <v>81</v>
      </c>
      <c r="F58" s="17" t="s">
        <v>81</v>
      </c>
      <c r="G58" s="17">
        <v>65.244480870897405</v>
      </c>
      <c r="H58" s="17">
        <v>62.6146649432796</v>
      </c>
      <c r="I58" s="17" t="s">
        <v>115</v>
      </c>
    </row>
    <row r="59" spans="1:9" x14ac:dyDescent="0.3">
      <c r="A59" s="17" t="s">
        <v>195</v>
      </c>
      <c r="B59" s="17" t="s">
        <v>62</v>
      </c>
      <c r="C59" s="17" t="s">
        <v>113</v>
      </c>
      <c r="D59" s="17" t="s">
        <v>114</v>
      </c>
      <c r="E59" s="17" t="s">
        <v>83</v>
      </c>
      <c r="F59" s="17" t="s">
        <v>127</v>
      </c>
      <c r="G59" s="17">
        <v>8.0237481067575903E-2</v>
      </c>
      <c r="H59" s="17">
        <v>7.7003340755830998E-2</v>
      </c>
      <c r="I59" s="17" t="s">
        <v>115</v>
      </c>
    </row>
    <row r="60" spans="1:9" x14ac:dyDescent="0.3">
      <c r="A60" s="17" t="s">
        <v>195</v>
      </c>
      <c r="B60" s="17" t="s">
        <v>62</v>
      </c>
      <c r="C60" s="17" t="s">
        <v>113</v>
      </c>
      <c r="D60" s="17" t="s">
        <v>114</v>
      </c>
      <c r="E60" s="17" t="s">
        <v>83</v>
      </c>
      <c r="F60" s="17" t="s">
        <v>128</v>
      </c>
      <c r="G60" s="17">
        <v>0.17044526871985</v>
      </c>
      <c r="H60" s="17">
        <v>0.16357511393459701</v>
      </c>
      <c r="I60" s="17" t="s">
        <v>115</v>
      </c>
    </row>
    <row r="61" spans="1:9" x14ac:dyDescent="0.3">
      <c r="A61" s="17" t="s">
        <v>195</v>
      </c>
      <c r="B61" s="17" t="s">
        <v>62</v>
      </c>
      <c r="C61" s="17" t="s">
        <v>113</v>
      </c>
      <c r="D61" s="17" t="s">
        <v>114</v>
      </c>
      <c r="E61" s="17" t="s">
        <v>85</v>
      </c>
      <c r="F61" s="17" t="s">
        <v>85</v>
      </c>
      <c r="G61" s="17">
        <v>25.830691879961901</v>
      </c>
      <c r="H61" s="17">
        <v>24.789531554665899</v>
      </c>
      <c r="I61" s="17" t="s">
        <v>115</v>
      </c>
    </row>
    <row r="62" spans="1:9" x14ac:dyDescent="0.3">
      <c r="A62" s="17" t="s">
        <v>195</v>
      </c>
      <c r="B62" s="17" t="s">
        <v>62</v>
      </c>
      <c r="C62" s="17" t="s">
        <v>113</v>
      </c>
      <c r="D62" s="17" t="s">
        <v>114</v>
      </c>
      <c r="E62" s="17" t="s">
        <v>87</v>
      </c>
      <c r="F62" s="17" t="s">
        <v>87</v>
      </c>
      <c r="G62" s="17">
        <v>9.90923244E-4</v>
      </c>
      <c r="H62" s="17">
        <v>9.5098199999999996E-4</v>
      </c>
      <c r="I62" s="17" t="s">
        <v>115</v>
      </c>
    </row>
    <row r="63" spans="1:9" x14ac:dyDescent="0.3">
      <c r="A63" s="17" t="s">
        <v>195</v>
      </c>
      <c r="B63" s="17" t="s">
        <v>62</v>
      </c>
      <c r="C63" s="17" t="s">
        <v>113</v>
      </c>
      <c r="D63" s="17" t="s">
        <v>114</v>
      </c>
      <c r="E63" s="17" t="s">
        <v>88</v>
      </c>
      <c r="F63" s="17" t="s">
        <v>88</v>
      </c>
      <c r="G63" s="17">
        <v>11.1335616</v>
      </c>
      <c r="H63" s="17">
        <v>10.684799999999999</v>
      </c>
      <c r="I63" s="17" t="s">
        <v>115</v>
      </c>
    </row>
    <row r="64" spans="1:9" x14ac:dyDescent="0.3">
      <c r="A64" s="17" t="s">
        <v>195</v>
      </c>
      <c r="B64" s="17" t="s">
        <v>62</v>
      </c>
      <c r="C64" s="17" t="s">
        <v>113</v>
      </c>
      <c r="D64" s="17" t="s">
        <v>114</v>
      </c>
      <c r="E64" s="17" t="s">
        <v>89</v>
      </c>
      <c r="F64" s="17" t="s">
        <v>89</v>
      </c>
      <c r="G64" s="17">
        <v>2.6757684720000001E-2</v>
      </c>
      <c r="H64" s="17">
        <v>2.5679159999999999E-2</v>
      </c>
      <c r="I64" s="17" t="s">
        <v>115</v>
      </c>
    </row>
    <row r="65" spans="1:9" x14ac:dyDescent="0.3">
      <c r="A65" s="17" t="s">
        <v>195</v>
      </c>
      <c r="B65" s="17" t="s">
        <v>62</v>
      </c>
      <c r="C65" s="17" t="s">
        <v>113</v>
      </c>
      <c r="D65" s="17" t="s">
        <v>114</v>
      </c>
      <c r="E65" s="17" t="s">
        <v>90</v>
      </c>
      <c r="F65" s="17" t="s">
        <v>90</v>
      </c>
      <c r="G65" s="17">
        <v>9.4036087535558792</v>
      </c>
      <c r="H65" s="17">
        <v>9.02457653892119</v>
      </c>
      <c r="I65" s="17" t="s">
        <v>115</v>
      </c>
    </row>
    <row r="66" spans="1:9" x14ac:dyDescent="0.3">
      <c r="A66" s="17" t="s">
        <v>195</v>
      </c>
      <c r="B66" s="17" t="s">
        <v>62</v>
      </c>
      <c r="C66" s="17" t="s">
        <v>113</v>
      </c>
      <c r="D66" s="17" t="s">
        <v>114</v>
      </c>
      <c r="E66" s="17" t="s">
        <v>91</v>
      </c>
      <c r="F66" s="17" t="s">
        <v>91</v>
      </c>
      <c r="G66" s="17">
        <v>2.1864740616243199</v>
      </c>
      <c r="H66" s="17">
        <v>2.09834362919801</v>
      </c>
      <c r="I66" s="17" t="s">
        <v>115</v>
      </c>
    </row>
    <row r="67" spans="1:9" x14ac:dyDescent="0.3">
      <c r="A67" s="17" t="s">
        <v>195</v>
      </c>
      <c r="B67" s="17" t="s">
        <v>62</v>
      </c>
      <c r="C67" s="17" t="s">
        <v>113</v>
      </c>
      <c r="D67" s="17" t="s">
        <v>114</v>
      </c>
      <c r="E67" s="17" t="s">
        <v>93</v>
      </c>
      <c r="F67" s="17" t="s">
        <v>130</v>
      </c>
      <c r="G67" s="17">
        <v>62.997138051999997</v>
      </c>
      <c r="H67" s="17">
        <v>60.457906000000001</v>
      </c>
      <c r="I67" s="17" t="s">
        <v>115</v>
      </c>
    </row>
    <row r="68" spans="1:9" x14ac:dyDescent="0.3">
      <c r="A68" s="17" t="s">
        <v>195</v>
      </c>
      <c r="B68" s="17" t="s">
        <v>62</v>
      </c>
      <c r="C68" s="17" t="s">
        <v>113</v>
      </c>
      <c r="D68" s="17" t="s">
        <v>114</v>
      </c>
      <c r="E68" s="17" t="s">
        <v>93</v>
      </c>
      <c r="F68" s="17" t="s">
        <v>131</v>
      </c>
      <c r="G68" s="17">
        <v>25.569638000000001</v>
      </c>
      <c r="H68" s="17">
        <v>24.539000000000001</v>
      </c>
      <c r="I68" s="17" t="s">
        <v>115</v>
      </c>
    </row>
    <row r="69" spans="1:9" x14ac:dyDescent="0.3">
      <c r="A69" s="17" t="s">
        <v>195</v>
      </c>
      <c r="B69" s="17" t="s">
        <v>62</v>
      </c>
      <c r="C69" s="17" t="s">
        <v>113</v>
      </c>
      <c r="D69" s="17" t="s">
        <v>114</v>
      </c>
      <c r="E69" s="17" t="s">
        <v>93</v>
      </c>
      <c r="F69" s="17" t="s">
        <v>132</v>
      </c>
      <c r="G69" s="17">
        <v>0.28078982400000002</v>
      </c>
      <c r="H69" s="17">
        <v>0.26947199999999999</v>
      </c>
      <c r="I69" s="17" t="s">
        <v>115</v>
      </c>
    </row>
    <row r="70" spans="1:9" x14ac:dyDescent="0.3">
      <c r="A70" s="17" t="s">
        <v>195</v>
      </c>
      <c r="B70" s="17" t="s">
        <v>62</v>
      </c>
      <c r="C70" s="17" t="s">
        <v>113</v>
      </c>
      <c r="D70" s="17" t="s">
        <v>114</v>
      </c>
      <c r="E70" s="17" t="s">
        <v>93</v>
      </c>
      <c r="F70" s="17" t="s">
        <v>133</v>
      </c>
      <c r="G70" s="17">
        <v>5.77595725806452</v>
      </c>
      <c r="H70" s="17">
        <v>5.5431451612903198</v>
      </c>
      <c r="I70" s="17" t="s">
        <v>115</v>
      </c>
    </row>
    <row r="71" spans="1:9" x14ac:dyDescent="0.3">
      <c r="A71" s="17" t="s">
        <v>195</v>
      </c>
      <c r="B71" s="17" t="s">
        <v>62</v>
      </c>
      <c r="C71" s="17" t="s">
        <v>113</v>
      </c>
      <c r="D71" s="17" t="s">
        <v>114</v>
      </c>
      <c r="E71" s="17" t="s">
        <v>93</v>
      </c>
      <c r="F71" s="17" t="s">
        <v>134</v>
      </c>
      <c r="G71" s="17">
        <v>2.8492114559999999</v>
      </c>
      <c r="H71" s="17">
        <v>2.7343679999999999</v>
      </c>
      <c r="I71" s="17" t="s">
        <v>115</v>
      </c>
    </row>
    <row r="72" spans="1:9" x14ac:dyDescent="0.3">
      <c r="A72" s="17" t="s">
        <v>195</v>
      </c>
      <c r="B72" s="17" t="s">
        <v>62</v>
      </c>
      <c r="C72" s="17" t="s">
        <v>113</v>
      </c>
      <c r="D72" s="17" t="s">
        <v>114</v>
      </c>
      <c r="E72" s="17" t="s">
        <v>93</v>
      </c>
      <c r="F72" s="17" t="s">
        <v>136</v>
      </c>
      <c r="G72" s="17">
        <v>17.553448834870299</v>
      </c>
      <c r="H72" s="17">
        <v>16.845920187015601</v>
      </c>
      <c r="I72" s="17" t="s">
        <v>115</v>
      </c>
    </row>
    <row r="73" spans="1:9" x14ac:dyDescent="0.3">
      <c r="A73" s="17" t="s">
        <v>195</v>
      </c>
      <c r="B73" s="17" t="s">
        <v>62</v>
      </c>
      <c r="C73" s="17" t="s">
        <v>113</v>
      </c>
      <c r="D73" s="17" t="s">
        <v>114</v>
      </c>
      <c r="E73" s="17" t="s">
        <v>93</v>
      </c>
      <c r="F73" s="17" t="s">
        <v>137</v>
      </c>
      <c r="G73" s="17">
        <v>27.559357840000001</v>
      </c>
      <c r="H73" s="17">
        <v>26.448519999999998</v>
      </c>
      <c r="I73" s="17" t="s">
        <v>115</v>
      </c>
    </row>
    <row r="74" spans="1:9" x14ac:dyDescent="0.3">
      <c r="A74" s="17" t="s">
        <v>195</v>
      </c>
      <c r="B74" s="17" t="s">
        <v>62</v>
      </c>
      <c r="C74" s="17" t="s">
        <v>113</v>
      </c>
      <c r="D74" s="17" t="s">
        <v>114</v>
      </c>
      <c r="E74" s="17" t="s">
        <v>96</v>
      </c>
      <c r="F74" s="17" t="s">
        <v>96</v>
      </c>
      <c r="G74" s="17">
        <v>2.5422507599999998E-4</v>
      </c>
      <c r="H74" s="17">
        <v>2.43978E-4</v>
      </c>
      <c r="I74" s="17" t="s">
        <v>115</v>
      </c>
    </row>
    <row r="75" spans="1:9" x14ac:dyDescent="0.3">
      <c r="A75" s="17" t="s">
        <v>195</v>
      </c>
      <c r="B75" s="17" t="s">
        <v>62</v>
      </c>
      <c r="C75" s="17" t="s">
        <v>113</v>
      </c>
      <c r="D75" s="17" t="s">
        <v>114</v>
      </c>
      <c r="E75" s="17" t="s">
        <v>99</v>
      </c>
      <c r="F75" s="17" t="s">
        <v>142</v>
      </c>
      <c r="G75" s="17">
        <v>3.5212190338E-2</v>
      </c>
      <c r="H75" s="17">
        <v>3.3792889E-2</v>
      </c>
      <c r="I75" s="17" t="s">
        <v>115</v>
      </c>
    </row>
    <row r="76" spans="1:9" x14ac:dyDescent="0.3">
      <c r="A76" s="17" t="s">
        <v>195</v>
      </c>
      <c r="B76" s="17" t="s">
        <v>62</v>
      </c>
      <c r="C76" s="17" t="s">
        <v>113</v>
      </c>
      <c r="D76" s="17" t="s">
        <v>114</v>
      </c>
      <c r="E76" s="17" t="s">
        <v>99</v>
      </c>
      <c r="F76" s="17" t="s">
        <v>143</v>
      </c>
      <c r="G76" s="17">
        <v>0.57784985550919998</v>
      </c>
      <c r="H76" s="17">
        <v>0.5545584026</v>
      </c>
      <c r="I76" s="17" t="s">
        <v>115</v>
      </c>
    </row>
    <row r="77" spans="1:9" x14ac:dyDescent="0.3">
      <c r="A77" s="17" t="s">
        <v>195</v>
      </c>
      <c r="B77" s="17" t="s">
        <v>62</v>
      </c>
      <c r="C77" s="17" t="s">
        <v>113</v>
      </c>
      <c r="D77" s="17" t="s">
        <v>114</v>
      </c>
      <c r="E77" s="17" t="s">
        <v>99</v>
      </c>
      <c r="F77" s="17" t="s">
        <v>144</v>
      </c>
      <c r="G77" s="17">
        <v>8.8124128200000001E-4</v>
      </c>
      <c r="H77" s="17">
        <v>8.4572100000000002E-4</v>
      </c>
      <c r="I77" s="17" t="s">
        <v>115</v>
      </c>
    </row>
    <row r="78" spans="1:9" x14ac:dyDescent="0.3">
      <c r="A78" s="17" t="s">
        <v>195</v>
      </c>
      <c r="B78" s="17" t="s">
        <v>62</v>
      </c>
      <c r="C78" s="17" t="s">
        <v>113</v>
      </c>
      <c r="D78" s="17" t="s">
        <v>114</v>
      </c>
      <c r="E78" s="17" t="s">
        <v>99</v>
      </c>
      <c r="F78" s="17" t="s">
        <v>147</v>
      </c>
      <c r="G78" s="17">
        <v>2.2896544342000001E-3</v>
      </c>
      <c r="H78" s="17">
        <v>2.1973651000000002E-3</v>
      </c>
      <c r="I78" s="17" t="s">
        <v>115</v>
      </c>
    </row>
    <row r="79" spans="1:9" x14ac:dyDescent="0.3">
      <c r="A79" s="17" t="s">
        <v>195</v>
      </c>
      <c r="B79" s="17" t="s">
        <v>62</v>
      </c>
      <c r="C79" s="17" t="s">
        <v>113</v>
      </c>
      <c r="D79" s="17" t="s">
        <v>114</v>
      </c>
      <c r="E79" s="17" t="s">
        <v>99</v>
      </c>
      <c r="F79" s="17" t="s">
        <v>148</v>
      </c>
      <c r="G79" s="17">
        <v>69.013735882820001</v>
      </c>
      <c r="H79" s="17">
        <v>66.231992210000001</v>
      </c>
      <c r="I79" s="17" t="s">
        <v>115</v>
      </c>
    </row>
    <row r="80" spans="1:9" x14ac:dyDescent="0.3">
      <c r="A80" s="17" t="s">
        <v>195</v>
      </c>
      <c r="B80" s="17" t="s">
        <v>62</v>
      </c>
      <c r="C80" s="17" t="s">
        <v>113</v>
      </c>
      <c r="D80" s="17" t="s">
        <v>114</v>
      </c>
      <c r="E80" s="17" t="s">
        <v>99</v>
      </c>
      <c r="F80" s="17" t="s">
        <v>150</v>
      </c>
      <c r="G80" s="17">
        <v>5.024618822E-3</v>
      </c>
      <c r="H80" s="17">
        <v>4.8220909999999997E-3</v>
      </c>
      <c r="I80" s="17" t="s">
        <v>115</v>
      </c>
    </row>
    <row r="81" spans="1:9" x14ac:dyDescent="0.3">
      <c r="A81" s="17" t="s">
        <v>195</v>
      </c>
      <c r="B81" s="17" t="s">
        <v>62</v>
      </c>
      <c r="C81" s="17" t="s">
        <v>113</v>
      </c>
      <c r="D81" s="17" t="s">
        <v>114</v>
      </c>
      <c r="E81" s="17" t="s">
        <v>99</v>
      </c>
      <c r="F81" s="17" t="s">
        <v>152</v>
      </c>
      <c r="G81" s="17">
        <v>4.6064778529229997</v>
      </c>
      <c r="H81" s="17">
        <v>4.4208040815</v>
      </c>
      <c r="I81" s="17" t="s">
        <v>115</v>
      </c>
    </row>
    <row r="82" spans="1:9" x14ac:dyDescent="0.3">
      <c r="A82" s="17" t="s">
        <v>195</v>
      </c>
      <c r="B82" s="17" t="s">
        <v>62</v>
      </c>
      <c r="C82" s="17" t="s">
        <v>113</v>
      </c>
      <c r="D82" s="17" t="s">
        <v>114</v>
      </c>
      <c r="E82" s="17" t="s">
        <v>99</v>
      </c>
      <c r="F82" s="17" t="s">
        <v>153</v>
      </c>
      <c r="G82" s="17">
        <v>0</v>
      </c>
      <c r="H82" s="17">
        <v>0</v>
      </c>
      <c r="I82" s="17" t="s">
        <v>115</v>
      </c>
    </row>
    <row r="83" spans="1:9" x14ac:dyDescent="0.3">
      <c r="A83" s="17" t="s">
        <v>195</v>
      </c>
      <c r="B83" s="17" t="s">
        <v>62</v>
      </c>
      <c r="C83" s="17" t="s">
        <v>113</v>
      </c>
      <c r="D83" s="17" t="s">
        <v>114</v>
      </c>
      <c r="E83" s="17" t="s">
        <v>99</v>
      </c>
      <c r="F83" s="17" t="s">
        <v>154</v>
      </c>
      <c r="G83" s="17">
        <v>3.8737953637999999E-3</v>
      </c>
      <c r="H83" s="17">
        <v>3.7176538999999999E-3</v>
      </c>
      <c r="I83" s="17" t="s">
        <v>115</v>
      </c>
    </row>
    <row r="84" spans="1:9" x14ac:dyDescent="0.3">
      <c r="A84" s="17" t="s">
        <v>195</v>
      </c>
      <c r="B84" s="17" t="s">
        <v>62</v>
      </c>
      <c r="C84" s="17" t="s">
        <v>113</v>
      </c>
      <c r="D84" s="17" t="s">
        <v>114</v>
      </c>
      <c r="E84" s="17" t="s">
        <v>101</v>
      </c>
      <c r="F84" s="17" t="s">
        <v>157</v>
      </c>
      <c r="G84" s="17">
        <v>474.85723998488601</v>
      </c>
      <c r="H84" s="17">
        <v>455.71712090680001</v>
      </c>
      <c r="I84" s="17" t="s">
        <v>115</v>
      </c>
    </row>
    <row r="85" spans="1:9" x14ac:dyDescent="0.3">
      <c r="A85" s="17" t="s">
        <v>195</v>
      </c>
      <c r="B85" s="17" t="s">
        <v>62</v>
      </c>
      <c r="C85" s="17" t="s">
        <v>113</v>
      </c>
      <c r="D85" s="17" t="s">
        <v>114</v>
      </c>
      <c r="E85" s="17" t="s">
        <v>101</v>
      </c>
      <c r="F85" s="17" t="s">
        <v>158</v>
      </c>
      <c r="G85" s="17">
        <v>94.9103878584</v>
      </c>
      <c r="H85" s="17">
        <v>91.084825199999997</v>
      </c>
      <c r="I85" s="17" t="s">
        <v>115</v>
      </c>
    </row>
    <row r="86" spans="1:9" x14ac:dyDescent="0.3">
      <c r="A86" s="17" t="s">
        <v>195</v>
      </c>
      <c r="B86" s="17" t="s">
        <v>62</v>
      </c>
      <c r="C86" s="17" t="s">
        <v>113</v>
      </c>
      <c r="D86" s="17" t="s">
        <v>114</v>
      </c>
      <c r="E86" s="17" t="s">
        <v>101</v>
      </c>
      <c r="F86" s="17" t="s">
        <v>160</v>
      </c>
      <c r="G86" s="17">
        <v>89.639796225279994</v>
      </c>
      <c r="H86" s="17">
        <v>86.026675839999996</v>
      </c>
      <c r="I86" s="17" t="s">
        <v>115</v>
      </c>
    </row>
    <row r="87" spans="1:9" x14ac:dyDescent="0.3">
      <c r="A87" s="17" t="s">
        <v>195</v>
      </c>
      <c r="B87" s="17" t="s">
        <v>62</v>
      </c>
      <c r="C87" s="17" t="s">
        <v>113</v>
      </c>
      <c r="D87" s="17" t="s">
        <v>114</v>
      </c>
      <c r="E87" s="17" t="s">
        <v>102</v>
      </c>
      <c r="F87" s="17" t="s">
        <v>165</v>
      </c>
      <c r="G87" s="17">
        <v>11.1335616</v>
      </c>
      <c r="H87" s="17">
        <v>10.684799999999999</v>
      </c>
      <c r="I87" s="17" t="s">
        <v>115</v>
      </c>
    </row>
    <row r="88" spans="1:9" x14ac:dyDescent="0.3">
      <c r="A88" s="17" t="s">
        <v>195</v>
      </c>
      <c r="B88" s="17" t="s">
        <v>62</v>
      </c>
      <c r="C88" s="17" t="s">
        <v>113</v>
      </c>
      <c r="D88" s="17" t="s">
        <v>114</v>
      </c>
      <c r="E88" s="17" t="s">
        <v>102</v>
      </c>
      <c r="F88" s="17" t="s">
        <v>166</v>
      </c>
      <c r="G88" s="17">
        <v>85.513480254468405</v>
      </c>
      <c r="H88" s="17">
        <v>82.066679706783503</v>
      </c>
      <c r="I88" s="17" t="s">
        <v>115</v>
      </c>
    </row>
    <row r="89" spans="1:9" x14ac:dyDescent="0.3">
      <c r="A89" s="17" t="s">
        <v>195</v>
      </c>
      <c r="B89" s="17" t="s">
        <v>62</v>
      </c>
      <c r="C89" s="17" t="s">
        <v>113</v>
      </c>
      <c r="D89" s="17" t="s">
        <v>114</v>
      </c>
      <c r="E89" s="17" t="s">
        <v>103</v>
      </c>
      <c r="F89" s="17" t="s">
        <v>103</v>
      </c>
      <c r="G89" s="17">
        <v>27.688023999999999</v>
      </c>
      <c r="H89" s="17">
        <v>26.571999999999999</v>
      </c>
      <c r="I89" s="17" t="s">
        <v>115</v>
      </c>
    </row>
    <row r="90" spans="1:9" x14ac:dyDescent="0.3">
      <c r="A90" s="17" t="s">
        <v>195</v>
      </c>
      <c r="B90" s="17" t="s">
        <v>63</v>
      </c>
      <c r="C90" s="17" t="s">
        <v>113</v>
      </c>
      <c r="D90" s="17" t="s">
        <v>114</v>
      </c>
      <c r="E90" s="17" t="s">
        <v>71</v>
      </c>
      <c r="F90" s="17" t="s">
        <v>71</v>
      </c>
      <c r="G90" s="17">
        <v>23.059666199999999</v>
      </c>
      <c r="H90" s="17">
        <v>21.948</v>
      </c>
      <c r="I90" s="17" t="s">
        <v>115</v>
      </c>
    </row>
    <row r="91" spans="1:9" x14ac:dyDescent="0.3">
      <c r="A91" s="17" t="s">
        <v>195</v>
      </c>
      <c r="B91" s="17" t="s">
        <v>63</v>
      </c>
      <c r="C91" s="17" t="s">
        <v>113</v>
      </c>
      <c r="D91" s="17" t="s">
        <v>114</v>
      </c>
      <c r="E91" s="17" t="s">
        <v>72</v>
      </c>
      <c r="F91" s="17" t="s">
        <v>116</v>
      </c>
      <c r="G91" s="17">
        <v>174.417061668</v>
      </c>
      <c r="H91" s="17">
        <v>166.00872000000001</v>
      </c>
      <c r="I91" s="17" t="s">
        <v>115</v>
      </c>
    </row>
    <row r="92" spans="1:9" x14ac:dyDescent="0.3">
      <c r="A92" s="17" t="s">
        <v>195</v>
      </c>
      <c r="B92" s="17" t="s">
        <v>63</v>
      </c>
      <c r="C92" s="17" t="s">
        <v>113</v>
      </c>
      <c r="D92" s="17" t="s">
        <v>114</v>
      </c>
      <c r="E92" s="17" t="s">
        <v>73</v>
      </c>
      <c r="F92" s="17" t="s">
        <v>117</v>
      </c>
      <c r="G92" s="17">
        <v>0</v>
      </c>
      <c r="H92" s="17">
        <v>0</v>
      </c>
      <c r="I92" s="17" t="s">
        <v>115</v>
      </c>
    </row>
    <row r="93" spans="1:9" x14ac:dyDescent="0.3">
      <c r="A93" s="17" t="s">
        <v>195</v>
      </c>
      <c r="B93" s="17" t="s">
        <v>63</v>
      </c>
      <c r="C93" s="17" t="s">
        <v>113</v>
      </c>
      <c r="D93" s="17" t="s">
        <v>114</v>
      </c>
      <c r="E93" s="17" t="s">
        <v>73</v>
      </c>
      <c r="F93" s="17" t="s">
        <v>118</v>
      </c>
      <c r="G93" s="17">
        <v>626.91024719999996</v>
      </c>
      <c r="H93" s="17">
        <v>596.68799999999999</v>
      </c>
      <c r="I93" s="17" t="s">
        <v>115</v>
      </c>
    </row>
    <row r="94" spans="1:9" x14ac:dyDescent="0.3">
      <c r="A94" s="17" t="s">
        <v>195</v>
      </c>
      <c r="B94" s="17" t="s">
        <v>63</v>
      </c>
      <c r="C94" s="17" t="s">
        <v>113</v>
      </c>
      <c r="D94" s="17" t="s">
        <v>114</v>
      </c>
      <c r="E94" s="17" t="s">
        <v>73</v>
      </c>
      <c r="F94" s="17" t="s">
        <v>119</v>
      </c>
      <c r="G94" s="17">
        <v>87.548563200000004</v>
      </c>
      <c r="H94" s="17">
        <v>83.328000000000003</v>
      </c>
      <c r="I94" s="17" t="s">
        <v>115</v>
      </c>
    </row>
    <row r="95" spans="1:9" x14ac:dyDescent="0.3">
      <c r="A95" s="17" t="s">
        <v>195</v>
      </c>
      <c r="B95" s="17" t="s">
        <v>63</v>
      </c>
      <c r="C95" s="17" t="s">
        <v>113</v>
      </c>
      <c r="D95" s="17" t="s">
        <v>114</v>
      </c>
      <c r="E95" s="17" t="s">
        <v>73</v>
      </c>
      <c r="F95" s="17" t="s">
        <v>120</v>
      </c>
      <c r="G95" s="17">
        <v>5.6827326920547998</v>
      </c>
      <c r="H95" s="17">
        <v>5.4087780821917804</v>
      </c>
      <c r="I95" s="17" t="s">
        <v>115</v>
      </c>
    </row>
    <row r="96" spans="1:9" x14ac:dyDescent="0.3">
      <c r="A96" s="17" t="s">
        <v>195</v>
      </c>
      <c r="B96" s="17" t="s">
        <v>63</v>
      </c>
      <c r="C96" s="17" t="s">
        <v>113</v>
      </c>
      <c r="D96" s="17" t="s">
        <v>114</v>
      </c>
      <c r="E96" s="17" t="s">
        <v>80</v>
      </c>
      <c r="F96" s="17" t="s">
        <v>80</v>
      </c>
      <c r="G96" s="17">
        <v>0.31702949793899998</v>
      </c>
      <c r="H96" s="17">
        <v>0.30174605999999998</v>
      </c>
      <c r="I96" s="17" t="s">
        <v>115</v>
      </c>
    </row>
    <row r="97" spans="1:9" x14ac:dyDescent="0.3">
      <c r="A97" s="17" t="s">
        <v>195</v>
      </c>
      <c r="B97" s="17" t="s">
        <v>63</v>
      </c>
      <c r="C97" s="17" t="s">
        <v>113</v>
      </c>
      <c r="D97" s="17" t="s">
        <v>114</v>
      </c>
      <c r="E97" s="17" t="s">
        <v>77</v>
      </c>
      <c r="F97" s="17" t="s">
        <v>77</v>
      </c>
      <c r="G97" s="17">
        <v>1.42573205E-4</v>
      </c>
      <c r="H97" s="17">
        <v>1.3569999999999999E-4</v>
      </c>
      <c r="I97" s="17" t="s">
        <v>115</v>
      </c>
    </row>
    <row r="98" spans="1:9" x14ac:dyDescent="0.3">
      <c r="A98" s="17" t="s">
        <v>195</v>
      </c>
      <c r="B98" s="17" t="s">
        <v>63</v>
      </c>
      <c r="C98" s="17" t="s">
        <v>113</v>
      </c>
      <c r="D98" s="17" t="s">
        <v>114</v>
      </c>
      <c r="E98" s="17" t="s">
        <v>78</v>
      </c>
      <c r="F98" s="17" t="s">
        <v>123</v>
      </c>
      <c r="G98" s="17">
        <v>2.71656064</v>
      </c>
      <c r="H98" s="17">
        <v>2.5855999999999999</v>
      </c>
      <c r="I98" s="17" t="s">
        <v>115</v>
      </c>
    </row>
    <row r="99" spans="1:9" x14ac:dyDescent="0.3">
      <c r="A99" s="17" t="s">
        <v>195</v>
      </c>
      <c r="B99" s="17" t="s">
        <v>63</v>
      </c>
      <c r="C99" s="17" t="s">
        <v>113</v>
      </c>
      <c r="D99" s="17" t="s">
        <v>114</v>
      </c>
      <c r="E99" s="17" t="s">
        <v>78</v>
      </c>
      <c r="F99" s="17" t="s">
        <v>125</v>
      </c>
      <c r="G99" s="17">
        <v>187.29139056</v>
      </c>
      <c r="H99" s="17">
        <v>178.26240000000001</v>
      </c>
      <c r="I99" s="17" t="s">
        <v>115</v>
      </c>
    </row>
    <row r="100" spans="1:9" x14ac:dyDescent="0.3">
      <c r="A100" s="17" t="s">
        <v>195</v>
      </c>
      <c r="B100" s="17" t="s">
        <v>63</v>
      </c>
      <c r="C100" s="17" t="s">
        <v>113</v>
      </c>
      <c r="D100" s="17" t="s">
        <v>114</v>
      </c>
      <c r="E100" s="17" t="s">
        <v>81</v>
      </c>
      <c r="F100" s="17" t="s">
        <v>81</v>
      </c>
      <c r="G100" s="17">
        <v>67.385269492943294</v>
      </c>
      <c r="H100" s="17">
        <v>64.136743437817799</v>
      </c>
      <c r="I100" s="17" t="s">
        <v>115</v>
      </c>
    </row>
    <row r="101" spans="1:9" x14ac:dyDescent="0.3">
      <c r="A101" s="17" t="s">
        <v>195</v>
      </c>
      <c r="B101" s="17" t="s">
        <v>63</v>
      </c>
      <c r="C101" s="17" t="s">
        <v>113</v>
      </c>
      <c r="D101" s="17" t="s">
        <v>114</v>
      </c>
      <c r="E101" s="17" t="s">
        <v>83</v>
      </c>
      <c r="F101" s="17" t="s">
        <v>127</v>
      </c>
      <c r="G101" s="17">
        <v>9.0897462195066198E-2</v>
      </c>
      <c r="H101" s="17">
        <v>8.6515454428274102E-2</v>
      </c>
      <c r="I101" s="17" t="s">
        <v>115</v>
      </c>
    </row>
    <row r="102" spans="1:9" x14ac:dyDescent="0.3">
      <c r="A102" s="17" t="s">
        <v>195</v>
      </c>
      <c r="B102" s="17" t="s">
        <v>63</v>
      </c>
      <c r="C102" s="17" t="s">
        <v>113</v>
      </c>
      <c r="D102" s="17" t="s">
        <v>114</v>
      </c>
      <c r="E102" s="17" t="s">
        <v>83</v>
      </c>
      <c r="F102" s="17" t="s">
        <v>128</v>
      </c>
      <c r="G102" s="17">
        <v>0.18862574619897801</v>
      </c>
      <c r="H102" s="17">
        <v>0.179532428686031</v>
      </c>
      <c r="I102" s="17" t="s">
        <v>115</v>
      </c>
    </row>
    <row r="103" spans="1:9" x14ac:dyDescent="0.3">
      <c r="A103" s="17" t="s">
        <v>195</v>
      </c>
      <c r="B103" s="17" t="s">
        <v>63</v>
      </c>
      <c r="C103" s="17" t="s">
        <v>113</v>
      </c>
      <c r="D103" s="17" t="s">
        <v>114</v>
      </c>
      <c r="E103" s="17" t="s">
        <v>85</v>
      </c>
      <c r="F103" s="17" t="s">
        <v>85</v>
      </c>
      <c r="G103" s="17">
        <v>28.835670041614399</v>
      </c>
      <c r="H103" s="17">
        <v>27.445552792665801</v>
      </c>
      <c r="I103" s="17" t="s">
        <v>115</v>
      </c>
    </row>
    <row r="104" spans="1:9" x14ac:dyDescent="0.3">
      <c r="A104" s="17" t="s">
        <v>195</v>
      </c>
      <c r="B104" s="17" t="s">
        <v>63</v>
      </c>
      <c r="C104" s="17" t="s">
        <v>113</v>
      </c>
      <c r="D104" s="17" t="s">
        <v>114</v>
      </c>
      <c r="E104" s="17" t="s">
        <v>87</v>
      </c>
      <c r="F104" s="17" t="s">
        <v>87</v>
      </c>
      <c r="G104" s="17">
        <v>1.1022537253999999E-3</v>
      </c>
      <c r="H104" s="17">
        <v>1.0491159999999999E-3</v>
      </c>
      <c r="I104" s="17" t="s">
        <v>115</v>
      </c>
    </row>
    <row r="105" spans="1:9" x14ac:dyDescent="0.3">
      <c r="A105" s="17" t="s">
        <v>195</v>
      </c>
      <c r="B105" s="17" t="s">
        <v>63</v>
      </c>
      <c r="C105" s="17" t="s">
        <v>113</v>
      </c>
      <c r="D105" s="17" t="s">
        <v>114</v>
      </c>
      <c r="E105" s="17" t="s">
        <v>88</v>
      </c>
      <c r="F105" s="17" t="s">
        <v>88</v>
      </c>
      <c r="G105" s="17">
        <v>12.428769239999999</v>
      </c>
      <c r="H105" s="17">
        <v>11.829599999999999</v>
      </c>
      <c r="I105" s="17" t="s">
        <v>115</v>
      </c>
    </row>
    <row r="106" spans="1:9" x14ac:dyDescent="0.3">
      <c r="A106" s="17" t="s">
        <v>195</v>
      </c>
      <c r="B106" s="17" t="s">
        <v>63</v>
      </c>
      <c r="C106" s="17" t="s">
        <v>113</v>
      </c>
      <c r="D106" s="17" t="s">
        <v>114</v>
      </c>
      <c r="E106" s="17" t="s">
        <v>89</v>
      </c>
      <c r="F106" s="17" t="s">
        <v>89</v>
      </c>
      <c r="G106" s="17">
        <v>2.2198648018500002E-2</v>
      </c>
      <c r="H106" s="17">
        <v>2.112849E-2</v>
      </c>
      <c r="I106" s="17" t="s">
        <v>115</v>
      </c>
    </row>
    <row r="107" spans="1:9" x14ac:dyDescent="0.3">
      <c r="A107" s="17" t="s">
        <v>195</v>
      </c>
      <c r="B107" s="17" t="s">
        <v>63</v>
      </c>
      <c r="C107" s="17" t="s">
        <v>113</v>
      </c>
      <c r="D107" s="17" t="s">
        <v>114</v>
      </c>
      <c r="E107" s="17" t="s">
        <v>90</v>
      </c>
      <c r="F107" s="17" t="s">
        <v>90</v>
      </c>
      <c r="G107" s="17">
        <v>10.4965226749247</v>
      </c>
      <c r="H107" s="17">
        <v>9.9905036643265799</v>
      </c>
      <c r="I107" s="17" t="s">
        <v>115</v>
      </c>
    </row>
    <row r="108" spans="1:9" x14ac:dyDescent="0.3">
      <c r="A108" s="17" t="s">
        <v>195</v>
      </c>
      <c r="B108" s="17" t="s">
        <v>63</v>
      </c>
      <c r="C108" s="17" t="s">
        <v>113</v>
      </c>
      <c r="D108" s="17" t="s">
        <v>114</v>
      </c>
      <c r="E108" s="17" t="s">
        <v>91</v>
      </c>
      <c r="F108" s="17" t="s">
        <v>91</v>
      </c>
      <c r="G108" s="17">
        <v>11.4454779167613</v>
      </c>
      <c r="H108" s="17">
        <v>10.8937114326953</v>
      </c>
      <c r="I108" s="17" t="s">
        <v>115</v>
      </c>
    </row>
    <row r="109" spans="1:9" x14ac:dyDescent="0.3">
      <c r="A109" s="17" t="s">
        <v>195</v>
      </c>
      <c r="B109" s="17" t="s">
        <v>63</v>
      </c>
      <c r="C109" s="17" t="s">
        <v>113</v>
      </c>
      <c r="D109" s="17" t="s">
        <v>114</v>
      </c>
      <c r="E109" s="17" t="s">
        <v>93</v>
      </c>
      <c r="F109" s="17" t="s">
        <v>130</v>
      </c>
      <c r="G109" s="17">
        <v>70.326949296500004</v>
      </c>
      <c r="H109" s="17">
        <v>66.936610000000002</v>
      </c>
      <c r="I109" s="17" t="s">
        <v>115</v>
      </c>
    </row>
    <row r="110" spans="1:9" x14ac:dyDescent="0.3">
      <c r="A110" s="17" t="s">
        <v>195</v>
      </c>
      <c r="B110" s="17" t="s">
        <v>63</v>
      </c>
      <c r="C110" s="17" t="s">
        <v>113</v>
      </c>
      <c r="D110" s="17" t="s">
        <v>114</v>
      </c>
      <c r="E110" s="17" t="s">
        <v>93</v>
      </c>
      <c r="F110" s="17" t="s">
        <v>131</v>
      </c>
      <c r="G110" s="17">
        <v>91.144307760000004</v>
      </c>
      <c r="H110" s="17">
        <v>86.750399999999999</v>
      </c>
      <c r="I110" s="17" t="s">
        <v>115</v>
      </c>
    </row>
    <row r="111" spans="1:9" x14ac:dyDescent="0.3">
      <c r="A111" s="17" t="s">
        <v>195</v>
      </c>
      <c r="B111" s="17" t="s">
        <v>63</v>
      </c>
      <c r="C111" s="17" t="s">
        <v>113</v>
      </c>
      <c r="D111" s="17" t="s">
        <v>114</v>
      </c>
      <c r="E111" s="17" t="s">
        <v>93</v>
      </c>
      <c r="F111" s="17" t="s">
        <v>132</v>
      </c>
      <c r="G111" s="17">
        <v>0.3134551236</v>
      </c>
      <c r="H111" s="17">
        <v>0.298344</v>
      </c>
      <c r="I111" s="17" t="s">
        <v>115</v>
      </c>
    </row>
    <row r="112" spans="1:9" x14ac:dyDescent="0.3">
      <c r="A112" s="17" t="s">
        <v>195</v>
      </c>
      <c r="B112" s="17" t="s">
        <v>63</v>
      </c>
      <c r="C112" s="17" t="s">
        <v>113</v>
      </c>
      <c r="D112" s="17" t="s">
        <v>114</v>
      </c>
      <c r="E112" s="17" t="s">
        <v>93</v>
      </c>
      <c r="F112" s="17" t="s">
        <v>133</v>
      </c>
      <c r="G112" s="17">
        <v>9.2982525000000003</v>
      </c>
      <c r="H112" s="17">
        <v>8.85</v>
      </c>
      <c r="I112" s="17" t="s">
        <v>115</v>
      </c>
    </row>
    <row r="113" spans="1:9" x14ac:dyDescent="0.3">
      <c r="A113" s="17" t="s">
        <v>195</v>
      </c>
      <c r="B113" s="17" t="s">
        <v>63</v>
      </c>
      <c r="C113" s="17" t="s">
        <v>113</v>
      </c>
      <c r="D113" s="17" t="s">
        <v>114</v>
      </c>
      <c r="E113" s="17" t="s">
        <v>93</v>
      </c>
      <c r="F113" s="17" t="s">
        <v>134</v>
      </c>
      <c r="G113" s="17">
        <v>3.1806705684000001</v>
      </c>
      <c r="H113" s="17">
        <v>3.027336</v>
      </c>
      <c r="I113" s="17" t="s">
        <v>115</v>
      </c>
    </row>
    <row r="114" spans="1:9" x14ac:dyDescent="0.3">
      <c r="A114" s="17" t="s">
        <v>195</v>
      </c>
      <c r="B114" s="17" t="s">
        <v>63</v>
      </c>
      <c r="C114" s="17" t="s">
        <v>113</v>
      </c>
      <c r="D114" s="17" t="s">
        <v>114</v>
      </c>
      <c r="E114" s="17" t="s">
        <v>93</v>
      </c>
      <c r="F114" s="17" t="s">
        <v>136</v>
      </c>
      <c r="G114" s="17">
        <v>22.262348928000002</v>
      </c>
      <c r="H114" s="17">
        <v>21.189119999999999</v>
      </c>
      <c r="I114" s="17" t="s">
        <v>115</v>
      </c>
    </row>
    <row r="115" spans="1:9" x14ac:dyDescent="0.3">
      <c r="A115" s="17" t="s">
        <v>195</v>
      </c>
      <c r="B115" s="17" t="s">
        <v>63</v>
      </c>
      <c r="C115" s="17" t="s">
        <v>113</v>
      </c>
      <c r="D115" s="17" t="s">
        <v>114</v>
      </c>
      <c r="E115" s="17" t="s">
        <v>93</v>
      </c>
      <c r="F115" s="17" t="s">
        <v>137</v>
      </c>
      <c r="G115" s="17">
        <v>32.28353268</v>
      </c>
      <c r="H115" s="17">
        <v>30.7272</v>
      </c>
      <c r="I115" s="17" t="s">
        <v>115</v>
      </c>
    </row>
    <row r="116" spans="1:9" x14ac:dyDescent="0.3">
      <c r="A116" s="17" t="s">
        <v>195</v>
      </c>
      <c r="B116" s="17" t="s">
        <v>63</v>
      </c>
      <c r="C116" s="17" t="s">
        <v>113</v>
      </c>
      <c r="D116" s="17" t="s">
        <v>114</v>
      </c>
      <c r="E116" s="17" t="s">
        <v>96</v>
      </c>
      <c r="F116" s="17" t="s">
        <v>96</v>
      </c>
      <c r="G116" s="17">
        <v>2.8652171084999999E-4</v>
      </c>
      <c r="H116" s="17">
        <v>2.7270899999999999E-4</v>
      </c>
      <c r="I116" s="17" t="s">
        <v>115</v>
      </c>
    </row>
    <row r="117" spans="1:9" x14ac:dyDescent="0.3">
      <c r="A117" s="17" t="s">
        <v>195</v>
      </c>
      <c r="B117" s="17" t="s">
        <v>63</v>
      </c>
      <c r="C117" s="17" t="s">
        <v>113</v>
      </c>
      <c r="D117" s="17" t="s">
        <v>114</v>
      </c>
      <c r="E117" s="17" t="s">
        <v>99</v>
      </c>
      <c r="F117" s="17" t="s">
        <v>142</v>
      </c>
      <c r="G117" s="17">
        <v>3.0508334477650001E-2</v>
      </c>
      <c r="H117" s="17">
        <v>2.9037581E-2</v>
      </c>
      <c r="I117" s="17" t="s">
        <v>115</v>
      </c>
    </row>
    <row r="118" spans="1:9" x14ac:dyDescent="0.3">
      <c r="A118" s="17" t="s">
        <v>195</v>
      </c>
      <c r="B118" s="17" t="s">
        <v>63</v>
      </c>
      <c r="C118" s="17" t="s">
        <v>113</v>
      </c>
      <c r="D118" s="17" t="s">
        <v>114</v>
      </c>
      <c r="E118" s="17" t="s">
        <v>99</v>
      </c>
      <c r="F118" s="17" t="s">
        <v>143</v>
      </c>
      <c r="G118" s="17">
        <v>1.7200387239113399</v>
      </c>
      <c r="H118" s="17">
        <v>1.6371186635999999</v>
      </c>
      <c r="I118" s="17" t="s">
        <v>115</v>
      </c>
    </row>
    <row r="119" spans="1:9" x14ac:dyDescent="0.3">
      <c r="A119" s="17" t="s">
        <v>195</v>
      </c>
      <c r="B119" s="17" t="s">
        <v>63</v>
      </c>
      <c r="C119" s="17" t="s">
        <v>113</v>
      </c>
      <c r="D119" s="17" t="s">
        <v>114</v>
      </c>
      <c r="E119" s="17" t="s">
        <v>99</v>
      </c>
      <c r="F119" s="17" t="s">
        <v>144</v>
      </c>
      <c r="G119" s="17">
        <v>5.7144958564999998E-4</v>
      </c>
      <c r="H119" s="17">
        <v>5.4390099999999995E-4</v>
      </c>
      <c r="I119" s="17" t="s">
        <v>115</v>
      </c>
    </row>
    <row r="120" spans="1:9" x14ac:dyDescent="0.3">
      <c r="A120" s="17" t="s">
        <v>195</v>
      </c>
      <c r="B120" s="17" t="s">
        <v>63</v>
      </c>
      <c r="C120" s="17" t="s">
        <v>113</v>
      </c>
      <c r="D120" s="17" t="s">
        <v>114</v>
      </c>
      <c r="E120" s="17" t="s">
        <v>99</v>
      </c>
      <c r="F120" s="17" t="s">
        <v>147</v>
      </c>
      <c r="G120" s="17">
        <v>2.0156635147349999E-3</v>
      </c>
      <c r="H120" s="17">
        <v>1.9184918999999999E-3</v>
      </c>
      <c r="I120" s="17" t="s">
        <v>115</v>
      </c>
    </row>
    <row r="121" spans="1:9" x14ac:dyDescent="0.3">
      <c r="A121" s="17" t="s">
        <v>195</v>
      </c>
      <c r="B121" s="17" t="s">
        <v>63</v>
      </c>
      <c r="C121" s="17" t="s">
        <v>113</v>
      </c>
      <c r="D121" s="17" t="s">
        <v>114</v>
      </c>
      <c r="E121" s="17" t="s">
        <v>99</v>
      </c>
      <c r="F121" s="17" t="s">
        <v>148</v>
      </c>
      <c r="G121" s="17">
        <v>68.830824631578494</v>
      </c>
      <c r="H121" s="17">
        <v>65.512610890000005</v>
      </c>
      <c r="I121" s="17" t="s">
        <v>115</v>
      </c>
    </row>
    <row r="122" spans="1:9" x14ac:dyDescent="0.3">
      <c r="A122" s="17" t="s">
        <v>195</v>
      </c>
      <c r="B122" s="17" t="s">
        <v>63</v>
      </c>
      <c r="C122" s="17" t="s">
        <v>113</v>
      </c>
      <c r="D122" s="17" t="s">
        <v>114</v>
      </c>
      <c r="E122" s="17" t="s">
        <v>99</v>
      </c>
      <c r="F122" s="17" t="s">
        <v>150</v>
      </c>
      <c r="G122" s="17">
        <v>4.7921365254000002E-3</v>
      </c>
      <c r="H122" s="17">
        <v>4.5611159999999996E-3</v>
      </c>
      <c r="I122" s="17" t="s">
        <v>115</v>
      </c>
    </row>
    <row r="123" spans="1:9" x14ac:dyDescent="0.3">
      <c r="A123" s="17" t="s">
        <v>195</v>
      </c>
      <c r="B123" s="17" t="s">
        <v>63</v>
      </c>
      <c r="C123" s="17" t="s">
        <v>113</v>
      </c>
      <c r="D123" s="17" t="s">
        <v>114</v>
      </c>
      <c r="E123" s="17" t="s">
        <v>99</v>
      </c>
      <c r="F123" s="17" t="s">
        <v>152</v>
      </c>
      <c r="G123" s="17">
        <v>4.6905315212520797</v>
      </c>
      <c r="H123" s="17">
        <v>4.4644091955</v>
      </c>
      <c r="I123" s="17" t="s">
        <v>115</v>
      </c>
    </row>
    <row r="124" spans="1:9" x14ac:dyDescent="0.3">
      <c r="A124" s="17" t="s">
        <v>195</v>
      </c>
      <c r="B124" s="17" t="s">
        <v>63</v>
      </c>
      <c r="C124" s="17" t="s">
        <v>113</v>
      </c>
      <c r="D124" s="17" t="s">
        <v>114</v>
      </c>
      <c r="E124" s="17" t="s">
        <v>99</v>
      </c>
      <c r="F124" s="17" t="s">
        <v>153</v>
      </c>
      <c r="G124" s="17">
        <v>0</v>
      </c>
      <c r="H124" s="17">
        <v>0</v>
      </c>
      <c r="I124" s="17" t="s">
        <v>115</v>
      </c>
    </row>
    <row r="125" spans="1:9" x14ac:dyDescent="0.3">
      <c r="A125" s="17" t="s">
        <v>195</v>
      </c>
      <c r="B125" s="17" t="s">
        <v>63</v>
      </c>
      <c r="C125" s="17" t="s">
        <v>113</v>
      </c>
      <c r="D125" s="17" t="s">
        <v>114</v>
      </c>
      <c r="E125" s="17" t="s">
        <v>99</v>
      </c>
      <c r="F125" s="17" t="s">
        <v>154</v>
      </c>
      <c r="G125" s="17">
        <v>8.842487359225E-3</v>
      </c>
      <c r="H125" s="17">
        <v>8.4162065000000005E-3</v>
      </c>
      <c r="I125" s="17" t="s">
        <v>115</v>
      </c>
    </row>
    <row r="126" spans="1:9" x14ac:dyDescent="0.3">
      <c r="A126" s="17" t="s">
        <v>195</v>
      </c>
      <c r="B126" s="17" t="s">
        <v>63</v>
      </c>
      <c r="C126" s="17" t="s">
        <v>113</v>
      </c>
      <c r="D126" s="17" t="s">
        <v>114</v>
      </c>
      <c r="E126" s="17" t="s">
        <v>101</v>
      </c>
      <c r="F126" s="17" t="s">
        <v>157</v>
      </c>
      <c r="G126" s="17">
        <v>530.05016074247703</v>
      </c>
      <c r="H126" s="17">
        <v>504.49736900250002</v>
      </c>
      <c r="I126" s="17" t="s">
        <v>115</v>
      </c>
    </row>
    <row r="127" spans="1:9" x14ac:dyDescent="0.3">
      <c r="A127" s="17" t="s">
        <v>195</v>
      </c>
      <c r="B127" s="17" t="s">
        <v>63</v>
      </c>
      <c r="C127" s="17" t="s">
        <v>113</v>
      </c>
      <c r="D127" s="17" t="s">
        <v>114</v>
      </c>
      <c r="E127" s="17" t="s">
        <v>101</v>
      </c>
      <c r="F127" s="17" t="s">
        <v>158</v>
      </c>
      <c r="G127" s="17">
        <v>105.99155282574699</v>
      </c>
      <c r="H127" s="17">
        <v>100.8818853336</v>
      </c>
      <c r="I127" s="17" t="s">
        <v>115</v>
      </c>
    </row>
    <row r="128" spans="1:9" x14ac:dyDescent="0.3">
      <c r="A128" s="17" t="s">
        <v>195</v>
      </c>
      <c r="B128" s="17" t="s">
        <v>63</v>
      </c>
      <c r="C128" s="17" t="s">
        <v>113</v>
      </c>
      <c r="D128" s="17" t="s">
        <v>114</v>
      </c>
      <c r="E128" s="17" t="s">
        <v>101</v>
      </c>
      <c r="F128" s="17" t="s">
        <v>160</v>
      </c>
      <c r="G128" s="17">
        <v>100.056628239907</v>
      </c>
      <c r="H128" s="17">
        <v>95.233073087999998</v>
      </c>
      <c r="I128" s="17" t="s">
        <v>115</v>
      </c>
    </row>
    <row r="129" spans="1:9" x14ac:dyDescent="0.3">
      <c r="A129" s="17" t="s">
        <v>195</v>
      </c>
      <c r="B129" s="17" t="s">
        <v>63</v>
      </c>
      <c r="C129" s="17" t="s">
        <v>113</v>
      </c>
      <c r="D129" s="17" t="s">
        <v>114</v>
      </c>
      <c r="E129" s="17" t="s">
        <v>102</v>
      </c>
      <c r="F129" s="17" t="s">
        <v>165</v>
      </c>
      <c r="G129" s="17">
        <v>12.428769239999999</v>
      </c>
      <c r="H129" s="17">
        <v>11.829599999999999</v>
      </c>
      <c r="I129" s="17" t="s">
        <v>115</v>
      </c>
    </row>
    <row r="130" spans="1:9" x14ac:dyDescent="0.3">
      <c r="A130" s="17" t="s">
        <v>195</v>
      </c>
      <c r="B130" s="17" t="s">
        <v>63</v>
      </c>
      <c r="C130" s="17" t="s">
        <v>113</v>
      </c>
      <c r="D130" s="17" t="s">
        <v>114</v>
      </c>
      <c r="E130" s="17" t="s">
        <v>102</v>
      </c>
      <c r="F130" s="17" t="s">
        <v>166</v>
      </c>
      <c r="G130" s="17">
        <v>95.466743598381797</v>
      </c>
      <c r="H130" s="17">
        <v>90.864458762082407</v>
      </c>
      <c r="I130" s="17" t="s">
        <v>115</v>
      </c>
    </row>
    <row r="131" spans="1:9" x14ac:dyDescent="0.3">
      <c r="A131" s="17" t="s">
        <v>195</v>
      </c>
      <c r="B131" s="17" t="s">
        <v>63</v>
      </c>
      <c r="C131" s="17" t="s">
        <v>113</v>
      </c>
      <c r="D131" s="17" t="s">
        <v>114</v>
      </c>
      <c r="E131" s="17" t="s">
        <v>103</v>
      </c>
      <c r="F131" s="17" t="s">
        <v>103</v>
      </c>
      <c r="G131" s="17">
        <v>30.909072349999999</v>
      </c>
      <c r="H131" s="17">
        <v>29.419</v>
      </c>
      <c r="I131" s="17" t="s">
        <v>115</v>
      </c>
    </row>
    <row r="132" spans="1:9" x14ac:dyDescent="0.3">
      <c r="A132" s="17" t="s">
        <v>195</v>
      </c>
      <c r="B132" s="17" t="s">
        <v>64</v>
      </c>
      <c r="C132" s="17" t="s">
        <v>113</v>
      </c>
      <c r="D132" s="17" t="s">
        <v>114</v>
      </c>
      <c r="E132" s="17" t="s">
        <v>71</v>
      </c>
      <c r="F132" s="17" t="s">
        <v>71</v>
      </c>
      <c r="G132" s="17">
        <v>22.934951999999999</v>
      </c>
      <c r="H132" s="17">
        <v>21.24</v>
      </c>
      <c r="I132" s="17" t="s">
        <v>115</v>
      </c>
    </row>
    <row r="133" spans="1:9" x14ac:dyDescent="0.3">
      <c r="A133" s="17" t="s">
        <v>195</v>
      </c>
      <c r="B133" s="17" t="s">
        <v>64</v>
      </c>
      <c r="C133" s="17" t="s">
        <v>113</v>
      </c>
      <c r="D133" s="17" t="s">
        <v>114</v>
      </c>
      <c r="E133" s="17" t="s">
        <v>72</v>
      </c>
      <c r="F133" s="17" t="s">
        <v>116</v>
      </c>
      <c r="G133" s="17">
        <v>173.47375728</v>
      </c>
      <c r="H133" s="17">
        <v>160.65360000000001</v>
      </c>
      <c r="I133" s="17" t="s">
        <v>115</v>
      </c>
    </row>
    <row r="134" spans="1:9" x14ac:dyDescent="0.3">
      <c r="A134" s="17" t="s">
        <v>195</v>
      </c>
      <c r="B134" s="17" t="s">
        <v>64</v>
      </c>
      <c r="C134" s="17" t="s">
        <v>113</v>
      </c>
      <c r="D134" s="17" t="s">
        <v>114</v>
      </c>
      <c r="E134" s="17" t="s">
        <v>73</v>
      </c>
      <c r="F134" s="17" t="s">
        <v>117</v>
      </c>
      <c r="G134" s="17">
        <v>0</v>
      </c>
      <c r="H134" s="17">
        <v>0</v>
      </c>
      <c r="I134" s="17" t="s">
        <v>115</v>
      </c>
    </row>
    <row r="135" spans="1:9" x14ac:dyDescent="0.3">
      <c r="A135" s="17" t="s">
        <v>195</v>
      </c>
      <c r="B135" s="17" t="s">
        <v>64</v>
      </c>
      <c r="C135" s="17" t="s">
        <v>113</v>
      </c>
      <c r="D135" s="17" t="s">
        <v>114</v>
      </c>
      <c r="E135" s="17" t="s">
        <v>73</v>
      </c>
      <c r="F135" s="17" t="s">
        <v>118</v>
      </c>
      <c r="G135" s="17">
        <v>623.51971200000003</v>
      </c>
      <c r="H135" s="17">
        <v>577.44000000000005</v>
      </c>
      <c r="I135" s="17" t="s">
        <v>115</v>
      </c>
    </row>
    <row r="136" spans="1:9" x14ac:dyDescent="0.3">
      <c r="A136" s="17" t="s">
        <v>195</v>
      </c>
      <c r="B136" s="17" t="s">
        <v>64</v>
      </c>
      <c r="C136" s="17" t="s">
        <v>113</v>
      </c>
      <c r="D136" s="17" t="s">
        <v>114</v>
      </c>
      <c r="E136" s="17" t="s">
        <v>73</v>
      </c>
      <c r="F136" s="17" t="s">
        <v>119</v>
      </c>
      <c r="G136" s="17">
        <v>87.075072000000006</v>
      </c>
      <c r="H136" s="17">
        <v>80.64</v>
      </c>
      <c r="I136" s="17" t="s">
        <v>115</v>
      </c>
    </row>
    <row r="137" spans="1:9" x14ac:dyDescent="0.3">
      <c r="A137" s="17" t="s">
        <v>195</v>
      </c>
      <c r="B137" s="17" t="s">
        <v>64</v>
      </c>
      <c r="C137" s="17" t="s">
        <v>113</v>
      </c>
      <c r="D137" s="17" t="s">
        <v>114</v>
      </c>
      <c r="E137" s="17" t="s">
        <v>73</v>
      </c>
      <c r="F137" s="17" t="s">
        <v>120</v>
      </c>
      <c r="G137" s="17">
        <v>5.6362986230137002</v>
      </c>
      <c r="H137" s="17">
        <v>5.2197616438356196</v>
      </c>
      <c r="I137" s="17" t="s">
        <v>115</v>
      </c>
    </row>
    <row r="138" spans="1:9" x14ac:dyDescent="0.3">
      <c r="A138" s="17" t="s">
        <v>195</v>
      </c>
      <c r="B138" s="17" t="s">
        <v>64</v>
      </c>
      <c r="C138" s="17" t="s">
        <v>113</v>
      </c>
      <c r="D138" s="17" t="s">
        <v>114</v>
      </c>
      <c r="E138" s="17" t="s">
        <v>80</v>
      </c>
      <c r="F138" s="17" t="s">
        <v>80</v>
      </c>
      <c r="G138" s="17">
        <v>0.31532690075896802</v>
      </c>
      <c r="H138" s="17">
        <v>0.29202343096774203</v>
      </c>
      <c r="I138" s="17" t="s">
        <v>115</v>
      </c>
    </row>
    <row r="139" spans="1:9" x14ac:dyDescent="0.3">
      <c r="A139" s="17" t="s">
        <v>195</v>
      </c>
      <c r="B139" s="17" t="s">
        <v>64</v>
      </c>
      <c r="C139" s="17" t="s">
        <v>113</v>
      </c>
      <c r="D139" s="17" t="s">
        <v>114</v>
      </c>
      <c r="E139" s="17" t="s">
        <v>77</v>
      </c>
      <c r="F139" s="17" t="s">
        <v>77</v>
      </c>
      <c r="G139" s="17">
        <v>1.5289968000000001E-4</v>
      </c>
      <c r="H139" s="17">
        <v>1.416E-4</v>
      </c>
      <c r="I139" s="17" t="s">
        <v>115</v>
      </c>
    </row>
    <row r="140" spans="1:9" x14ac:dyDescent="0.3">
      <c r="A140" s="17" t="s">
        <v>195</v>
      </c>
      <c r="B140" s="17" t="s">
        <v>64</v>
      </c>
      <c r="C140" s="17" t="s">
        <v>113</v>
      </c>
      <c r="D140" s="17" t="s">
        <v>114</v>
      </c>
      <c r="E140" s="17" t="s">
        <v>78</v>
      </c>
      <c r="F140" s="17" t="s">
        <v>123</v>
      </c>
      <c r="G140" s="17">
        <v>2.6981159982795702</v>
      </c>
      <c r="H140" s="17">
        <v>2.4987182795698901</v>
      </c>
      <c r="I140" s="17" t="s">
        <v>115</v>
      </c>
    </row>
    <row r="141" spans="1:9" x14ac:dyDescent="0.3">
      <c r="A141" s="17" t="s">
        <v>195</v>
      </c>
      <c r="B141" s="17" t="s">
        <v>64</v>
      </c>
      <c r="C141" s="17" t="s">
        <v>113</v>
      </c>
      <c r="D141" s="17" t="s">
        <v>114</v>
      </c>
      <c r="E141" s="17" t="s">
        <v>78</v>
      </c>
      <c r="F141" s="17" t="s">
        <v>125</v>
      </c>
      <c r="G141" s="17">
        <v>186.01973752000001</v>
      </c>
      <c r="H141" s="17">
        <v>172.2724</v>
      </c>
      <c r="I141" s="17" t="s">
        <v>115</v>
      </c>
    </row>
    <row r="142" spans="1:9" x14ac:dyDescent="0.3">
      <c r="A142" s="17" t="s">
        <v>195</v>
      </c>
      <c r="B142" s="17" t="s">
        <v>64</v>
      </c>
      <c r="C142" s="17" t="s">
        <v>113</v>
      </c>
      <c r="D142" s="17" t="s">
        <v>114</v>
      </c>
      <c r="E142" s="17" t="s">
        <v>81</v>
      </c>
      <c r="F142" s="17" t="s">
        <v>81</v>
      </c>
      <c r="G142" s="17">
        <v>39.691548945771501</v>
      </c>
      <c r="H142" s="17">
        <v>36.758241290768197</v>
      </c>
      <c r="I142" s="17" t="s">
        <v>115</v>
      </c>
    </row>
    <row r="143" spans="1:9" x14ac:dyDescent="0.3">
      <c r="A143" s="17" t="s">
        <v>195</v>
      </c>
      <c r="B143" s="17" t="s">
        <v>64</v>
      </c>
      <c r="C143" s="17" t="s">
        <v>113</v>
      </c>
      <c r="D143" s="17" t="s">
        <v>114</v>
      </c>
      <c r="E143" s="17" t="s">
        <v>83</v>
      </c>
      <c r="F143" s="17" t="s">
        <v>127</v>
      </c>
      <c r="G143" s="17">
        <v>9.0561451045145902E-2</v>
      </c>
      <c r="H143" s="17">
        <v>8.3868726657849599E-2</v>
      </c>
      <c r="I143" s="17" t="s">
        <v>115</v>
      </c>
    </row>
    <row r="144" spans="1:9" x14ac:dyDescent="0.3">
      <c r="A144" s="17" t="s">
        <v>195</v>
      </c>
      <c r="B144" s="17" t="s">
        <v>64</v>
      </c>
      <c r="C144" s="17" t="s">
        <v>113</v>
      </c>
      <c r="D144" s="17" t="s">
        <v>114</v>
      </c>
      <c r="E144" s="17" t="s">
        <v>83</v>
      </c>
      <c r="F144" s="17" t="s">
        <v>128</v>
      </c>
      <c r="G144" s="17">
        <v>0.23296830357208601</v>
      </c>
      <c r="H144" s="17">
        <v>0.215751346149367</v>
      </c>
      <c r="I144" s="17" t="s">
        <v>115</v>
      </c>
    </row>
    <row r="145" spans="1:9" x14ac:dyDescent="0.3">
      <c r="A145" s="17" t="s">
        <v>195</v>
      </c>
      <c r="B145" s="17" t="s">
        <v>64</v>
      </c>
      <c r="C145" s="17" t="s">
        <v>113</v>
      </c>
      <c r="D145" s="17" t="s">
        <v>114</v>
      </c>
      <c r="E145" s="17" t="s">
        <v>85</v>
      </c>
      <c r="F145" s="17" t="s">
        <v>85</v>
      </c>
      <c r="G145" s="17">
        <v>28.6797173279231</v>
      </c>
      <c r="H145" s="17">
        <v>26.5602123799992</v>
      </c>
      <c r="I145" s="17" t="s">
        <v>115</v>
      </c>
    </row>
    <row r="146" spans="1:9" x14ac:dyDescent="0.3">
      <c r="A146" s="17" t="s">
        <v>195</v>
      </c>
      <c r="B146" s="17" t="s">
        <v>64</v>
      </c>
      <c r="C146" s="17" t="s">
        <v>113</v>
      </c>
      <c r="D146" s="17" t="s">
        <v>114</v>
      </c>
      <c r="E146" s="17" t="s">
        <v>87</v>
      </c>
      <c r="F146" s="17" t="s">
        <v>87</v>
      </c>
      <c r="G146" s="17">
        <v>1.0924315003999999E-3</v>
      </c>
      <c r="H146" s="17">
        <v>1.0116979999999999E-3</v>
      </c>
      <c r="I146" s="17" t="s">
        <v>115</v>
      </c>
    </row>
    <row r="147" spans="1:9" x14ac:dyDescent="0.3">
      <c r="A147" s="17" t="s">
        <v>195</v>
      </c>
      <c r="B147" s="17" t="s">
        <v>64</v>
      </c>
      <c r="C147" s="17" t="s">
        <v>113</v>
      </c>
      <c r="D147" s="17" t="s">
        <v>114</v>
      </c>
      <c r="E147" s="17" t="s">
        <v>88</v>
      </c>
      <c r="F147" s="17" t="s">
        <v>88</v>
      </c>
      <c r="G147" s="17">
        <v>12.3615504</v>
      </c>
      <c r="H147" s="17">
        <v>11.448</v>
      </c>
      <c r="I147" s="17" t="s">
        <v>115</v>
      </c>
    </row>
    <row r="148" spans="1:9" x14ac:dyDescent="0.3">
      <c r="A148" s="17" t="s">
        <v>195</v>
      </c>
      <c r="B148" s="17" t="s">
        <v>64</v>
      </c>
      <c r="C148" s="17" t="s">
        <v>113</v>
      </c>
      <c r="D148" s="17" t="s">
        <v>114</v>
      </c>
      <c r="E148" s="17" t="s">
        <v>89</v>
      </c>
      <c r="F148" s="17" t="s">
        <v>89</v>
      </c>
      <c r="G148" s="17">
        <v>0.110483397522</v>
      </c>
      <c r="H148" s="17">
        <v>0.10231839</v>
      </c>
      <c r="I148" s="17" t="s">
        <v>115</v>
      </c>
    </row>
    <row r="149" spans="1:9" x14ac:dyDescent="0.3">
      <c r="A149" s="17" t="s">
        <v>195</v>
      </c>
      <c r="B149" s="17" t="s">
        <v>64</v>
      </c>
      <c r="C149" s="17" t="s">
        <v>113</v>
      </c>
      <c r="D149" s="17" t="s">
        <v>114</v>
      </c>
      <c r="E149" s="17" t="s">
        <v>90</v>
      </c>
      <c r="F149" s="17" t="s">
        <v>90</v>
      </c>
      <c r="G149" s="17">
        <v>10.4419077564872</v>
      </c>
      <c r="H149" s="17">
        <v>9.67022389006042</v>
      </c>
      <c r="I149" s="17" t="s">
        <v>115</v>
      </c>
    </row>
    <row r="150" spans="1:9" x14ac:dyDescent="0.3">
      <c r="A150" s="17" t="s">
        <v>195</v>
      </c>
      <c r="B150" s="17" t="s">
        <v>64</v>
      </c>
      <c r="C150" s="17" t="s">
        <v>113</v>
      </c>
      <c r="D150" s="17" t="s">
        <v>114</v>
      </c>
      <c r="E150" s="17" t="s">
        <v>91</v>
      </c>
      <c r="F150" s="17" t="s">
        <v>91</v>
      </c>
      <c r="G150" s="17">
        <v>11.0746732559364</v>
      </c>
      <c r="H150" s="17">
        <v>10.2562263900133</v>
      </c>
      <c r="I150" s="17" t="s">
        <v>115</v>
      </c>
    </row>
    <row r="151" spans="1:9" x14ac:dyDescent="0.3">
      <c r="A151" s="17" t="s">
        <v>195</v>
      </c>
      <c r="B151" s="17" t="s">
        <v>64</v>
      </c>
      <c r="C151" s="17" t="s">
        <v>113</v>
      </c>
      <c r="D151" s="17" t="s">
        <v>114</v>
      </c>
      <c r="E151" s="17" t="s">
        <v>93</v>
      </c>
      <c r="F151" s="17" t="s">
        <v>130</v>
      </c>
      <c r="G151" s="17">
        <v>69.957045792000002</v>
      </c>
      <c r="H151" s="17">
        <v>64.787040000000005</v>
      </c>
      <c r="I151" s="17" t="s">
        <v>115</v>
      </c>
    </row>
    <row r="152" spans="1:9" x14ac:dyDescent="0.3">
      <c r="A152" s="17" t="s">
        <v>195</v>
      </c>
      <c r="B152" s="17" t="s">
        <v>64</v>
      </c>
      <c r="C152" s="17" t="s">
        <v>113</v>
      </c>
      <c r="D152" s="17" t="s">
        <v>114</v>
      </c>
      <c r="E152" s="17" t="s">
        <v>93</v>
      </c>
      <c r="F152" s="17" t="s">
        <v>131</v>
      </c>
      <c r="G152" s="17">
        <v>90.651369599999995</v>
      </c>
      <c r="H152" s="17">
        <v>83.951999999999998</v>
      </c>
      <c r="I152" s="17" t="s">
        <v>115</v>
      </c>
    </row>
    <row r="153" spans="1:9" x14ac:dyDescent="0.3">
      <c r="A153" s="17" t="s">
        <v>195</v>
      </c>
      <c r="B153" s="17" t="s">
        <v>64</v>
      </c>
      <c r="C153" s="17" t="s">
        <v>113</v>
      </c>
      <c r="D153" s="17" t="s">
        <v>114</v>
      </c>
      <c r="E153" s="17" t="s">
        <v>93</v>
      </c>
      <c r="F153" s="17" t="s">
        <v>132</v>
      </c>
      <c r="G153" s="17">
        <v>0.3113268562</v>
      </c>
      <c r="H153" s="17">
        <v>0.28831899999999999</v>
      </c>
      <c r="I153" s="17" t="s">
        <v>115</v>
      </c>
    </row>
    <row r="154" spans="1:9" x14ac:dyDescent="0.3">
      <c r="A154" s="17" t="s">
        <v>195</v>
      </c>
      <c r="B154" s="17" t="s">
        <v>64</v>
      </c>
      <c r="C154" s="17" t="s">
        <v>113</v>
      </c>
      <c r="D154" s="17" t="s">
        <v>114</v>
      </c>
      <c r="E154" s="17" t="s">
        <v>93</v>
      </c>
      <c r="F154" s="17" t="s">
        <v>133</v>
      </c>
      <c r="G154" s="17">
        <v>9.2351201209677392</v>
      </c>
      <c r="H154" s="17">
        <v>8.5526209677419391</v>
      </c>
      <c r="I154" s="17" t="s">
        <v>115</v>
      </c>
    </row>
    <row r="155" spans="1:9" x14ac:dyDescent="0.3">
      <c r="A155" s="17" t="s">
        <v>195</v>
      </c>
      <c r="B155" s="17" t="s">
        <v>64</v>
      </c>
      <c r="C155" s="17" t="s">
        <v>113</v>
      </c>
      <c r="D155" s="17" t="s">
        <v>114</v>
      </c>
      <c r="E155" s="17" t="s">
        <v>93</v>
      </c>
      <c r="F155" s="17" t="s">
        <v>134</v>
      </c>
      <c r="G155" s="17">
        <v>3.1634684640000001</v>
      </c>
      <c r="H155" s="17">
        <v>2.9296799999999998</v>
      </c>
      <c r="I155" s="17" t="s">
        <v>115</v>
      </c>
    </row>
    <row r="156" spans="1:9" x14ac:dyDescent="0.3">
      <c r="A156" s="17" t="s">
        <v>195</v>
      </c>
      <c r="B156" s="17" t="s">
        <v>64</v>
      </c>
      <c r="C156" s="17" t="s">
        <v>113</v>
      </c>
      <c r="D156" s="17" t="s">
        <v>114</v>
      </c>
      <c r="E156" s="17" t="s">
        <v>93</v>
      </c>
      <c r="F156" s="17" t="s">
        <v>136</v>
      </c>
      <c r="G156" s="17">
        <v>22.111194176000001</v>
      </c>
      <c r="H156" s="17">
        <v>20.477119999999999</v>
      </c>
      <c r="I156" s="17" t="s">
        <v>115</v>
      </c>
    </row>
    <row r="157" spans="1:9" x14ac:dyDescent="0.3">
      <c r="A157" s="17" t="s">
        <v>195</v>
      </c>
      <c r="B157" s="17" t="s">
        <v>64</v>
      </c>
      <c r="C157" s="17" t="s">
        <v>113</v>
      </c>
      <c r="D157" s="17" t="s">
        <v>114</v>
      </c>
      <c r="E157" s="17" t="s">
        <v>93</v>
      </c>
      <c r="F157" s="17" t="s">
        <v>137</v>
      </c>
      <c r="G157" s="17">
        <v>32.113392374</v>
      </c>
      <c r="H157" s="17">
        <v>29.740130000000001</v>
      </c>
      <c r="I157" s="17" t="s">
        <v>115</v>
      </c>
    </row>
    <row r="158" spans="1:9" x14ac:dyDescent="0.3">
      <c r="A158" s="17" t="s">
        <v>195</v>
      </c>
      <c r="B158" s="17" t="s">
        <v>64</v>
      </c>
      <c r="C158" s="17" t="s">
        <v>113</v>
      </c>
      <c r="D158" s="17" t="s">
        <v>114</v>
      </c>
      <c r="E158" s="17" t="s">
        <v>96</v>
      </c>
      <c r="F158" s="17" t="s">
        <v>96</v>
      </c>
      <c r="G158" s="17">
        <v>2.7768784680000001E-4</v>
      </c>
      <c r="H158" s="17">
        <v>2.5716600000000002E-4</v>
      </c>
      <c r="I158" s="17" t="s">
        <v>115</v>
      </c>
    </row>
    <row r="159" spans="1:9" x14ac:dyDescent="0.3">
      <c r="A159" s="17" t="s">
        <v>195</v>
      </c>
      <c r="B159" s="17" t="s">
        <v>64</v>
      </c>
      <c r="C159" s="17" t="s">
        <v>113</v>
      </c>
      <c r="D159" s="17" t="s">
        <v>114</v>
      </c>
      <c r="E159" s="17" t="s">
        <v>99</v>
      </c>
      <c r="F159" s="17" t="s">
        <v>142</v>
      </c>
      <c r="G159" s="17">
        <v>3.5153925608000002E-3</v>
      </c>
      <c r="H159" s="17">
        <v>3.2555959999999999E-3</v>
      </c>
      <c r="I159" s="17" t="s">
        <v>115</v>
      </c>
    </row>
    <row r="160" spans="1:9" x14ac:dyDescent="0.3">
      <c r="A160" s="17" t="s">
        <v>195</v>
      </c>
      <c r="B160" s="17" t="s">
        <v>64</v>
      </c>
      <c r="C160" s="17" t="s">
        <v>113</v>
      </c>
      <c r="D160" s="17" t="s">
        <v>114</v>
      </c>
      <c r="E160" s="17" t="s">
        <v>99</v>
      </c>
      <c r="F160" s="17" t="s">
        <v>143</v>
      </c>
      <c r="G160" s="17">
        <v>1.67271483391576</v>
      </c>
      <c r="H160" s="17">
        <v>1.5490969012</v>
      </c>
      <c r="I160" s="17" t="s">
        <v>115</v>
      </c>
    </row>
    <row r="161" spans="1:9" x14ac:dyDescent="0.3">
      <c r="A161" s="17" t="s">
        <v>195</v>
      </c>
      <c r="B161" s="17" t="s">
        <v>64</v>
      </c>
      <c r="C161" s="17" t="s">
        <v>113</v>
      </c>
      <c r="D161" s="17" t="s">
        <v>114</v>
      </c>
      <c r="E161" s="17" t="s">
        <v>99</v>
      </c>
      <c r="F161" s="17" t="s">
        <v>144</v>
      </c>
      <c r="G161" s="17">
        <v>5.1969046320000001E-4</v>
      </c>
      <c r="H161" s="17">
        <v>4.8128400000000001E-4</v>
      </c>
      <c r="I161" s="17" t="s">
        <v>115</v>
      </c>
    </row>
    <row r="162" spans="1:9" x14ac:dyDescent="0.3">
      <c r="A162" s="17" t="s">
        <v>195</v>
      </c>
      <c r="B162" s="17" t="s">
        <v>64</v>
      </c>
      <c r="C162" s="17" t="s">
        <v>113</v>
      </c>
      <c r="D162" s="17" t="s">
        <v>114</v>
      </c>
      <c r="E162" s="17" t="s">
        <v>99</v>
      </c>
      <c r="F162" s="17" t="s">
        <v>147</v>
      </c>
      <c r="G162" s="17">
        <v>3.1794149504000001E-4</v>
      </c>
      <c r="H162" s="17">
        <v>2.9444479999999999E-4</v>
      </c>
      <c r="I162" s="17" t="s">
        <v>115</v>
      </c>
    </row>
    <row r="163" spans="1:9" x14ac:dyDescent="0.3">
      <c r="A163" s="17" t="s">
        <v>195</v>
      </c>
      <c r="B163" s="17" t="s">
        <v>64</v>
      </c>
      <c r="C163" s="17" t="s">
        <v>113</v>
      </c>
      <c r="D163" s="17" t="s">
        <v>114</v>
      </c>
      <c r="E163" s="17" t="s">
        <v>99</v>
      </c>
      <c r="F163" s="17" t="s">
        <v>148</v>
      </c>
      <c r="G163" s="17">
        <v>65.043162970446005</v>
      </c>
      <c r="H163" s="17">
        <v>60.236305770000001</v>
      </c>
      <c r="I163" s="17" t="s">
        <v>115</v>
      </c>
    </row>
    <row r="164" spans="1:9" x14ac:dyDescent="0.3">
      <c r="A164" s="17" t="s">
        <v>195</v>
      </c>
      <c r="B164" s="17" t="s">
        <v>64</v>
      </c>
      <c r="C164" s="17" t="s">
        <v>113</v>
      </c>
      <c r="D164" s="17" t="s">
        <v>114</v>
      </c>
      <c r="E164" s="17" t="s">
        <v>99</v>
      </c>
      <c r="F164" s="17" t="s">
        <v>150</v>
      </c>
      <c r="G164" s="17">
        <v>2.3339661039999999E-4</v>
      </c>
      <c r="H164" s="17">
        <v>2.1614799999999999E-4</v>
      </c>
      <c r="I164" s="17" t="s">
        <v>115</v>
      </c>
    </row>
    <row r="165" spans="1:9" x14ac:dyDescent="0.3">
      <c r="A165" s="17" t="s">
        <v>195</v>
      </c>
      <c r="B165" s="17" t="s">
        <v>64</v>
      </c>
      <c r="C165" s="17" t="s">
        <v>113</v>
      </c>
      <c r="D165" s="17" t="s">
        <v>114</v>
      </c>
      <c r="E165" s="17" t="s">
        <v>99</v>
      </c>
      <c r="F165" s="17" t="s">
        <v>152</v>
      </c>
      <c r="G165" s="17">
        <v>4.901826563008</v>
      </c>
      <c r="H165" s="17">
        <v>4.5395689600000004</v>
      </c>
      <c r="I165" s="17" t="s">
        <v>115</v>
      </c>
    </row>
    <row r="166" spans="1:9" x14ac:dyDescent="0.3">
      <c r="A166" s="17" t="s">
        <v>195</v>
      </c>
      <c r="B166" s="17" t="s">
        <v>64</v>
      </c>
      <c r="C166" s="17" t="s">
        <v>113</v>
      </c>
      <c r="D166" s="17" t="s">
        <v>114</v>
      </c>
      <c r="E166" s="17" t="s">
        <v>99</v>
      </c>
      <c r="F166" s="17" t="s">
        <v>153</v>
      </c>
      <c r="G166" s="17">
        <v>0</v>
      </c>
      <c r="H166" s="17">
        <v>0</v>
      </c>
      <c r="I166" s="17" t="s">
        <v>115</v>
      </c>
    </row>
    <row r="167" spans="1:9" x14ac:dyDescent="0.3">
      <c r="A167" s="17" t="s">
        <v>195</v>
      </c>
      <c r="B167" s="17" t="s">
        <v>64</v>
      </c>
      <c r="C167" s="17" t="s">
        <v>113</v>
      </c>
      <c r="D167" s="17" t="s">
        <v>114</v>
      </c>
      <c r="E167" s="17" t="s">
        <v>99</v>
      </c>
      <c r="F167" s="17" t="s">
        <v>154</v>
      </c>
      <c r="G167" s="17">
        <v>7.9589881123200007E-3</v>
      </c>
      <c r="H167" s="17">
        <v>7.3707983999999997E-3</v>
      </c>
      <c r="I167" s="17" t="s">
        <v>115</v>
      </c>
    </row>
    <row r="168" spans="1:9" x14ac:dyDescent="0.3">
      <c r="A168" s="17" t="s">
        <v>195</v>
      </c>
      <c r="B168" s="17" t="s">
        <v>64</v>
      </c>
      <c r="C168" s="17" t="s">
        <v>113</v>
      </c>
      <c r="D168" s="17" t="s">
        <v>114</v>
      </c>
      <c r="E168" s="17" t="s">
        <v>101</v>
      </c>
      <c r="F168" s="17" t="s">
        <v>157</v>
      </c>
      <c r="G168" s="17">
        <v>527.23686731370401</v>
      </c>
      <c r="H168" s="17">
        <v>488.2727054211</v>
      </c>
      <c r="I168" s="17" t="s">
        <v>115</v>
      </c>
    </row>
    <row r="169" spans="1:9" x14ac:dyDescent="0.3">
      <c r="A169" s="17" t="s">
        <v>195</v>
      </c>
      <c r="B169" s="17" t="s">
        <v>64</v>
      </c>
      <c r="C169" s="17" t="s">
        <v>113</v>
      </c>
      <c r="D169" s="17" t="s">
        <v>114</v>
      </c>
      <c r="E169" s="17" t="s">
        <v>101</v>
      </c>
      <c r="F169" s="17" t="s">
        <v>158</v>
      </c>
      <c r="G169" s="17">
        <v>105.42059613161101</v>
      </c>
      <c r="H169" s="17">
        <v>97.629742666799999</v>
      </c>
      <c r="I169" s="17" t="s">
        <v>115</v>
      </c>
    </row>
    <row r="170" spans="1:9" x14ac:dyDescent="0.3">
      <c r="A170" s="17" t="s">
        <v>195</v>
      </c>
      <c r="B170" s="17" t="s">
        <v>64</v>
      </c>
      <c r="C170" s="17" t="s">
        <v>113</v>
      </c>
      <c r="D170" s="17" t="s">
        <v>114</v>
      </c>
      <c r="E170" s="17" t="s">
        <v>101</v>
      </c>
      <c r="F170" s="17" t="s">
        <v>160</v>
      </c>
      <c r="G170" s="17">
        <v>99.522437578636797</v>
      </c>
      <c r="H170" s="17">
        <v>92.167473216000005</v>
      </c>
      <c r="I170" s="17" t="s">
        <v>115</v>
      </c>
    </row>
    <row r="171" spans="1:9" x14ac:dyDescent="0.3">
      <c r="A171" s="17" t="s">
        <v>195</v>
      </c>
      <c r="B171" s="17" t="s">
        <v>64</v>
      </c>
      <c r="C171" s="17" t="s">
        <v>113</v>
      </c>
      <c r="D171" s="17" t="s">
        <v>114</v>
      </c>
      <c r="E171" s="17" t="s">
        <v>102</v>
      </c>
      <c r="F171" s="17" t="s">
        <v>165</v>
      </c>
      <c r="G171" s="17">
        <v>12.3615504</v>
      </c>
      <c r="H171" s="17">
        <v>11.448</v>
      </c>
      <c r="I171" s="17" t="s">
        <v>115</v>
      </c>
    </row>
    <row r="172" spans="1:9" x14ac:dyDescent="0.3">
      <c r="A172" s="17" t="s">
        <v>195</v>
      </c>
      <c r="B172" s="17" t="s">
        <v>64</v>
      </c>
      <c r="C172" s="17" t="s">
        <v>113</v>
      </c>
      <c r="D172" s="17" t="s">
        <v>114</v>
      </c>
      <c r="E172" s="17" t="s">
        <v>102</v>
      </c>
      <c r="F172" s="17" t="s">
        <v>166</v>
      </c>
      <c r="G172" s="17">
        <v>94.966103149833302</v>
      </c>
      <c r="H172" s="17">
        <v>87.947863631999695</v>
      </c>
      <c r="I172" s="17" t="s">
        <v>115</v>
      </c>
    </row>
    <row r="173" spans="1:9" x14ac:dyDescent="0.3">
      <c r="A173" s="17" t="s">
        <v>195</v>
      </c>
      <c r="B173" s="17" t="s">
        <v>64</v>
      </c>
      <c r="C173" s="17" t="s">
        <v>113</v>
      </c>
      <c r="D173" s="17" t="s">
        <v>114</v>
      </c>
      <c r="E173" s="17" t="s">
        <v>103</v>
      </c>
      <c r="F173" s="17" t="s">
        <v>103</v>
      </c>
      <c r="G173" s="17">
        <v>30.741906</v>
      </c>
      <c r="H173" s="17">
        <v>28.47</v>
      </c>
      <c r="I173" s="17" t="s">
        <v>115</v>
      </c>
    </row>
    <row r="174" spans="1:9" x14ac:dyDescent="0.3">
      <c r="A174" s="17" t="s">
        <v>195</v>
      </c>
      <c r="B174" s="17" t="s">
        <v>65</v>
      </c>
      <c r="C174" s="17" t="s">
        <v>113</v>
      </c>
      <c r="D174" s="17" t="s">
        <v>114</v>
      </c>
      <c r="E174" s="17" t="s">
        <v>71</v>
      </c>
      <c r="F174" s="17" t="s">
        <v>71</v>
      </c>
      <c r="G174" s="17">
        <v>24.974629199999999</v>
      </c>
      <c r="H174" s="17">
        <v>21.948</v>
      </c>
      <c r="I174" s="17" t="s">
        <v>115</v>
      </c>
    </row>
    <row r="175" spans="1:9" x14ac:dyDescent="0.3">
      <c r="A175" s="17" t="s">
        <v>195</v>
      </c>
      <c r="B175" s="17" t="s">
        <v>65</v>
      </c>
      <c r="C175" s="17" t="s">
        <v>113</v>
      </c>
      <c r="D175" s="17" t="s">
        <v>114</v>
      </c>
      <c r="E175" s="17" t="s">
        <v>72</v>
      </c>
      <c r="F175" s="17" t="s">
        <v>116</v>
      </c>
      <c r="G175" s="17">
        <v>188.90132248800001</v>
      </c>
      <c r="H175" s="17">
        <v>166.00872000000001</v>
      </c>
      <c r="I175" s="17" t="s">
        <v>115</v>
      </c>
    </row>
    <row r="176" spans="1:9" x14ac:dyDescent="0.3">
      <c r="A176" s="17" t="s">
        <v>195</v>
      </c>
      <c r="B176" s="17" t="s">
        <v>65</v>
      </c>
      <c r="C176" s="17" t="s">
        <v>113</v>
      </c>
      <c r="D176" s="17" t="s">
        <v>114</v>
      </c>
      <c r="E176" s="17" t="s">
        <v>73</v>
      </c>
      <c r="F176" s="17" t="s">
        <v>117</v>
      </c>
      <c r="G176" s="17">
        <v>0</v>
      </c>
      <c r="H176" s="17">
        <v>0</v>
      </c>
      <c r="I176" s="17" t="s">
        <v>115</v>
      </c>
    </row>
    <row r="177" spans="1:9" x14ac:dyDescent="0.3">
      <c r="A177" s="17" t="s">
        <v>195</v>
      </c>
      <c r="B177" s="17" t="s">
        <v>65</v>
      </c>
      <c r="C177" s="17" t="s">
        <v>113</v>
      </c>
      <c r="D177" s="17" t="s">
        <v>114</v>
      </c>
      <c r="E177" s="17" t="s">
        <v>73</v>
      </c>
      <c r="F177" s="17" t="s">
        <v>118</v>
      </c>
      <c r="G177" s="17">
        <v>678.97127520000004</v>
      </c>
      <c r="H177" s="17">
        <v>596.68799999999999</v>
      </c>
      <c r="I177" s="17" t="s">
        <v>115</v>
      </c>
    </row>
    <row r="178" spans="1:9" x14ac:dyDescent="0.3">
      <c r="A178" s="17" t="s">
        <v>195</v>
      </c>
      <c r="B178" s="17" t="s">
        <v>65</v>
      </c>
      <c r="C178" s="17" t="s">
        <v>113</v>
      </c>
      <c r="D178" s="17" t="s">
        <v>114</v>
      </c>
      <c r="E178" s="17" t="s">
        <v>73</v>
      </c>
      <c r="F178" s="17" t="s">
        <v>119</v>
      </c>
      <c r="G178" s="17">
        <v>94.818931199999994</v>
      </c>
      <c r="H178" s="17">
        <v>83.328000000000003</v>
      </c>
      <c r="I178" s="17" t="s">
        <v>115</v>
      </c>
    </row>
    <row r="179" spans="1:9" x14ac:dyDescent="0.3">
      <c r="A179" s="17" t="s">
        <v>195</v>
      </c>
      <c r="B179" s="17" t="s">
        <v>65</v>
      </c>
      <c r="C179" s="17" t="s">
        <v>113</v>
      </c>
      <c r="D179" s="17" t="s">
        <v>114</v>
      </c>
      <c r="E179" s="17" t="s">
        <v>73</v>
      </c>
      <c r="F179" s="17" t="s">
        <v>120</v>
      </c>
      <c r="G179" s="17">
        <v>6.1546485797260297</v>
      </c>
      <c r="H179" s="17">
        <v>5.4087780821917804</v>
      </c>
      <c r="I179" s="17" t="s">
        <v>115</v>
      </c>
    </row>
    <row r="180" spans="1:9" x14ac:dyDescent="0.3">
      <c r="A180" s="17" t="s">
        <v>195</v>
      </c>
      <c r="B180" s="17" t="s">
        <v>65</v>
      </c>
      <c r="C180" s="17" t="s">
        <v>113</v>
      </c>
      <c r="D180" s="17" t="s">
        <v>114</v>
      </c>
      <c r="E180" s="17" t="s">
        <v>80</v>
      </c>
      <c r="F180" s="17" t="s">
        <v>80</v>
      </c>
      <c r="G180" s="17">
        <v>0.34680656303640001</v>
      </c>
      <c r="H180" s="17">
        <v>0.30477771599999998</v>
      </c>
      <c r="I180" s="17" t="s">
        <v>115</v>
      </c>
    </row>
    <row r="181" spans="1:9" x14ac:dyDescent="0.3">
      <c r="A181" s="17" t="s">
        <v>195</v>
      </c>
      <c r="B181" s="17" t="s">
        <v>65</v>
      </c>
      <c r="C181" s="17" t="s">
        <v>113</v>
      </c>
      <c r="D181" s="17" t="s">
        <v>114</v>
      </c>
      <c r="E181" s="17" t="s">
        <v>77</v>
      </c>
      <c r="F181" s="17" t="s">
        <v>77</v>
      </c>
      <c r="G181" s="17">
        <v>1.6784025E-4</v>
      </c>
      <c r="H181" s="17">
        <v>1.4750000000000001E-4</v>
      </c>
      <c r="I181" s="17" t="s">
        <v>115</v>
      </c>
    </row>
    <row r="182" spans="1:9" x14ac:dyDescent="0.3">
      <c r="A182" s="17" t="s">
        <v>195</v>
      </c>
      <c r="B182" s="17" t="s">
        <v>65</v>
      </c>
      <c r="C182" s="17" t="s">
        <v>113</v>
      </c>
      <c r="D182" s="17" t="s">
        <v>114</v>
      </c>
      <c r="E182" s="17" t="s">
        <v>78</v>
      </c>
      <c r="F182" s="17" t="s">
        <v>123</v>
      </c>
      <c r="G182" s="17">
        <v>2.9421542399999998</v>
      </c>
      <c r="H182" s="17">
        <v>2.5855999999999999</v>
      </c>
      <c r="I182" s="17" t="s">
        <v>115</v>
      </c>
    </row>
    <row r="183" spans="1:9" x14ac:dyDescent="0.3">
      <c r="A183" s="17" t="s">
        <v>195</v>
      </c>
      <c r="B183" s="17" t="s">
        <v>65</v>
      </c>
      <c r="C183" s="17" t="s">
        <v>113</v>
      </c>
      <c r="D183" s="17" t="s">
        <v>114</v>
      </c>
      <c r="E183" s="17" t="s">
        <v>78</v>
      </c>
      <c r="F183" s="17" t="s">
        <v>125</v>
      </c>
      <c r="G183" s="17">
        <v>202.84478496</v>
      </c>
      <c r="H183" s="17">
        <v>178.26240000000001</v>
      </c>
      <c r="I183" s="17" t="s">
        <v>115</v>
      </c>
    </row>
    <row r="184" spans="1:9" x14ac:dyDescent="0.3">
      <c r="A184" s="17" t="s">
        <v>195</v>
      </c>
      <c r="B184" s="17" t="s">
        <v>65</v>
      </c>
      <c r="C184" s="17" t="s">
        <v>113</v>
      </c>
      <c r="D184" s="17" t="s">
        <v>114</v>
      </c>
      <c r="E184" s="17" t="s">
        <v>81</v>
      </c>
      <c r="F184" s="17" t="s">
        <v>81</v>
      </c>
      <c r="G184" s="17">
        <v>45.573409317317498</v>
      </c>
      <c r="H184" s="17">
        <v>40.050451988151401</v>
      </c>
      <c r="I184" s="17" t="s">
        <v>115</v>
      </c>
    </row>
    <row r="185" spans="1:9" x14ac:dyDescent="0.3">
      <c r="A185" s="17" t="s">
        <v>195</v>
      </c>
      <c r="B185" s="17" t="s">
        <v>65</v>
      </c>
      <c r="C185" s="17" t="s">
        <v>113</v>
      </c>
      <c r="D185" s="17" t="s">
        <v>114</v>
      </c>
      <c r="E185" s="17" t="s">
        <v>83</v>
      </c>
      <c r="F185" s="17" t="s">
        <v>127</v>
      </c>
      <c r="G185" s="17">
        <v>0.110344095323029</v>
      </c>
      <c r="H185" s="17">
        <v>9.6971698148369201E-2</v>
      </c>
      <c r="I185" s="17" t="s">
        <v>115</v>
      </c>
    </row>
    <row r="186" spans="1:9" x14ac:dyDescent="0.3">
      <c r="A186" s="17" t="s">
        <v>195</v>
      </c>
      <c r="B186" s="17" t="s">
        <v>65</v>
      </c>
      <c r="C186" s="17" t="s">
        <v>113</v>
      </c>
      <c r="D186" s="17" t="s">
        <v>114</v>
      </c>
      <c r="E186" s="17" t="s">
        <v>83</v>
      </c>
      <c r="F186" s="17" t="s">
        <v>128</v>
      </c>
      <c r="G186" s="17">
        <v>0.39897808739313501</v>
      </c>
      <c r="H186" s="17">
        <v>0.35062666964859401</v>
      </c>
      <c r="I186" s="17" t="s">
        <v>115</v>
      </c>
    </row>
    <row r="187" spans="1:9" x14ac:dyDescent="0.3">
      <c r="A187" s="17" t="s">
        <v>195</v>
      </c>
      <c r="B187" s="17" t="s">
        <v>65</v>
      </c>
      <c r="C187" s="17" t="s">
        <v>113</v>
      </c>
      <c r="D187" s="17" t="s">
        <v>114</v>
      </c>
      <c r="E187" s="17" t="s">
        <v>85</v>
      </c>
      <c r="F187" s="17" t="s">
        <v>85</v>
      </c>
      <c r="G187" s="17">
        <v>31.2302945227745</v>
      </c>
      <c r="H187" s="17">
        <v>27.445552792665801</v>
      </c>
      <c r="I187" s="17" t="s">
        <v>115</v>
      </c>
    </row>
    <row r="188" spans="1:9" x14ac:dyDescent="0.3">
      <c r="A188" s="17" t="s">
        <v>195</v>
      </c>
      <c r="B188" s="17" t="s">
        <v>65</v>
      </c>
      <c r="C188" s="17" t="s">
        <v>113</v>
      </c>
      <c r="D188" s="17" t="s">
        <v>114</v>
      </c>
      <c r="E188" s="17" t="s">
        <v>87</v>
      </c>
      <c r="F188" s="17" t="s">
        <v>87</v>
      </c>
      <c r="G188" s="17">
        <v>1.1897723093999999E-3</v>
      </c>
      <c r="H188" s="17">
        <v>1.045586E-3</v>
      </c>
      <c r="I188" s="17" t="s">
        <v>115</v>
      </c>
    </row>
    <row r="189" spans="1:9" x14ac:dyDescent="0.3">
      <c r="A189" s="17" t="s">
        <v>195</v>
      </c>
      <c r="B189" s="17" t="s">
        <v>65</v>
      </c>
      <c r="C189" s="17" t="s">
        <v>113</v>
      </c>
      <c r="D189" s="17" t="s">
        <v>114</v>
      </c>
      <c r="E189" s="17" t="s">
        <v>88</v>
      </c>
      <c r="F189" s="17" t="s">
        <v>88</v>
      </c>
      <c r="G189" s="17">
        <v>13.46090184</v>
      </c>
      <c r="H189" s="17">
        <v>11.829599999999999</v>
      </c>
      <c r="I189" s="17" t="s">
        <v>115</v>
      </c>
    </row>
    <row r="190" spans="1:9" x14ac:dyDescent="0.3">
      <c r="A190" s="17" t="s">
        <v>195</v>
      </c>
      <c r="B190" s="17" t="s">
        <v>65</v>
      </c>
      <c r="C190" s="17" t="s">
        <v>113</v>
      </c>
      <c r="D190" s="17" t="s">
        <v>114</v>
      </c>
      <c r="E190" s="17" t="s">
        <v>89</v>
      </c>
      <c r="F190" s="17" t="s">
        <v>89</v>
      </c>
      <c r="G190" s="17">
        <v>59.093990782784999</v>
      </c>
      <c r="H190" s="17">
        <v>51.932499149999998</v>
      </c>
      <c r="I190" s="17" t="s">
        <v>115</v>
      </c>
    </row>
    <row r="191" spans="1:9" x14ac:dyDescent="0.3">
      <c r="A191" s="17" t="s">
        <v>195</v>
      </c>
      <c r="B191" s="17" t="s">
        <v>65</v>
      </c>
      <c r="C191" s="17" t="s">
        <v>113</v>
      </c>
      <c r="D191" s="17" t="s">
        <v>114</v>
      </c>
      <c r="E191" s="17" t="s">
        <v>90</v>
      </c>
      <c r="F191" s="17" t="s">
        <v>90</v>
      </c>
      <c r="G191" s="17">
        <v>11.369304688961099</v>
      </c>
      <c r="H191" s="17">
        <v>9.99147964580464</v>
      </c>
      <c r="I191" s="17" t="s">
        <v>115</v>
      </c>
    </row>
    <row r="192" spans="1:9" x14ac:dyDescent="0.3">
      <c r="A192" s="17" t="s">
        <v>195</v>
      </c>
      <c r="B192" s="17" t="s">
        <v>65</v>
      </c>
      <c r="C192" s="17" t="s">
        <v>113</v>
      </c>
      <c r="D192" s="17" t="s">
        <v>114</v>
      </c>
      <c r="E192" s="17" t="s">
        <v>91</v>
      </c>
      <c r="F192" s="17" t="s">
        <v>91</v>
      </c>
      <c r="G192" s="17">
        <v>11.352231195680799</v>
      </c>
      <c r="H192" s="17">
        <v>9.9764752576507192</v>
      </c>
      <c r="I192" s="17" t="s">
        <v>115</v>
      </c>
    </row>
    <row r="193" spans="1:9" x14ac:dyDescent="0.3">
      <c r="A193" s="17" t="s">
        <v>195</v>
      </c>
      <c r="B193" s="17" t="s">
        <v>65</v>
      </c>
      <c r="C193" s="17" t="s">
        <v>113</v>
      </c>
      <c r="D193" s="17" t="s">
        <v>114</v>
      </c>
      <c r="E193" s="17" t="s">
        <v>93</v>
      </c>
      <c r="F193" s="17" t="s">
        <v>130</v>
      </c>
      <c r="G193" s="17">
        <v>75.803113344600007</v>
      </c>
      <c r="H193" s="17">
        <v>66.616674000000003</v>
      </c>
      <c r="I193" s="17" t="s">
        <v>115</v>
      </c>
    </row>
    <row r="194" spans="1:9" x14ac:dyDescent="0.3">
      <c r="A194" s="17" t="s">
        <v>195</v>
      </c>
      <c r="B194" s="17" t="s">
        <v>65</v>
      </c>
      <c r="C194" s="17" t="s">
        <v>113</v>
      </c>
      <c r="D194" s="17" t="s">
        <v>114</v>
      </c>
      <c r="E194" s="17" t="s">
        <v>93</v>
      </c>
      <c r="F194" s="17" t="s">
        <v>131</v>
      </c>
      <c r="G194" s="17">
        <v>98.580601020000003</v>
      </c>
      <c r="H194" s="17">
        <v>86.633799999999994</v>
      </c>
      <c r="I194" s="17" t="s">
        <v>115</v>
      </c>
    </row>
    <row r="195" spans="1:9" x14ac:dyDescent="0.3">
      <c r="A195" s="17" t="s">
        <v>195</v>
      </c>
      <c r="B195" s="17" t="s">
        <v>65</v>
      </c>
      <c r="C195" s="17" t="s">
        <v>113</v>
      </c>
      <c r="D195" s="17" t="s">
        <v>114</v>
      </c>
      <c r="E195" s="17" t="s">
        <v>93</v>
      </c>
      <c r="F195" s="17" t="s">
        <v>132</v>
      </c>
      <c r="G195" s="17">
        <v>0.3394856376</v>
      </c>
      <c r="H195" s="17">
        <v>0.298344</v>
      </c>
      <c r="I195" s="17" t="s">
        <v>115</v>
      </c>
    </row>
    <row r="196" spans="1:9" x14ac:dyDescent="0.3">
      <c r="A196" s="17" t="s">
        <v>195</v>
      </c>
      <c r="B196" s="17" t="s">
        <v>65</v>
      </c>
      <c r="C196" s="17" t="s">
        <v>113</v>
      </c>
      <c r="D196" s="17" t="s">
        <v>114</v>
      </c>
      <c r="E196" s="17" t="s">
        <v>93</v>
      </c>
      <c r="F196" s="17" t="s">
        <v>133</v>
      </c>
      <c r="G196" s="17">
        <v>10.043343991935499</v>
      </c>
      <c r="H196" s="17">
        <v>8.8262096774193601</v>
      </c>
      <c r="I196" s="17" t="s">
        <v>115</v>
      </c>
    </row>
    <row r="197" spans="1:9" x14ac:dyDescent="0.3">
      <c r="A197" s="17" t="s">
        <v>195</v>
      </c>
      <c r="B197" s="17" t="s">
        <v>65</v>
      </c>
      <c r="C197" s="17" t="s">
        <v>113</v>
      </c>
      <c r="D197" s="17" t="s">
        <v>114</v>
      </c>
      <c r="E197" s="17" t="s">
        <v>93</v>
      </c>
      <c r="F197" s="17" t="s">
        <v>134</v>
      </c>
      <c r="G197" s="17">
        <v>3.4401755192999999</v>
      </c>
      <c r="H197" s="17">
        <v>3.0232670000000001</v>
      </c>
      <c r="I197" s="17" t="s">
        <v>115</v>
      </c>
    </row>
    <row r="198" spans="1:9" x14ac:dyDescent="0.3">
      <c r="A198" s="17" t="s">
        <v>195</v>
      </c>
      <c r="B198" s="17" t="s">
        <v>65</v>
      </c>
      <c r="C198" s="17" t="s">
        <v>113</v>
      </c>
      <c r="D198" s="17" t="s">
        <v>114</v>
      </c>
      <c r="E198" s="17" t="s">
        <v>93</v>
      </c>
      <c r="F198" s="17" t="s">
        <v>136</v>
      </c>
      <c r="G198" s="17">
        <v>24.111099648</v>
      </c>
      <c r="H198" s="17">
        <v>21.189119999999999</v>
      </c>
      <c r="I198" s="17" t="s">
        <v>115</v>
      </c>
    </row>
    <row r="199" spans="1:9" x14ac:dyDescent="0.3">
      <c r="A199" s="17" t="s">
        <v>195</v>
      </c>
      <c r="B199" s="17" t="s">
        <v>65</v>
      </c>
      <c r="C199" s="17" t="s">
        <v>113</v>
      </c>
      <c r="D199" s="17" t="s">
        <v>114</v>
      </c>
      <c r="E199" s="17" t="s">
        <v>93</v>
      </c>
      <c r="F199" s="17" t="s">
        <v>137</v>
      </c>
      <c r="G199" s="17">
        <v>34.884588921000002</v>
      </c>
      <c r="H199" s="17">
        <v>30.65699</v>
      </c>
      <c r="I199" s="17" t="s">
        <v>115</v>
      </c>
    </row>
    <row r="200" spans="1:9" x14ac:dyDescent="0.3">
      <c r="A200" s="17" t="s">
        <v>195</v>
      </c>
      <c r="B200" s="17" t="s">
        <v>65</v>
      </c>
      <c r="C200" s="17" t="s">
        <v>113</v>
      </c>
      <c r="D200" s="17" t="s">
        <v>114</v>
      </c>
      <c r="E200" s="17" t="s">
        <v>96</v>
      </c>
      <c r="F200" s="17" t="s">
        <v>96</v>
      </c>
      <c r="G200" s="17">
        <v>2.9798870039999999E-4</v>
      </c>
      <c r="H200" s="17">
        <v>2.6187600000000002E-4</v>
      </c>
      <c r="I200" s="17" t="s">
        <v>115</v>
      </c>
    </row>
    <row r="201" spans="1:9" x14ac:dyDescent="0.3">
      <c r="A201" s="17" t="s">
        <v>195</v>
      </c>
      <c r="B201" s="17" t="s">
        <v>65</v>
      </c>
      <c r="C201" s="17" t="s">
        <v>113</v>
      </c>
      <c r="D201" s="17" t="s">
        <v>114</v>
      </c>
      <c r="E201" s="17" t="s">
        <v>99</v>
      </c>
      <c r="F201" s="17" t="s">
        <v>142</v>
      </c>
      <c r="G201" s="17">
        <v>3.8651652387000001E-3</v>
      </c>
      <c r="H201" s="17">
        <v>3.3967530000000002E-3</v>
      </c>
      <c r="I201" s="17" t="s">
        <v>115</v>
      </c>
    </row>
    <row r="202" spans="1:9" x14ac:dyDescent="0.3">
      <c r="A202" s="17" t="s">
        <v>195</v>
      </c>
      <c r="B202" s="17" t="s">
        <v>65</v>
      </c>
      <c r="C202" s="17" t="s">
        <v>113</v>
      </c>
      <c r="D202" s="17" t="s">
        <v>114</v>
      </c>
      <c r="E202" s="17" t="s">
        <v>99</v>
      </c>
      <c r="F202" s="17" t="s">
        <v>143</v>
      </c>
      <c r="G202" s="17">
        <v>9.1926160263352799</v>
      </c>
      <c r="H202" s="17">
        <v>8.0785798631999999</v>
      </c>
      <c r="I202" s="17" t="s">
        <v>115</v>
      </c>
    </row>
    <row r="203" spans="1:9" x14ac:dyDescent="0.3">
      <c r="A203" s="17" t="s">
        <v>195</v>
      </c>
      <c r="B203" s="17" t="s">
        <v>65</v>
      </c>
      <c r="C203" s="17" t="s">
        <v>113</v>
      </c>
      <c r="D203" s="17" t="s">
        <v>114</v>
      </c>
      <c r="E203" s="17" t="s">
        <v>99</v>
      </c>
      <c r="F203" s="17" t="s">
        <v>144</v>
      </c>
      <c r="G203" s="17">
        <v>4.0117574819999998E-4</v>
      </c>
      <c r="H203" s="17">
        <v>3.5255799999999999E-4</v>
      </c>
      <c r="I203" s="17" t="s">
        <v>115</v>
      </c>
    </row>
    <row r="204" spans="1:9" x14ac:dyDescent="0.3">
      <c r="A204" s="17" t="s">
        <v>195</v>
      </c>
      <c r="B204" s="17" t="s">
        <v>65</v>
      </c>
      <c r="C204" s="17" t="s">
        <v>113</v>
      </c>
      <c r="D204" s="17" t="s">
        <v>114</v>
      </c>
      <c r="E204" s="17" t="s">
        <v>99</v>
      </c>
      <c r="F204" s="17" t="s">
        <v>147</v>
      </c>
      <c r="G204" s="17">
        <v>3.7692983016000001E-4</v>
      </c>
      <c r="H204" s="17">
        <v>3.3125039999999998E-4</v>
      </c>
      <c r="I204" s="17" t="s">
        <v>115</v>
      </c>
    </row>
    <row r="205" spans="1:9" x14ac:dyDescent="0.3">
      <c r="A205" s="17" t="s">
        <v>195</v>
      </c>
      <c r="B205" s="17" t="s">
        <v>65</v>
      </c>
      <c r="C205" s="17" t="s">
        <v>113</v>
      </c>
      <c r="D205" s="17" t="s">
        <v>114</v>
      </c>
      <c r="E205" s="17" t="s">
        <v>99</v>
      </c>
      <c r="F205" s="17" t="s">
        <v>148</v>
      </c>
      <c r="G205" s="17">
        <v>68.576843801088003</v>
      </c>
      <c r="H205" s="17">
        <v>60.266142719999998</v>
      </c>
      <c r="I205" s="17" t="s">
        <v>115</v>
      </c>
    </row>
    <row r="206" spans="1:9" x14ac:dyDescent="0.3">
      <c r="A206" s="17" t="s">
        <v>195</v>
      </c>
      <c r="B206" s="17" t="s">
        <v>65</v>
      </c>
      <c r="C206" s="17" t="s">
        <v>113</v>
      </c>
      <c r="D206" s="17" t="s">
        <v>114</v>
      </c>
      <c r="E206" s="17" t="s">
        <v>99</v>
      </c>
      <c r="F206" s="17" t="s">
        <v>150</v>
      </c>
      <c r="G206" s="17">
        <v>2.7280469759999998E-4</v>
      </c>
      <c r="H206" s="17">
        <v>2.3974399999999999E-4</v>
      </c>
      <c r="I206" s="17" t="s">
        <v>115</v>
      </c>
    </row>
    <row r="207" spans="1:9" x14ac:dyDescent="0.3">
      <c r="A207" s="17" t="s">
        <v>195</v>
      </c>
      <c r="B207" s="17" t="s">
        <v>65</v>
      </c>
      <c r="C207" s="17" t="s">
        <v>113</v>
      </c>
      <c r="D207" s="17" t="s">
        <v>114</v>
      </c>
      <c r="E207" s="17" t="s">
        <v>99</v>
      </c>
      <c r="F207" s="17" t="s">
        <v>152</v>
      </c>
      <c r="G207" s="17">
        <v>5.5030484846110497</v>
      </c>
      <c r="H207" s="17">
        <v>4.8361441994999996</v>
      </c>
      <c r="I207" s="17" t="s">
        <v>115</v>
      </c>
    </row>
    <row r="208" spans="1:9" x14ac:dyDescent="0.3">
      <c r="A208" s="17" t="s">
        <v>195</v>
      </c>
      <c r="B208" s="17" t="s">
        <v>65</v>
      </c>
      <c r="C208" s="17" t="s">
        <v>113</v>
      </c>
      <c r="D208" s="17" t="s">
        <v>114</v>
      </c>
      <c r="E208" s="17" t="s">
        <v>99</v>
      </c>
      <c r="F208" s="17" t="s">
        <v>153</v>
      </c>
      <c r="G208" s="17">
        <v>0</v>
      </c>
      <c r="H208" s="17">
        <v>0</v>
      </c>
      <c r="I208" s="17" t="s">
        <v>115</v>
      </c>
    </row>
    <row r="209" spans="1:9" x14ac:dyDescent="0.3">
      <c r="A209" s="17" t="s">
        <v>195</v>
      </c>
      <c r="B209" s="17" t="s">
        <v>65</v>
      </c>
      <c r="C209" s="17" t="s">
        <v>113</v>
      </c>
      <c r="D209" s="17" t="s">
        <v>114</v>
      </c>
      <c r="E209" s="17" t="s">
        <v>99</v>
      </c>
      <c r="F209" s="17" t="s">
        <v>154</v>
      </c>
      <c r="G209" s="17">
        <v>7.8545637822299997E-3</v>
      </c>
      <c r="H209" s="17">
        <v>6.9026837000000004E-3</v>
      </c>
      <c r="I209" s="17" t="s">
        <v>115</v>
      </c>
    </row>
    <row r="210" spans="1:9" x14ac:dyDescent="0.3">
      <c r="A210" s="17" t="s">
        <v>195</v>
      </c>
      <c r="B210" s="17" t="s">
        <v>65</v>
      </c>
      <c r="C210" s="17" t="s">
        <v>113</v>
      </c>
      <c r="D210" s="17" t="s">
        <v>114</v>
      </c>
      <c r="E210" s="17" t="s">
        <v>101</v>
      </c>
      <c r="F210" s="17" t="s">
        <v>157</v>
      </c>
      <c r="G210" s="17">
        <v>573.80521333850697</v>
      </c>
      <c r="H210" s="17">
        <v>504.2668189986</v>
      </c>
      <c r="I210" s="17" t="s">
        <v>115</v>
      </c>
    </row>
    <row r="211" spans="1:9" x14ac:dyDescent="0.3">
      <c r="A211" s="17" t="s">
        <v>195</v>
      </c>
      <c r="B211" s="17" t="s">
        <v>65</v>
      </c>
      <c r="C211" s="17" t="s">
        <v>113</v>
      </c>
      <c r="D211" s="17" t="s">
        <v>114</v>
      </c>
      <c r="E211" s="17" t="s">
        <v>101</v>
      </c>
      <c r="F211" s="17" t="s">
        <v>158</v>
      </c>
      <c r="G211" s="17">
        <v>114.79863456</v>
      </c>
      <c r="H211" s="17">
        <v>100.88639999999999</v>
      </c>
      <c r="I211" s="17" t="s">
        <v>115</v>
      </c>
    </row>
    <row r="212" spans="1:9" x14ac:dyDescent="0.3">
      <c r="A212" s="17" t="s">
        <v>195</v>
      </c>
      <c r="B212" s="17" t="s">
        <v>65</v>
      </c>
      <c r="C212" s="17" t="s">
        <v>113</v>
      </c>
      <c r="D212" s="17" t="s">
        <v>114</v>
      </c>
      <c r="E212" s="17" t="s">
        <v>101</v>
      </c>
      <c r="F212" s="17" t="s">
        <v>160</v>
      </c>
      <c r="G212" s="17">
        <v>108.348732539078</v>
      </c>
      <c r="H212" s="17">
        <v>95.218149695999998</v>
      </c>
      <c r="I212" s="17" t="s">
        <v>115</v>
      </c>
    </row>
    <row r="213" spans="1:9" x14ac:dyDescent="0.3">
      <c r="A213" s="17" t="s">
        <v>195</v>
      </c>
      <c r="B213" s="17" t="s">
        <v>65</v>
      </c>
      <c r="C213" s="17" t="s">
        <v>113</v>
      </c>
      <c r="D213" s="17" t="s">
        <v>114</v>
      </c>
      <c r="E213" s="17" t="s">
        <v>102</v>
      </c>
      <c r="F213" s="17" t="s">
        <v>165</v>
      </c>
      <c r="G213" s="17">
        <v>13.46090184</v>
      </c>
      <c r="H213" s="17">
        <v>11.829599999999999</v>
      </c>
      <c r="I213" s="17" t="s">
        <v>115</v>
      </c>
    </row>
    <row r="214" spans="1:9" x14ac:dyDescent="0.3">
      <c r="A214" s="17" t="s">
        <v>195</v>
      </c>
      <c r="B214" s="17" t="s">
        <v>65</v>
      </c>
      <c r="C214" s="17" t="s">
        <v>113</v>
      </c>
      <c r="D214" s="17" t="s">
        <v>114</v>
      </c>
      <c r="E214" s="17" t="s">
        <v>102</v>
      </c>
      <c r="F214" s="17" t="s">
        <v>166</v>
      </c>
      <c r="G214" s="17">
        <v>104.16231254875299</v>
      </c>
      <c r="H214" s="17">
        <v>91.539074214564295</v>
      </c>
      <c r="I214" s="17" t="s">
        <v>115</v>
      </c>
    </row>
    <row r="215" spans="1:9" x14ac:dyDescent="0.3">
      <c r="A215" s="17" t="s">
        <v>195</v>
      </c>
      <c r="B215" s="17" t="s">
        <v>65</v>
      </c>
      <c r="C215" s="17" t="s">
        <v>113</v>
      </c>
      <c r="D215" s="17" t="s">
        <v>114</v>
      </c>
      <c r="E215" s="17" t="s">
        <v>103</v>
      </c>
      <c r="F215" s="17" t="s">
        <v>103</v>
      </c>
      <c r="G215" s="17">
        <v>33.475880099999998</v>
      </c>
      <c r="H215" s="17">
        <v>29.419</v>
      </c>
      <c r="I215" s="17" t="s">
        <v>115</v>
      </c>
    </row>
    <row r="216" spans="1:9" x14ac:dyDescent="0.3">
      <c r="A216" s="17" t="s">
        <v>195</v>
      </c>
      <c r="B216" s="17" t="s">
        <v>66</v>
      </c>
      <c r="C216" s="17" t="s">
        <v>113</v>
      </c>
      <c r="D216" s="17" t="s">
        <v>114</v>
      </c>
      <c r="E216" s="17" t="s">
        <v>71</v>
      </c>
      <c r="F216" s="17" t="s">
        <v>71</v>
      </c>
      <c r="G216" s="17">
        <v>24.005448000000001</v>
      </c>
      <c r="H216" s="17">
        <v>21.24</v>
      </c>
      <c r="I216" s="17" t="s">
        <v>115</v>
      </c>
    </row>
    <row r="217" spans="1:9" x14ac:dyDescent="0.3">
      <c r="A217" s="17" t="s">
        <v>195</v>
      </c>
      <c r="B217" s="17" t="s">
        <v>66</v>
      </c>
      <c r="C217" s="17" t="s">
        <v>113</v>
      </c>
      <c r="D217" s="17" t="s">
        <v>114</v>
      </c>
      <c r="E217" s="17" t="s">
        <v>72</v>
      </c>
      <c r="F217" s="17" t="s">
        <v>116</v>
      </c>
      <c r="G217" s="17">
        <v>181.532858996111</v>
      </c>
      <c r="H217" s="17">
        <v>160.62011944444399</v>
      </c>
      <c r="I217" s="17" t="s">
        <v>115</v>
      </c>
    </row>
    <row r="218" spans="1:9" x14ac:dyDescent="0.3">
      <c r="A218" s="17" t="s">
        <v>195</v>
      </c>
      <c r="B218" s="17" t="s">
        <v>66</v>
      </c>
      <c r="C218" s="17" t="s">
        <v>113</v>
      </c>
      <c r="D218" s="17" t="s">
        <v>114</v>
      </c>
      <c r="E218" s="17" t="s">
        <v>73</v>
      </c>
      <c r="F218" s="17" t="s">
        <v>117</v>
      </c>
      <c r="G218" s="17">
        <v>0</v>
      </c>
      <c r="H218" s="17">
        <v>0</v>
      </c>
      <c r="I218" s="17" t="s">
        <v>115</v>
      </c>
    </row>
    <row r="219" spans="1:9" x14ac:dyDescent="0.3">
      <c r="A219" s="17" t="s">
        <v>195</v>
      </c>
      <c r="B219" s="17" t="s">
        <v>66</v>
      </c>
      <c r="C219" s="17" t="s">
        <v>113</v>
      </c>
      <c r="D219" s="17" t="s">
        <v>114</v>
      </c>
      <c r="E219" s="17" t="s">
        <v>73</v>
      </c>
      <c r="F219" s="17" t="s">
        <v>118</v>
      </c>
      <c r="G219" s="17">
        <v>652.62268800000004</v>
      </c>
      <c r="H219" s="17">
        <v>577.44000000000005</v>
      </c>
      <c r="I219" s="17" t="s">
        <v>115</v>
      </c>
    </row>
    <row r="220" spans="1:9" x14ac:dyDescent="0.3">
      <c r="A220" s="17" t="s">
        <v>195</v>
      </c>
      <c r="B220" s="17" t="s">
        <v>66</v>
      </c>
      <c r="C220" s="17" t="s">
        <v>113</v>
      </c>
      <c r="D220" s="17" t="s">
        <v>114</v>
      </c>
      <c r="E220" s="17" t="s">
        <v>73</v>
      </c>
      <c r="F220" s="17" t="s">
        <v>119</v>
      </c>
      <c r="G220" s="17">
        <v>91.139328000000006</v>
      </c>
      <c r="H220" s="17">
        <v>80.64</v>
      </c>
      <c r="I220" s="17" t="s">
        <v>115</v>
      </c>
    </row>
    <row r="221" spans="1:9" x14ac:dyDescent="0.3">
      <c r="A221" s="17" t="s">
        <v>195</v>
      </c>
      <c r="B221" s="17" t="s">
        <v>66</v>
      </c>
      <c r="C221" s="17" t="s">
        <v>113</v>
      </c>
      <c r="D221" s="17" t="s">
        <v>114</v>
      </c>
      <c r="E221" s="17" t="s">
        <v>73</v>
      </c>
      <c r="F221" s="17" t="s">
        <v>120</v>
      </c>
      <c r="G221" s="17">
        <v>5.9075910090411003</v>
      </c>
      <c r="H221" s="17">
        <v>5.2270315068493201</v>
      </c>
      <c r="I221" s="17" t="s">
        <v>115</v>
      </c>
    </row>
    <row r="222" spans="1:9" x14ac:dyDescent="0.3">
      <c r="A222" s="17" t="s">
        <v>195</v>
      </c>
      <c r="B222" s="17" t="s">
        <v>66</v>
      </c>
      <c r="C222" s="17" t="s">
        <v>113</v>
      </c>
      <c r="D222" s="17" t="s">
        <v>114</v>
      </c>
      <c r="E222" s="17" t="s">
        <v>80</v>
      </c>
      <c r="F222" s="17" t="s">
        <v>80</v>
      </c>
      <c r="G222" s="17">
        <v>0.33664798024294201</v>
      </c>
      <c r="H222" s="17">
        <v>0.29786584696774199</v>
      </c>
      <c r="I222" s="17" t="s">
        <v>115</v>
      </c>
    </row>
    <row r="223" spans="1:9" x14ac:dyDescent="0.3">
      <c r="A223" s="17" t="s">
        <v>195</v>
      </c>
      <c r="B223" s="17" t="s">
        <v>66</v>
      </c>
      <c r="C223" s="17" t="s">
        <v>113</v>
      </c>
      <c r="D223" s="17" t="s">
        <v>114</v>
      </c>
      <c r="E223" s="17" t="s">
        <v>77</v>
      </c>
      <c r="F223" s="17" t="s">
        <v>77</v>
      </c>
      <c r="G223" s="17">
        <v>1.8004086E-4</v>
      </c>
      <c r="H223" s="17">
        <v>1.593E-4</v>
      </c>
      <c r="I223" s="17" t="s">
        <v>115</v>
      </c>
    </row>
    <row r="224" spans="1:9" x14ac:dyDescent="0.3">
      <c r="A224" s="17" t="s">
        <v>195</v>
      </c>
      <c r="B224" s="17" t="s">
        <v>66</v>
      </c>
      <c r="C224" s="17" t="s">
        <v>113</v>
      </c>
      <c r="D224" s="17" t="s">
        <v>114</v>
      </c>
      <c r="E224" s="17" t="s">
        <v>78</v>
      </c>
      <c r="F224" s="17" t="s">
        <v>123</v>
      </c>
      <c r="G224" s="17">
        <v>2.8279791483871</v>
      </c>
      <c r="H224" s="17">
        <v>2.5021935483870998</v>
      </c>
      <c r="I224" s="17" t="s">
        <v>115</v>
      </c>
    </row>
    <row r="225" spans="1:9" x14ac:dyDescent="0.3">
      <c r="A225" s="17" t="s">
        <v>195</v>
      </c>
      <c r="B225" s="17" t="s">
        <v>66</v>
      </c>
      <c r="C225" s="17" t="s">
        <v>113</v>
      </c>
      <c r="D225" s="17" t="s">
        <v>114</v>
      </c>
      <c r="E225" s="17" t="s">
        <v>78</v>
      </c>
      <c r="F225" s="17" t="s">
        <v>125</v>
      </c>
      <c r="G225" s="17">
        <v>194.9730624</v>
      </c>
      <c r="H225" s="17">
        <v>172.512</v>
      </c>
      <c r="I225" s="17" t="s">
        <v>115</v>
      </c>
    </row>
    <row r="226" spans="1:9" x14ac:dyDescent="0.3">
      <c r="A226" s="17" t="s">
        <v>195</v>
      </c>
      <c r="B226" s="17" t="s">
        <v>66</v>
      </c>
      <c r="C226" s="17" t="s">
        <v>113</v>
      </c>
      <c r="D226" s="17" t="s">
        <v>114</v>
      </c>
      <c r="E226" s="17" t="s">
        <v>81</v>
      </c>
      <c r="F226" s="17" t="s">
        <v>81</v>
      </c>
      <c r="G226" s="17">
        <v>43.792298105990803</v>
      </c>
      <c r="H226" s="17">
        <v>38.747388166687998</v>
      </c>
      <c r="I226" s="17" t="s">
        <v>115</v>
      </c>
    </row>
    <row r="227" spans="1:9" x14ac:dyDescent="0.3">
      <c r="A227" s="17" t="s">
        <v>195</v>
      </c>
      <c r="B227" s="17" t="s">
        <v>66</v>
      </c>
      <c r="C227" s="17" t="s">
        <v>113</v>
      </c>
      <c r="D227" s="17" t="s">
        <v>114</v>
      </c>
      <c r="E227" s="17" t="s">
        <v>83</v>
      </c>
      <c r="F227" s="17" t="s">
        <v>127</v>
      </c>
      <c r="G227" s="17">
        <v>0.11268623810921199</v>
      </c>
      <c r="H227" s="17">
        <v>9.9704687762530594E-2</v>
      </c>
      <c r="I227" s="17" t="s">
        <v>115</v>
      </c>
    </row>
    <row r="228" spans="1:9" x14ac:dyDescent="0.3">
      <c r="A228" s="17" t="s">
        <v>195</v>
      </c>
      <c r="B228" s="17" t="s">
        <v>66</v>
      </c>
      <c r="C228" s="17" t="s">
        <v>113</v>
      </c>
      <c r="D228" s="17" t="s">
        <v>114</v>
      </c>
      <c r="E228" s="17" t="s">
        <v>83</v>
      </c>
      <c r="F228" s="17" t="s">
        <v>128</v>
      </c>
      <c r="G228" s="17">
        <v>0.38601037790713599</v>
      </c>
      <c r="H228" s="17">
        <v>0.34154165449224499</v>
      </c>
      <c r="I228" s="17" t="s">
        <v>115</v>
      </c>
    </row>
    <row r="229" spans="1:9" x14ac:dyDescent="0.3">
      <c r="A229" s="17" t="s">
        <v>195</v>
      </c>
      <c r="B229" s="17" t="s">
        <v>66</v>
      </c>
      <c r="C229" s="17" t="s">
        <v>113</v>
      </c>
      <c r="D229" s="17" t="s">
        <v>114</v>
      </c>
      <c r="E229" s="17" t="s">
        <v>85</v>
      </c>
      <c r="F229" s="17" t="s">
        <v>85</v>
      </c>
      <c r="G229" s="17">
        <v>30.0183520318751</v>
      </c>
      <c r="H229" s="17">
        <v>26.5602123799992</v>
      </c>
      <c r="I229" s="17" t="s">
        <v>115</v>
      </c>
    </row>
    <row r="230" spans="1:9" x14ac:dyDescent="0.3">
      <c r="A230" s="17" t="s">
        <v>195</v>
      </c>
      <c r="B230" s="17" t="s">
        <v>66</v>
      </c>
      <c r="C230" s="17" t="s">
        <v>113</v>
      </c>
      <c r="D230" s="17" t="s">
        <v>114</v>
      </c>
      <c r="E230" s="17" t="s">
        <v>87</v>
      </c>
      <c r="F230" s="17" t="s">
        <v>87</v>
      </c>
      <c r="G230" s="17">
        <v>1.1474106855999999E-3</v>
      </c>
      <c r="H230" s="17">
        <v>1.015228E-3</v>
      </c>
      <c r="I230" s="17" t="s">
        <v>115</v>
      </c>
    </row>
    <row r="231" spans="1:9" x14ac:dyDescent="0.3">
      <c r="A231" s="17" t="s">
        <v>195</v>
      </c>
      <c r="B231" s="17" t="s">
        <v>66</v>
      </c>
      <c r="C231" s="17" t="s">
        <v>113</v>
      </c>
      <c r="D231" s="17" t="s">
        <v>114</v>
      </c>
      <c r="E231" s="17" t="s">
        <v>88</v>
      </c>
      <c r="F231" s="17" t="s">
        <v>88</v>
      </c>
      <c r="G231" s="17">
        <v>12.938529600000001</v>
      </c>
      <c r="H231" s="17">
        <v>11.448</v>
      </c>
      <c r="I231" s="17" t="s">
        <v>115</v>
      </c>
    </row>
    <row r="232" spans="1:9" x14ac:dyDescent="0.3">
      <c r="A232" s="17" t="s">
        <v>195</v>
      </c>
      <c r="B232" s="17" t="s">
        <v>66</v>
      </c>
      <c r="C232" s="17" t="s">
        <v>113</v>
      </c>
      <c r="D232" s="17" t="s">
        <v>114</v>
      </c>
      <c r="E232" s="17" t="s">
        <v>89</v>
      </c>
      <c r="F232" s="17" t="s">
        <v>89</v>
      </c>
      <c r="G232" s="17">
        <v>137.65381232384399</v>
      </c>
      <c r="H232" s="17">
        <v>121.79597622</v>
      </c>
      <c r="I232" s="17" t="s">
        <v>115</v>
      </c>
    </row>
    <row r="233" spans="1:9" x14ac:dyDescent="0.3">
      <c r="A233" s="17" t="s">
        <v>195</v>
      </c>
      <c r="B233" s="17" t="s">
        <v>66</v>
      </c>
      <c r="C233" s="17" t="s">
        <v>113</v>
      </c>
      <c r="D233" s="17" t="s">
        <v>114</v>
      </c>
      <c r="E233" s="17" t="s">
        <v>90</v>
      </c>
      <c r="F233" s="17" t="s">
        <v>90</v>
      </c>
      <c r="G233" s="17">
        <v>13.3337048716295</v>
      </c>
      <c r="H233" s="17">
        <v>11.797650744673099</v>
      </c>
      <c r="I233" s="17" t="s">
        <v>115</v>
      </c>
    </row>
    <row r="234" spans="1:9" x14ac:dyDescent="0.3">
      <c r="A234" s="17" t="s">
        <v>195</v>
      </c>
      <c r="B234" s="17" t="s">
        <v>66</v>
      </c>
      <c r="C234" s="17" t="s">
        <v>113</v>
      </c>
      <c r="D234" s="17" t="s">
        <v>114</v>
      </c>
      <c r="E234" s="17" t="s">
        <v>91</v>
      </c>
      <c r="F234" s="17" t="s">
        <v>91</v>
      </c>
      <c r="G234" s="17">
        <v>10.8998273839983</v>
      </c>
      <c r="H234" s="17">
        <v>9.6441580109699991</v>
      </c>
      <c r="I234" s="17" t="s">
        <v>115</v>
      </c>
    </row>
    <row r="235" spans="1:9" x14ac:dyDescent="0.3">
      <c r="A235" s="17" t="s">
        <v>195</v>
      </c>
      <c r="B235" s="17" t="s">
        <v>66</v>
      </c>
      <c r="C235" s="17" t="s">
        <v>113</v>
      </c>
      <c r="D235" s="17" t="s">
        <v>114</v>
      </c>
      <c r="E235" s="17" t="s">
        <v>93</v>
      </c>
      <c r="F235" s="17" t="s">
        <v>130</v>
      </c>
      <c r="G235" s="17">
        <v>78.725285793200001</v>
      </c>
      <c r="H235" s="17">
        <v>69.656065999999996</v>
      </c>
      <c r="I235" s="17" t="s">
        <v>115</v>
      </c>
    </row>
    <row r="236" spans="1:9" x14ac:dyDescent="0.3">
      <c r="A236" s="17" t="s">
        <v>195</v>
      </c>
      <c r="B236" s="17" t="s">
        <v>66</v>
      </c>
      <c r="C236" s="17" t="s">
        <v>113</v>
      </c>
      <c r="D236" s="17" t="s">
        <v>114</v>
      </c>
      <c r="E236" s="17" t="s">
        <v>93</v>
      </c>
      <c r="F236" s="17" t="s">
        <v>131</v>
      </c>
      <c r="G236" s="17">
        <v>94.8825504</v>
      </c>
      <c r="H236" s="17">
        <v>83.951999999999998</v>
      </c>
      <c r="I236" s="17" t="s">
        <v>115</v>
      </c>
    </row>
    <row r="237" spans="1:9" x14ac:dyDescent="0.3">
      <c r="A237" s="17" t="s">
        <v>195</v>
      </c>
      <c r="B237" s="17" t="s">
        <v>66</v>
      </c>
      <c r="C237" s="17" t="s">
        <v>113</v>
      </c>
      <c r="D237" s="17" t="s">
        <v>114</v>
      </c>
      <c r="E237" s="17" t="s">
        <v>93</v>
      </c>
      <c r="F237" s="17" t="s">
        <v>132</v>
      </c>
      <c r="G237" s="17">
        <v>0.326311344</v>
      </c>
      <c r="H237" s="17">
        <v>0.28871999999999998</v>
      </c>
      <c r="I237" s="17" t="s">
        <v>115</v>
      </c>
    </row>
    <row r="238" spans="1:9" x14ac:dyDescent="0.3">
      <c r="A238" s="17" t="s">
        <v>195</v>
      </c>
      <c r="B238" s="17" t="s">
        <v>66</v>
      </c>
      <c r="C238" s="17" t="s">
        <v>113</v>
      </c>
      <c r="D238" s="17" t="s">
        <v>114</v>
      </c>
      <c r="E238" s="17" t="s">
        <v>93</v>
      </c>
      <c r="F238" s="17" t="s">
        <v>133</v>
      </c>
      <c r="G238" s="17">
        <v>9.6796161290322598</v>
      </c>
      <c r="H238" s="17">
        <v>8.5645161290322598</v>
      </c>
      <c r="I238" s="17" t="s">
        <v>115</v>
      </c>
    </row>
    <row r="239" spans="1:9" x14ac:dyDescent="0.3">
      <c r="A239" s="17" t="s">
        <v>195</v>
      </c>
      <c r="B239" s="17" t="s">
        <v>66</v>
      </c>
      <c r="C239" s="17" t="s">
        <v>113</v>
      </c>
      <c r="D239" s="17" t="s">
        <v>114</v>
      </c>
      <c r="E239" s="17" t="s">
        <v>93</v>
      </c>
      <c r="F239" s="17" t="s">
        <v>134</v>
      </c>
      <c r="G239" s="17">
        <v>3.3111243359999998</v>
      </c>
      <c r="H239" s="17">
        <v>2.9296799999999998</v>
      </c>
      <c r="I239" s="17" t="s">
        <v>115</v>
      </c>
    </row>
    <row r="240" spans="1:9" x14ac:dyDescent="0.3">
      <c r="A240" s="17" t="s">
        <v>195</v>
      </c>
      <c r="B240" s="17" t="s">
        <v>66</v>
      </c>
      <c r="C240" s="17" t="s">
        <v>113</v>
      </c>
      <c r="D240" s="17" t="s">
        <v>114</v>
      </c>
      <c r="E240" s="17" t="s">
        <v>93</v>
      </c>
      <c r="F240" s="17" t="s">
        <v>136</v>
      </c>
      <c r="G240" s="17">
        <v>23.17542912</v>
      </c>
      <c r="H240" s="17">
        <v>20.505600000000001</v>
      </c>
      <c r="I240" s="17" t="s">
        <v>115</v>
      </c>
    </row>
    <row r="241" spans="1:9" x14ac:dyDescent="0.3">
      <c r="A241" s="17" t="s">
        <v>195</v>
      </c>
      <c r="B241" s="17" t="s">
        <v>66</v>
      </c>
      <c r="C241" s="17" t="s">
        <v>113</v>
      </c>
      <c r="D241" s="17" t="s">
        <v>114</v>
      </c>
      <c r="E241" s="17" t="s">
        <v>93</v>
      </c>
      <c r="F241" s="17" t="s">
        <v>137</v>
      </c>
      <c r="G241" s="17">
        <v>37.173769864</v>
      </c>
      <c r="H241" s="17">
        <v>32.89132</v>
      </c>
      <c r="I241" s="17" t="s">
        <v>115</v>
      </c>
    </row>
    <row r="242" spans="1:9" x14ac:dyDescent="0.3">
      <c r="A242" s="17" t="s">
        <v>195</v>
      </c>
      <c r="B242" s="17" t="s">
        <v>66</v>
      </c>
      <c r="C242" s="17" t="s">
        <v>113</v>
      </c>
      <c r="D242" s="17" t="s">
        <v>114</v>
      </c>
      <c r="E242" s="17" t="s">
        <v>96</v>
      </c>
      <c r="F242" s="17" t="s">
        <v>96</v>
      </c>
      <c r="G242" s="17">
        <v>2.9969852459999999E-4</v>
      </c>
      <c r="H242" s="17">
        <v>2.65173E-4</v>
      </c>
      <c r="I242" s="17" t="s">
        <v>115</v>
      </c>
    </row>
    <row r="243" spans="1:9" x14ac:dyDescent="0.3">
      <c r="A243" s="17" t="s">
        <v>195</v>
      </c>
      <c r="B243" s="17" t="s">
        <v>66</v>
      </c>
      <c r="C243" s="17" t="s">
        <v>113</v>
      </c>
      <c r="D243" s="17" t="s">
        <v>114</v>
      </c>
      <c r="E243" s="17" t="s">
        <v>99</v>
      </c>
      <c r="F243" s="17" t="s">
        <v>142</v>
      </c>
      <c r="G243" s="17">
        <v>3.8780982076000001E-3</v>
      </c>
      <c r="H243" s="17">
        <v>3.4313379999999999E-3</v>
      </c>
      <c r="I243" s="17" t="s">
        <v>115</v>
      </c>
    </row>
    <row r="244" spans="1:9" x14ac:dyDescent="0.3">
      <c r="A244" s="17" t="s">
        <v>195</v>
      </c>
      <c r="B244" s="17" t="s">
        <v>66</v>
      </c>
      <c r="C244" s="17" t="s">
        <v>113</v>
      </c>
      <c r="D244" s="17" t="s">
        <v>114</v>
      </c>
      <c r="E244" s="17" t="s">
        <v>99</v>
      </c>
      <c r="F244" s="17" t="s">
        <v>143</v>
      </c>
      <c r="G244" s="17">
        <v>17.960474584715399</v>
      </c>
      <c r="H244" s="17">
        <v>15.8914126568</v>
      </c>
      <c r="I244" s="17" t="s">
        <v>115</v>
      </c>
    </row>
    <row r="245" spans="1:9" x14ac:dyDescent="0.3">
      <c r="A245" s="17" t="s">
        <v>195</v>
      </c>
      <c r="B245" s="17" t="s">
        <v>66</v>
      </c>
      <c r="C245" s="17" t="s">
        <v>113</v>
      </c>
      <c r="D245" s="17" t="s">
        <v>114</v>
      </c>
      <c r="E245" s="17" t="s">
        <v>99</v>
      </c>
      <c r="F245" s="17" t="s">
        <v>144</v>
      </c>
      <c r="G245" s="17">
        <v>4.28283639E-4</v>
      </c>
      <c r="H245" s="17">
        <v>3.78945E-4</v>
      </c>
      <c r="I245" s="17" t="s">
        <v>115</v>
      </c>
    </row>
    <row r="246" spans="1:9" x14ac:dyDescent="0.3">
      <c r="A246" s="17" t="s">
        <v>195</v>
      </c>
      <c r="B246" s="17" t="s">
        <v>66</v>
      </c>
      <c r="C246" s="17" t="s">
        <v>113</v>
      </c>
      <c r="D246" s="17" t="s">
        <v>114</v>
      </c>
      <c r="E246" s="17" t="s">
        <v>99</v>
      </c>
      <c r="F246" s="17" t="s">
        <v>147</v>
      </c>
      <c r="G246" s="17">
        <v>6.4236431468000003E-4</v>
      </c>
      <c r="H246" s="17">
        <v>5.6836340000000003E-4</v>
      </c>
      <c r="I246" s="17" t="s">
        <v>115</v>
      </c>
    </row>
    <row r="247" spans="1:9" x14ac:dyDescent="0.3">
      <c r="A247" s="17" t="s">
        <v>195</v>
      </c>
      <c r="B247" s="17" t="s">
        <v>66</v>
      </c>
      <c r="C247" s="17" t="s">
        <v>113</v>
      </c>
      <c r="D247" s="17" t="s">
        <v>114</v>
      </c>
      <c r="E247" s="17" t="s">
        <v>99</v>
      </c>
      <c r="F247" s="17" t="s">
        <v>148</v>
      </c>
      <c r="G247" s="17">
        <v>72.353197860902</v>
      </c>
      <c r="H247" s="17">
        <v>64.018048010000001</v>
      </c>
      <c r="I247" s="17" t="s">
        <v>115</v>
      </c>
    </row>
    <row r="248" spans="1:9" x14ac:dyDescent="0.3">
      <c r="A248" s="17" t="s">
        <v>195</v>
      </c>
      <c r="B248" s="17" t="s">
        <v>66</v>
      </c>
      <c r="C248" s="17" t="s">
        <v>113</v>
      </c>
      <c r="D248" s="17" t="s">
        <v>114</v>
      </c>
      <c r="E248" s="17" t="s">
        <v>99</v>
      </c>
      <c r="F248" s="17" t="s">
        <v>150</v>
      </c>
      <c r="G248" s="17">
        <v>1.8534036779999999E-4</v>
      </c>
      <c r="H248" s="17">
        <v>1.6398899999999999E-4</v>
      </c>
      <c r="I248" s="17" t="s">
        <v>115</v>
      </c>
    </row>
    <row r="249" spans="1:9" x14ac:dyDescent="0.3">
      <c r="A249" s="17" t="s">
        <v>195</v>
      </c>
      <c r="B249" s="17" t="s">
        <v>66</v>
      </c>
      <c r="C249" s="17" t="s">
        <v>113</v>
      </c>
      <c r="D249" s="17" t="s">
        <v>114</v>
      </c>
      <c r="E249" s="17" t="s">
        <v>99</v>
      </c>
      <c r="F249" s="17" t="s">
        <v>152</v>
      </c>
      <c r="G249" s="17">
        <v>5.4318907265901997</v>
      </c>
      <c r="H249" s="17">
        <v>4.8061323009999999</v>
      </c>
      <c r="I249" s="17" t="s">
        <v>115</v>
      </c>
    </row>
    <row r="250" spans="1:9" x14ac:dyDescent="0.3">
      <c r="A250" s="17" t="s">
        <v>195</v>
      </c>
      <c r="B250" s="17" t="s">
        <v>66</v>
      </c>
      <c r="C250" s="17" t="s">
        <v>113</v>
      </c>
      <c r="D250" s="17" t="s">
        <v>114</v>
      </c>
      <c r="E250" s="17" t="s">
        <v>99</v>
      </c>
      <c r="F250" s="17" t="s">
        <v>154</v>
      </c>
      <c r="G250" s="17">
        <v>6.2276257795999997E-3</v>
      </c>
      <c r="H250" s="17">
        <v>5.510198E-3</v>
      </c>
      <c r="I250" s="17" t="s">
        <v>115</v>
      </c>
    </row>
    <row r="251" spans="1:9" x14ac:dyDescent="0.3">
      <c r="A251" s="17" t="s">
        <v>195</v>
      </c>
      <c r="B251" s="17" t="s">
        <v>66</v>
      </c>
      <c r="C251" s="17" t="s">
        <v>113</v>
      </c>
      <c r="D251" s="17" t="s">
        <v>114</v>
      </c>
      <c r="E251" s="17" t="s">
        <v>101</v>
      </c>
      <c r="F251" s="17" t="s">
        <v>157</v>
      </c>
      <c r="G251" s="17">
        <v>591.60500285255398</v>
      </c>
      <c r="H251" s="17">
        <v>523.45160401040005</v>
      </c>
      <c r="I251" s="17" t="s">
        <v>115</v>
      </c>
    </row>
    <row r="252" spans="1:9" x14ac:dyDescent="0.3">
      <c r="A252" s="17" t="s">
        <v>195</v>
      </c>
      <c r="B252" s="17" t="s">
        <v>66</v>
      </c>
      <c r="C252" s="17" t="s">
        <v>113</v>
      </c>
      <c r="D252" s="17" t="s">
        <v>114</v>
      </c>
      <c r="E252" s="17" t="s">
        <v>101</v>
      </c>
      <c r="F252" s="17" t="s">
        <v>158</v>
      </c>
      <c r="G252" s="17">
        <v>110.182777566052</v>
      </c>
      <c r="H252" s="17">
        <v>97.489628000400003</v>
      </c>
      <c r="I252" s="17" t="s">
        <v>115</v>
      </c>
    </row>
    <row r="253" spans="1:9" x14ac:dyDescent="0.3">
      <c r="A253" s="17" t="s">
        <v>195</v>
      </c>
      <c r="B253" s="17" t="s">
        <v>66</v>
      </c>
      <c r="C253" s="17" t="s">
        <v>113</v>
      </c>
      <c r="D253" s="17" t="s">
        <v>114</v>
      </c>
      <c r="E253" s="17" t="s">
        <v>101</v>
      </c>
      <c r="F253" s="17" t="s">
        <v>160</v>
      </c>
      <c r="G253" s="17">
        <v>104.13876044327699</v>
      </c>
      <c r="H253" s="17">
        <v>92.141886783999993</v>
      </c>
      <c r="I253" s="17" t="s">
        <v>115</v>
      </c>
    </row>
    <row r="254" spans="1:9" x14ac:dyDescent="0.3">
      <c r="A254" s="17" t="s">
        <v>195</v>
      </c>
      <c r="B254" s="17" t="s">
        <v>66</v>
      </c>
      <c r="C254" s="17" t="s">
        <v>113</v>
      </c>
      <c r="D254" s="17" t="s">
        <v>114</v>
      </c>
      <c r="E254" s="17" t="s">
        <v>102</v>
      </c>
      <c r="F254" s="17" t="s">
        <v>165</v>
      </c>
      <c r="G254" s="17">
        <v>10.468753818202799</v>
      </c>
      <c r="H254" s="17">
        <v>9.2627444861111101</v>
      </c>
      <c r="I254" s="17" t="s">
        <v>115</v>
      </c>
    </row>
    <row r="255" spans="1:9" x14ac:dyDescent="0.3">
      <c r="A255" s="17" t="s">
        <v>195</v>
      </c>
      <c r="B255" s="17" t="s">
        <v>66</v>
      </c>
      <c r="C255" s="17" t="s">
        <v>113</v>
      </c>
      <c r="D255" s="17" t="s">
        <v>114</v>
      </c>
      <c r="E255" s="17" t="s">
        <v>102</v>
      </c>
      <c r="F255" s="17" t="s">
        <v>166</v>
      </c>
      <c r="G255" s="17">
        <v>99.722295323635294</v>
      </c>
      <c r="H255" s="17">
        <v>88.2342021975184</v>
      </c>
      <c r="I255" s="17" t="s">
        <v>115</v>
      </c>
    </row>
    <row r="256" spans="1:9" x14ac:dyDescent="0.3">
      <c r="A256" s="17" t="s">
        <v>195</v>
      </c>
      <c r="B256" s="17" t="s">
        <v>66</v>
      </c>
      <c r="C256" s="17" t="s">
        <v>113</v>
      </c>
      <c r="D256" s="17" t="s">
        <v>114</v>
      </c>
      <c r="E256" s="17" t="s">
        <v>103</v>
      </c>
      <c r="F256" s="17" t="s">
        <v>103</v>
      </c>
      <c r="G256" s="17">
        <v>32.176794000000001</v>
      </c>
      <c r="H256" s="17">
        <v>28.47</v>
      </c>
      <c r="I256" s="17" t="s">
        <v>115</v>
      </c>
    </row>
    <row r="257" spans="1:9" x14ac:dyDescent="0.3">
      <c r="A257" s="17" t="s">
        <v>195</v>
      </c>
      <c r="B257" s="17" t="s">
        <v>67</v>
      </c>
      <c r="C257" s="17" t="s">
        <v>113</v>
      </c>
      <c r="D257" s="17" t="s">
        <v>114</v>
      </c>
      <c r="E257" s="17" t="s">
        <v>71</v>
      </c>
      <c r="F257" s="17" t="s">
        <v>71</v>
      </c>
      <c r="G257" s="17">
        <v>25.696718400000002</v>
      </c>
      <c r="H257" s="17">
        <v>21.948</v>
      </c>
      <c r="I257" s="17" t="s">
        <v>115</v>
      </c>
    </row>
    <row r="258" spans="1:9" x14ac:dyDescent="0.3">
      <c r="A258" s="17" t="s">
        <v>195</v>
      </c>
      <c r="B258" s="17" t="s">
        <v>67</v>
      </c>
      <c r="C258" s="17" t="s">
        <v>113</v>
      </c>
      <c r="D258" s="17" t="s">
        <v>114</v>
      </c>
      <c r="E258" s="17" t="s">
        <v>72</v>
      </c>
      <c r="F258" s="17" t="s">
        <v>116</v>
      </c>
      <c r="G258" s="17">
        <v>194.36300937600001</v>
      </c>
      <c r="H258" s="17">
        <v>166.00872000000001</v>
      </c>
      <c r="I258" s="17" t="s">
        <v>115</v>
      </c>
    </row>
    <row r="259" spans="1:9" x14ac:dyDescent="0.3">
      <c r="A259" s="17" t="s">
        <v>195</v>
      </c>
      <c r="B259" s="17" t="s">
        <v>67</v>
      </c>
      <c r="C259" s="17" t="s">
        <v>113</v>
      </c>
      <c r="D259" s="17" t="s">
        <v>114</v>
      </c>
      <c r="E259" s="17" t="s">
        <v>73</v>
      </c>
      <c r="F259" s="17" t="s">
        <v>117</v>
      </c>
      <c r="G259" s="17">
        <v>0</v>
      </c>
      <c r="H259" s="17">
        <v>0</v>
      </c>
      <c r="I259" s="17" t="s">
        <v>115</v>
      </c>
    </row>
    <row r="260" spans="1:9" x14ac:dyDescent="0.3">
      <c r="A260" s="17" t="s">
        <v>195</v>
      </c>
      <c r="B260" s="17" t="s">
        <v>67</v>
      </c>
      <c r="C260" s="17" t="s">
        <v>113</v>
      </c>
      <c r="D260" s="17" t="s">
        <v>114</v>
      </c>
      <c r="E260" s="17" t="s">
        <v>73</v>
      </c>
      <c r="F260" s="17" t="s">
        <v>118</v>
      </c>
      <c r="G260" s="17">
        <v>698.60231039999996</v>
      </c>
      <c r="H260" s="17">
        <v>596.68799999999999</v>
      </c>
      <c r="I260" s="17" t="s">
        <v>115</v>
      </c>
    </row>
    <row r="261" spans="1:9" x14ac:dyDescent="0.3">
      <c r="A261" s="17" t="s">
        <v>195</v>
      </c>
      <c r="B261" s="17" t="s">
        <v>67</v>
      </c>
      <c r="C261" s="17" t="s">
        <v>113</v>
      </c>
      <c r="D261" s="17" t="s">
        <v>114</v>
      </c>
      <c r="E261" s="17" t="s">
        <v>73</v>
      </c>
      <c r="F261" s="17" t="s">
        <v>119</v>
      </c>
      <c r="G261" s="17">
        <v>97.560422399999993</v>
      </c>
      <c r="H261" s="17">
        <v>83.328000000000003</v>
      </c>
      <c r="I261" s="17" t="s">
        <v>115</v>
      </c>
    </row>
    <row r="262" spans="1:9" x14ac:dyDescent="0.3">
      <c r="A262" s="17" t="s">
        <v>195</v>
      </c>
      <c r="B262" s="17" t="s">
        <v>67</v>
      </c>
      <c r="C262" s="17" t="s">
        <v>113</v>
      </c>
      <c r="D262" s="17" t="s">
        <v>114</v>
      </c>
      <c r="E262" s="17" t="s">
        <v>73</v>
      </c>
      <c r="F262" s="17" t="s">
        <v>120</v>
      </c>
      <c r="G262" s="17">
        <v>6.3240858230137</v>
      </c>
      <c r="H262" s="17">
        <v>5.4015082191780799</v>
      </c>
      <c r="I262" s="17" t="s">
        <v>115</v>
      </c>
    </row>
    <row r="263" spans="1:9" x14ac:dyDescent="0.3">
      <c r="A263" s="17" t="s">
        <v>195</v>
      </c>
      <c r="B263" s="17" t="s">
        <v>67</v>
      </c>
      <c r="C263" s="17" t="s">
        <v>113</v>
      </c>
      <c r="D263" s="17" t="s">
        <v>114</v>
      </c>
      <c r="E263" s="17" t="s">
        <v>80</v>
      </c>
      <c r="F263" s="17" t="s">
        <v>80</v>
      </c>
      <c r="G263" s="17">
        <v>0.37236064660000001</v>
      </c>
      <c r="H263" s="17">
        <v>0.31803949999999997</v>
      </c>
      <c r="I263" s="17" t="s">
        <v>115</v>
      </c>
    </row>
    <row r="264" spans="1:9" x14ac:dyDescent="0.3">
      <c r="A264" s="17" t="s">
        <v>195</v>
      </c>
      <c r="B264" s="17" t="s">
        <v>67</v>
      </c>
      <c r="C264" s="17" t="s">
        <v>113</v>
      </c>
      <c r="D264" s="17" t="s">
        <v>114</v>
      </c>
      <c r="E264" s="17" t="s">
        <v>77</v>
      </c>
      <c r="F264" s="17" t="s">
        <v>77</v>
      </c>
      <c r="G264" s="17">
        <v>1.6578527999999999E-4</v>
      </c>
      <c r="H264" s="17">
        <v>1.416E-4</v>
      </c>
      <c r="I264" s="17" t="s">
        <v>115</v>
      </c>
    </row>
    <row r="265" spans="1:9" x14ac:dyDescent="0.3">
      <c r="A265" s="17" t="s">
        <v>195</v>
      </c>
      <c r="B265" s="17" t="s">
        <v>67</v>
      </c>
      <c r="C265" s="17" t="s">
        <v>113</v>
      </c>
      <c r="D265" s="17" t="s">
        <v>114</v>
      </c>
      <c r="E265" s="17" t="s">
        <v>78</v>
      </c>
      <c r="F265" s="17" t="s">
        <v>123</v>
      </c>
      <c r="G265" s="17">
        <v>3.02722048</v>
      </c>
      <c r="H265" s="17">
        <v>2.5855999999999999</v>
      </c>
      <c r="I265" s="17" t="s">
        <v>115</v>
      </c>
    </row>
    <row r="266" spans="1:9" x14ac:dyDescent="0.3">
      <c r="A266" s="17" t="s">
        <v>195</v>
      </c>
      <c r="B266" s="17" t="s">
        <v>67</v>
      </c>
      <c r="C266" s="17" t="s">
        <v>113</v>
      </c>
      <c r="D266" s="17" t="s">
        <v>114</v>
      </c>
      <c r="E266" s="17" t="s">
        <v>78</v>
      </c>
      <c r="F266" s="17" t="s">
        <v>125</v>
      </c>
      <c r="G266" s="17">
        <v>208.70961792</v>
      </c>
      <c r="H266" s="17">
        <v>178.26240000000001</v>
      </c>
      <c r="I266" s="17" t="s">
        <v>115</v>
      </c>
    </row>
    <row r="267" spans="1:9" x14ac:dyDescent="0.3">
      <c r="A267" s="17" t="s">
        <v>195</v>
      </c>
      <c r="B267" s="17" t="s">
        <v>67</v>
      </c>
      <c r="C267" s="17" t="s">
        <v>113</v>
      </c>
      <c r="D267" s="17" t="s">
        <v>114</v>
      </c>
      <c r="E267" s="17" t="s">
        <v>81</v>
      </c>
      <c r="F267" s="17" t="s">
        <v>81</v>
      </c>
      <c r="G267" s="17">
        <v>46.903475144153099</v>
      </c>
      <c r="H267" s="17">
        <v>40.061048124490199</v>
      </c>
      <c r="I267" s="17" t="s">
        <v>115</v>
      </c>
    </row>
    <row r="268" spans="1:9" x14ac:dyDescent="0.3">
      <c r="A268" s="17" t="s">
        <v>195</v>
      </c>
      <c r="B268" s="17" t="s">
        <v>67</v>
      </c>
      <c r="C268" s="17" t="s">
        <v>113</v>
      </c>
      <c r="D268" s="17" t="s">
        <v>114</v>
      </c>
      <c r="E268" s="17" t="s">
        <v>83</v>
      </c>
      <c r="F268" s="17" t="s">
        <v>127</v>
      </c>
      <c r="G268" s="17">
        <v>0.15048191065312</v>
      </c>
      <c r="H268" s="17">
        <v>0.12852913448336201</v>
      </c>
      <c r="I268" s="17" t="s">
        <v>115</v>
      </c>
    </row>
    <row r="269" spans="1:9" x14ac:dyDescent="0.3">
      <c r="A269" s="17" t="s">
        <v>195</v>
      </c>
      <c r="B269" s="17" t="s">
        <v>67</v>
      </c>
      <c r="C269" s="17" t="s">
        <v>113</v>
      </c>
      <c r="D269" s="17" t="s">
        <v>114</v>
      </c>
      <c r="E269" s="17" t="s">
        <v>83</v>
      </c>
      <c r="F269" s="17" t="s">
        <v>128</v>
      </c>
      <c r="G269" s="17">
        <v>6.4141752408399402</v>
      </c>
      <c r="H269" s="17">
        <v>5.4784551083361297</v>
      </c>
      <c r="I269" s="17" t="s">
        <v>115</v>
      </c>
    </row>
    <row r="270" spans="1:9" x14ac:dyDescent="0.3">
      <c r="A270" s="17" t="s">
        <v>195</v>
      </c>
      <c r="B270" s="17" t="s">
        <v>67</v>
      </c>
      <c r="C270" s="17" t="s">
        <v>113</v>
      </c>
      <c r="D270" s="17" t="s">
        <v>114</v>
      </c>
      <c r="E270" s="17" t="s">
        <v>85</v>
      </c>
      <c r="F270" s="17" t="s">
        <v>85</v>
      </c>
      <c r="G270" s="17">
        <v>32.090063353188597</v>
      </c>
      <c r="H270" s="17">
        <v>27.408663608804702</v>
      </c>
      <c r="I270" s="17" t="s">
        <v>115</v>
      </c>
    </row>
    <row r="271" spans="1:9" x14ac:dyDescent="0.3">
      <c r="A271" s="17" t="s">
        <v>195</v>
      </c>
      <c r="B271" s="17" t="s">
        <v>67</v>
      </c>
      <c r="C271" s="17" t="s">
        <v>113</v>
      </c>
      <c r="D271" s="17" t="s">
        <v>114</v>
      </c>
      <c r="E271" s="17" t="s">
        <v>87</v>
      </c>
      <c r="F271" s="17" t="s">
        <v>87</v>
      </c>
      <c r="G271" s="17">
        <v>1.2258252584E-3</v>
      </c>
      <c r="H271" s="17">
        <v>1.0469979999999999E-3</v>
      </c>
      <c r="I271" s="17" t="s">
        <v>115</v>
      </c>
    </row>
    <row r="272" spans="1:9" x14ac:dyDescent="0.3">
      <c r="A272" s="17" t="s">
        <v>195</v>
      </c>
      <c r="B272" s="17" t="s">
        <v>67</v>
      </c>
      <c r="C272" s="17" t="s">
        <v>113</v>
      </c>
      <c r="D272" s="17" t="s">
        <v>114</v>
      </c>
      <c r="E272" s="17" t="s">
        <v>88</v>
      </c>
      <c r="F272" s="17" t="s">
        <v>88</v>
      </c>
      <c r="G272" s="17">
        <v>13.850095680000001</v>
      </c>
      <c r="H272" s="17">
        <v>11.829599999999999</v>
      </c>
      <c r="I272" s="17" t="s">
        <v>115</v>
      </c>
    </row>
    <row r="273" spans="1:9" x14ac:dyDescent="0.3">
      <c r="A273" s="17" t="s">
        <v>195</v>
      </c>
      <c r="B273" s="17" t="s">
        <v>67</v>
      </c>
      <c r="C273" s="17" t="s">
        <v>113</v>
      </c>
      <c r="D273" s="17" t="s">
        <v>114</v>
      </c>
      <c r="E273" s="17" t="s">
        <v>89</v>
      </c>
      <c r="F273" s="17" t="s">
        <v>89</v>
      </c>
      <c r="G273" s="17">
        <v>275.14397742573601</v>
      </c>
      <c r="H273" s="17">
        <v>235.00510542000001</v>
      </c>
      <c r="I273" s="17" t="s">
        <v>115</v>
      </c>
    </row>
    <row r="274" spans="1:9" x14ac:dyDescent="0.3">
      <c r="A274" s="17" t="s">
        <v>195</v>
      </c>
      <c r="B274" s="17" t="s">
        <v>67</v>
      </c>
      <c r="C274" s="17" t="s">
        <v>113</v>
      </c>
      <c r="D274" s="17" t="s">
        <v>114</v>
      </c>
      <c r="E274" s="17" t="s">
        <v>90</v>
      </c>
      <c r="F274" s="17" t="s">
        <v>90</v>
      </c>
      <c r="G274" s="17">
        <v>36.587284713626403</v>
      </c>
      <c r="H274" s="17">
        <v>31.249816120282201</v>
      </c>
      <c r="I274" s="17" t="s">
        <v>115</v>
      </c>
    </row>
    <row r="275" spans="1:9" x14ac:dyDescent="0.3">
      <c r="A275" s="17" t="s">
        <v>195</v>
      </c>
      <c r="B275" s="17" t="s">
        <v>67</v>
      </c>
      <c r="C275" s="17" t="s">
        <v>113</v>
      </c>
      <c r="D275" s="17" t="s">
        <v>114</v>
      </c>
      <c r="E275" s="17" t="s">
        <v>91</v>
      </c>
      <c r="F275" s="17" t="s">
        <v>91</v>
      </c>
      <c r="G275" s="17">
        <v>11.683839127802401</v>
      </c>
      <c r="H275" s="17">
        <v>9.97936379211</v>
      </c>
      <c r="I275" s="17" t="s">
        <v>115</v>
      </c>
    </row>
    <row r="276" spans="1:9" x14ac:dyDescent="0.3">
      <c r="A276" s="17" t="s">
        <v>195</v>
      </c>
      <c r="B276" s="17" t="s">
        <v>67</v>
      </c>
      <c r="C276" s="17" t="s">
        <v>113</v>
      </c>
      <c r="D276" s="17" t="s">
        <v>114</v>
      </c>
      <c r="E276" s="17" t="s">
        <v>93</v>
      </c>
      <c r="F276" s="17" t="s">
        <v>130</v>
      </c>
      <c r="G276" s="17">
        <v>322.20187928159999</v>
      </c>
      <c r="H276" s="17">
        <v>275.19805200000002</v>
      </c>
      <c r="I276" s="17" t="s">
        <v>115</v>
      </c>
    </row>
    <row r="277" spans="1:9" x14ac:dyDescent="0.3">
      <c r="A277" s="17" t="s">
        <v>195</v>
      </c>
      <c r="B277" s="17" t="s">
        <v>67</v>
      </c>
      <c r="C277" s="17" t="s">
        <v>113</v>
      </c>
      <c r="D277" s="17" t="s">
        <v>114</v>
      </c>
      <c r="E277" s="17" t="s">
        <v>93</v>
      </c>
      <c r="F277" s="17" t="s">
        <v>131</v>
      </c>
      <c r="G277" s="17">
        <v>101.56736832</v>
      </c>
      <c r="H277" s="17">
        <v>86.750399999999999</v>
      </c>
      <c r="I277" s="17" t="s">
        <v>115</v>
      </c>
    </row>
    <row r="278" spans="1:9" x14ac:dyDescent="0.3">
      <c r="A278" s="17" t="s">
        <v>195</v>
      </c>
      <c r="B278" s="17" t="s">
        <v>67</v>
      </c>
      <c r="C278" s="17" t="s">
        <v>113</v>
      </c>
      <c r="D278" s="17" t="s">
        <v>114</v>
      </c>
      <c r="E278" s="17" t="s">
        <v>93</v>
      </c>
      <c r="F278" s="17" t="s">
        <v>132</v>
      </c>
      <c r="G278" s="17">
        <v>0.34930115519999999</v>
      </c>
      <c r="H278" s="17">
        <v>0.298344</v>
      </c>
      <c r="I278" s="17" t="s">
        <v>115</v>
      </c>
    </row>
    <row r="279" spans="1:9" x14ac:dyDescent="0.3">
      <c r="A279" s="17" t="s">
        <v>195</v>
      </c>
      <c r="B279" s="17" t="s">
        <v>67</v>
      </c>
      <c r="C279" s="17" t="s">
        <v>113</v>
      </c>
      <c r="D279" s="17" t="s">
        <v>114</v>
      </c>
      <c r="E279" s="17" t="s">
        <v>93</v>
      </c>
      <c r="F279" s="17" t="s">
        <v>133</v>
      </c>
      <c r="G279" s="17">
        <v>10.36158</v>
      </c>
      <c r="H279" s="17">
        <v>8.85</v>
      </c>
      <c r="I279" s="17" t="s">
        <v>115</v>
      </c>
    </row>
    <row r="280" spans="1:9" x14ac:dyDescent="0.3">
      <c r="A280" s="17" t="s">
        <v>195</v>
      </c>
      <c r="B280" s="17" t="s">
        <v>67</v>
      </c>
      <c r="C280" s="17" t="s">
        <v>113</v>
      </c>
      <c r="D280" s="17" t="s">
        <v>114</v>
      </c>
      <c r="E280" s="17" t="s">
        <v>93</v>
      </c>
      <c r="F280" s="17" t="s">
        <v>134</v>
      </c>
      <c r="G280" s="17">
        <v>3.5444049888000002</v>
      </c>
      <c r="H280" s="17">
        <v>3.027336</v>
      </c>
      <c r="I280" s="17" t="s">
        <v>115</v>
      </c>
    </row>
    <row r="281" spans="1:9" x14ac:dyDescent="0.3">
      <c r="A281" s="17" t="s">
        <v>195</v>
      </c>
      <c r="B281" s="17" t="s">
        <v>67</v>
      </c>
      <c r="C281" s="17" t="s">
        <v>113</v>
      </c>
      <c r="D281" s="17" t="s">
        <v>114</v>
      </c>
      <c r="E281" s="17" t="s">
        <v>93</v>
      </c>
      <c r="F281" s="17" t="s">
        <v>136</v>
      </c>
      <c r="G281" s="17">
        <v>24.808221696</v>
      </c>
      <c r="H281" s="17">
        <v>21.189119999999999</v>
      </c>
      <c r="I281" s="17" t="s">
        <v>115</v>
      </c>
    </row>
    <row r="282" spans="1:9" x14ac:dyDescent="0.3">
      <c r="A282" s="17" t="s">
        <v>195</v>
      </c>
      <c r="B282" s="17" t="s">
        <v>67</v>
      </c>
      <c r="C282" s="17" t="s">
        <v>113</v>
      </c>
      <c r="D282" s="17" t="s">
        <v>114</v>
      </c>
      <c r="E282" s="17" t="s">
        <v>93</v>
      </c>
      <c r="F282" s="17" t="s">
        <v>137</v>
      </c>
      <c r="G282" s="17">
        <v>51.811353859999997</v>
      </c>
      <c r="H282" s="17">
        <v>44.252949999999998</v>
      </c>
      <c r="I282" s="17" t="s">
        <v>115</v>
      </c>
    </row>
    <row r="283" spans="1:9" x14ac:dyDescent="0.3">
      <c r="A283" s="17" t="s">
        <v>195</v>
      </c>
      <c r="B283" s="17" t="s">
        <v>67</v>
      </c>
      <c r="C283" s="17" t="s">
        <v>113</v>
      </c>
      <c r="D283" s="17" t="s">
        <v>114</v>
      </c>
      <c r="E283" s="17" t="s">
        <v>96</v>
      </c>
      <c r="F283" s="17" t="s">
        <v>96</v>
      </c>
      <c r="G283" s="17">
        <v>3.1928769720000001E-4</v>
      </c>
      <c r="H283" s="17">
        <v>2.7270899999999999E-4</v>
      </c>
      <c r="I283" s="17" t="s">
        <v>115</v>
      </c>
    </row>
    <row r="284" spans="1:9" x14ac:dyDescent="0.3">
      <c r="A284" s="17" t="s">
        <v>195</v>
      </c>
      <c r="B284" s="17" t="s">
        <v>67</v>
      </c>
      <c r="C284" s="17" t="s">
        <v>113</v>
      </c>
      <c r="D284" s="17" t="s">
        <v>114</v>
      </c>
      <c r="E284" s="17" t="s">
        <v>99</v>
      </c>
      <c r="F284" s="17" t="s">
        <v>142</v>
      </c>
      <c r="G284" s="17">
        <v>4.4111728156000004E-3</v>
      </c>
      <c r="H284" s="17">
        <v>3.7676570000000002E-3</v>
      </c>
      <c r="I284" s="17" t="s">
        <v>115</v>
      </c>
    </row>
    <row r="285" spans="1:9" x14ac:dyDescent="0.3">
      <c r="A285" s="17" t="s">
        <v>195</v>
      </c>
      <c r="B285" s="17" t="s">
        <v>67</v>
      </c>
      <c r="C285" s="17" t="s">
        <v>113</v>
      </c>
      <c r="D285" s="17" t="s">
        <v>114</v>
      </c>
      <c r="E285" s="17" t="s">
        <v>99</v>
      </c>
      <c r="F285" s="17" t="s">
        <v>143</v>
      </c>
      <c r="G285" s="17">
        <v>30.5125811527653</v>
      </c>
      <c r="H285" s="17">
        <v>26.061309491599999</v>
      </c>
      <c r="I285" s="17" t="s">
        <v>115</v>
      </c>
    </row>
    <row r="286" spans="1:9" x14ac:dyDescent="0.3">
      <c r="A286" s="17" t="s">
        <v>195</v>
      </c>
      <c r="B286" s="17" t="s">
        <v>67</v>
      </c>
      <c r="C286" s="17" t="s">
        <v>113</v>
      </c>
      <c r="D286" s="17" t="s">
        <v>114</v>
      </c>
      <c r="E286" s="17" t="s">
        <v>99</v>
      </c>
      <c r="F286" s="17" t="s">
        <v>144</v>
      </c>
      <c r="G286" s="17">
        <v>3.4871809680000001E-4</v>
      </c>
      <c r="H286" s="17">
        <v>2.9784599999999999E-4</v>
      </c>
      <c r="I286" s="17" t="s">
        <v>115</v>
      </c>
    </row>
    <row r="287" spans="1:9" x14ac:dyDescent="0.3">
      <c r="A287" s="17" t="s">
        <v>195</v>
      </c>
      <c r="B287" s="17" t="s">
        <v>67</v>
      </c>
      <c r="C287" s="17" t="s">
        <v>113</v>
      </c>
      <c r="D287" s="17" t="s">
        <v>114</v>
      </c>
      <c r="E287" s="17" t="s">
        <v>99</v>
      </c>
      <c r="F287" s="17" t="s">
        <v>147</v>
      </c>
      <c r="G287" s="17">
        <v>8.4443739255999999E-4</v>
      </c>
      <c r="H287" s="17">
        <v>7.2124820000000003E-4</v>
      </c>
      <c r="I287" s="17" t="s">
        <v>115</v>
      </c>
    </row>
    <row r="288" spans="1:9" x14ac:dyDescent="0.3">
      <c r="A288" s="17" t="s">
        <v>195</v>
      </c>
      <c r="B288" s="17" t="s">
        <v>67</v>
      </c>
      <c r="C288" s="17" t="s">
        <v>113</v>
      </c>
      <c r="D288" s="17" t="s">
        <v>114</v>
      </c>
      <c r="E288" s="17" t="s">
        <v>99</v>
      </c>
      <c r="F288" s="17" t="s">
        <v>148</v>
      </c>
      <c r="G288" s="17">
        <v>247.341306655924</v>
      </c>
      <c r="H288" s="17">
        <v>211.25837602999999</v>
      </c>
      <c r="I288" s="17" t="s">
        <v>115</v>
      </c>
    </row>
    <row r="289" spans="1:9" x14ac:dyDescent="0.3">
      <c r="A289" s="17" t="s">
        <v>195</v>
      </c>
      <c r="B289" s="17" t="s">
        <v>67</v>
      </c>
      <c r="C289" s="17" t="s">
        <v>113</v>
      </c>
      <c r="D289" s="17" t="s">
        <v>114</v>
      </c>
      <c r="E289" s="17" t="s">
        <v>99</v>
      </c>
      <c r="F289" s="17" t="s">
        <v>150</v>
      </c>
      <c r="G289" s="17">
        <v>1.455784428E-4</v>
      </c>
      <c r="H289" s="17">
        <v>1.2434100000000001E-4</v>
      </c>
      <c r="I289" s="17" t="s">
        <v>115</v>
      </c>
    </row>
    <row r="290" spans="1:9" x14ac:dyDescent="0.3">
      <c r="A290" s="17" t="s">
        <v>195</v>
      </c>
      <c r="B290" s="17" t="s">
        <v>67</v>
      </c>
      <c r="C290" s="17" t="s">
        <v>113</v>
      </c>
      <c r="D290" s="17" t="s">
        <v>114</v>
      </c>
      <c r="E290" s="17" t="s">
        <v>99</v>
      </c>
      <c r="F290" s="17" t="s">
        <v>152</v>
      </c>
      <c r="G290" s="17">
        <v>5.6634977434311997</v>
      </c>
      <c r="H290" s="17">
        <v>4.8372888139999999</v>
      </c>
      <c r="I290" s="17" t="s">
        <v>115</v>
      </c>
    </row>
    <row r="291" spans="1:9" x14ac:dyDescent="0.3">
      <c r="A291" s="17" t="s">
        <v>195</v>
      </c>
      <c r="B291" s="17" t="s">
        <v>67</v>
      </c>
      <c r="C291" s="17" t="s">
        <v>113</v>
      </c>
      <c r="D291" s="17" t="s">
        <v>114</v>
      </c>
      <c r="E291" s="17" t="s">
        <v>99</v>
      </c>
      <c r="F291" s="17" t="s">
        <v>154</v>
      </c>
      <c r="G291" s="17">
        <v>6.6603323015999999E-3</v>
      </c>
      <c r="H291" s="17">
        <v>5.6887020000000003E-3</v>
      </c>
      <c r="I291" s="17" t="s">
        <v>115</v>
      </c>
    </row>
    <row r="292" spans="1:9" x14ac:dyDescent="0.3">
      <c r="A292" s="17" t="s">
        <v>195</v>
      </c>
      <c r="B292" s="17" t="s">
        <v>67</v>
      </c>
      <c r="C292" s="17" t="s">
        <v>113</v>
      </c>
      <c r="D292" s="17" t="s">
        <v>114</v>
      </c>
      <c r="E292" s="17" t="s">
        <v>101</v>
      </c>
      <c r="F292" s="17" t="s">
        <v>157</v>
      </c>
      <c r="G292" s="17">
        <v>2258.5405316946699</v>
      </c>
      <c r="H292" s="17">
        <v>1929.0575091344999</v>
      </c>
      <c r="I292" s="17" t="s">
        <v>115</v>
      </c>
    </row>
    <row r="293" spans="1:9" x14ac:dyDescent="0.3">
      <c r="A293" s="17" t="s">
        <v>195</v>
      </c>
      <c r="B293" s="17" t="s">
        <v>67</v>
      </c>
      <c r="C293" s="17" t="s">
        <v>113</v>
      </c>
      <c r="D293" s="17" t="s">
        <v>114</v>
      </c>
      <c r="E293" s="17" t="s">
        <v>101</v>
      </c>
      <c r="F293" s="17" t="s">
        <v>158</v>
      </c>
      <c r="G293" s="17">
        <v>118.11779712000001</v>
      </c>
      <c r="H293" s="17">
        <v>100.88639999999999</v>
      </c>
      <c r="I293" s="17" t="s">
        <v>115</v>
      </c>
    </row>
    <row r="294" spans="1:9" x14ac:dyDescent="0.3">
      <c r="A294" s="17" t="s">
        <v>195</v>
      </c>
      <c r="B294" s="17" t="s">
        <v>67</v>
      </c>
      <c r="C294" s="17" t="s">
        <v>113</v>
      </c>
      <c r="D294" s="17" t="s">
        <v>114</v>
      </c>
      <c r="E294" s="17" t="s">
        <v>101</v>
      </c>
      <c r="F294" s="17" t="s">
        <v>160</v>
      </c>
      <c r="G294" s="17">
        <v>111.52761066844199</v>
      </c>
      <c r="H294" s="17">
        <v>95.257610752000005</v>
      </c>
      <c r="I294" s="17" t="s">
        <v>115</v>
      </c>
    </row>
    <row r="295" spans="1:9" x14ac:dyDescent="0.3">
      <c r="A295" s="17" t="s">
        <v>195</v>
      </c>
      <c r="B295" s="17" t="s">
        <v>67</v>
      </c>
      <c r="C295" s="17" t="s">
        <v>113</v>
      </c>
      <c r="D295" s="17" t="s">
        <v>114</v>
      </c>
      <c r="E295" s="17" t="s">
        <v>102</v>
      </c>
      <c r="F295" s="17" t="s">
        <v>165</v>
      </c>
      <c r="G295" s="17">
        <v>9.19616568</v>
      </c>
      <c r="H295" s="17">
        <v>7.8545999999999996</v>
      </c>
      <c r="I295" s="17" t="s">
        <v>115</v>
      </c>
    </row>
    <row r="296" spans="1:9" x14ac:dyDescent="0.3">
      <c r="A296" s="17" t="s">
        <v>195</v>
      </c>
      <c r="B296" s="17" t="s">
        <v>67</v>
      </c>
      <c r="C296" s="17" t="s">
        <v>113</v>
      </c>
      <c r="D296" s="17" t="s">
        <v>114</v>
      </c>
      <c r="E296" s="17" t="s">
        <v>102</v>
      </c>
      <c r="F296" s="17" t="s">
        <v>166</v>
      </c>
      <c r="G296" s="17">
        <v>109.704780387651</v>
      </c>
      <c r="H296" s="17">
        <v>93.700700706910794</v>
      </c>
      <c r="I296" s="17" t="s">
        <v>115</v>
      </c>
    </row>
    <row r="297" spans="1:9" x14ac:dyDescent="0.3">
      <c r="A297" s="17" t="s">
        <v>195</v>
      </c>
      <c r="B297" s="17" t="s">
        <v>67</v>
      </c>
      <c r="C297" s="17" t="s">
        <v>113</v>
      </c>
      <c r="D297" s="17" t="s">
        <v>114</v>
      </c>
      <c r="E297" s="17" t="s">
        <v>103</v>
      </c>
      <c r="F297" s="17" t="s">
        <v>103</v>
      </c>
      <c r="G297" s="17">
        <v>34.443765200000001</v>
      </c>
      <c r="H297" s="17">
        <v>29.419</v>
      </c>
      <c r="I297" s="17" t="s">
        <v>115</v>
      </c>
    </row>
    <row r="298" spans="1:9" x14ac:dyDescent="0.3">
      <c r="A298" s="17" t="s">
        <v>195</v>
      </c>
      <c r="B298" s="17" t="s">
        <v>68</v>
      </c>
      <c r="C298" s="17" t="s">
        <v>113</v>
      </c>
      <c r="D298" s="17" t="s">
        <v>114</v>
      </c>
      <c r="E298" s="17" t="s">
        <v>71</v>
      </c>
      <c r="F298" s="17" t="s">
        <v>71</v>
      </c>
      <c r="G298" s="17">
        <v>25.289583</v>
      </c>
      <c r="H298" s="17">
        <v>21.948</v>
      </c>
      <c r="I298" s="17" t="s">
        <v>115</v>
      </c>
    </row>
    <row r="299" spans="1:9" x14ac:dyDescent="0.3">
      <c r="A299" s="17" t="s">
        <v>195</v>
      </c>
      <c r="B299" s="17" t="s">
        <v>68</v>
      </c>
      <c r="C299" s="17" t="s">
        <v>113</v>
      </c>
      <c r="D299" s="17" t="s">
        <v>114</v>
      </c>
      <c r="E299" s="17" t="s">
        <v>72</v>
      </c>
      <c r="F299" s="17" t="s">
        <v>116</v>
      </c>
      <c r="G299" s="17">
        <v>191.28354762000001</v>
      </c>
      <c r="H299" s="17">
        <v>166.00872000000001</v>
      </c>
      <c r="I299" s="17" t="s">
        <v>115</v>
      </c>
    </row>
    <row r="300" spans="1:9" x14ac:dyDescent="0.3">
      <c r="A300" s="17" t="s">
        <v>195</v>
      </c>
      <c r="B300" s="17" t="s">
        <v>68</v>
      </c>
      <c r="C300" s="17" t="s">
        <v>113</v>
      </c>
      <c r="D300" s="17" t="s">
        <v>114</v>
      </c>
      <c r="E300" s="17" t="s">
        <v>73</v>
      </c>
      <c r="F300" s="17" t="s">
        <v>117</v>
      </c>
      <c r="G300" s="17">
        <v>0</v>
      </c>
      <c r="H300" s="17">
        <v>0</v>
      </c>
      <c r="I300" s="17" t="s">
        <v>115</v>
      </c>
    </row>
    <row r="301" spans="1:9" x14ac:dyDescent="0.3">
      <c r="A301" s="17" t="s">
        <v>195</v>
      </c>
      <c r="B301" s="17" t="s">
        <v>68</v>
      </c>
      <c r="C301" s="17" t="s">
        <v>113</v>
      </c>
      <c r="D301" s="17" t="s">
        <v>114</v>
      </c>
      <c r="E301" s="17" t="s">
        <v>73</v>
      </c>
      <c r="F301" s="17" t="s">
        <v>118</v>
      </c>
      <c r="G301" s="17">
        <v>687.53374799999995</v>
      </c>
      <c r="H301" s="17">
        <v>596.68799999999999</v>
      </c>
      <c r="I301" s="17" t="s">
        <v>115</v>
      </c>
    </row>
    <row r="302" spans="1:9" x14ac:dyDescent="0.3">
      <c r="A302" s="17" t="s">
        <v>195</v>
      </c>
      <c r="B302" s="17" t="s">
        <v>68</v>
      </c>
      <c r="C302" s="17" t="s">
        <v>113</v>
      </c>
      <c r="D302" s="17" t="s">
        <v>114</v>
      </c>
      <c r="E302" s="17" t="s">
        <v>73</v>
      </c>
      <c r="F302" s="17" t="s">
        <v>119</v>
      </c>
      <c r="G302" s="17">
        <v>96.014688000000007</v>
      </c>
      <c r="H302" s="17">
        <v>83.328000000000003</v>
      </c>
      <c r="I302" s="17" t="s">
        <v>115</v>
      </c>
    </row>
    <row r="303" spans="1:9" x14ac:dyDescent="0.3">
      <c r="A303" s="17" t="s">
        <v>195</v>
      </c>
      <c r="B303" s="17" t="s">
        <v>68</v>
      </c>
      <c r="C303" s="17" t="s">
        <v>113</v>
      </c>
      <c r="D303" s="17" t="s">
        <v>114</v>
      </c>
      <c r="E303" s="17" t="s">
        <v>73</v>
      </c>
      <c r="F303" s="17" t="s">
        <v>120</v>
      </c>
      <c r="G303" s="17">
        <v>6.2322645452054797</v>
      </c>
      <c r="H303" s="17">
        <v>5.4087780821917804</v>
      </c>
      <c r="I303" s="17" t="s">
        <v>115</v>
      </c>
    </row>
    <row r="304" spans="1:9" x14ac:dyDescent="0.3">
      <c r="A304" s="17" t="s">
        <v>195</v>
      </c>
      <c r="B304" s="17" t="s">
        <v>68</v>
      </c>
      <c r="C304" s="17" t="s">
        <v>113</v>
      </c>
      <c r="D304" s="17" t="s">
        <v>114</v>
      </c>
      <c r="E304" s="17" t="s">
        <v>80</v>
      </c>
      <c r="F304" s="17" t="s">
        <v>80</v>
      </c>
      <c r="G304" s="17">
        <v>0.364627111211</v>
      </c>
      <c r="H304" s="17">
        <v>0.316447916</v>
      </c>
      <c r="I304" s="17" t="s">
        <v>115</v>
      </c>
    </row>
    <row r="305" spans="1:9" x14ac:dyDescent="0.3">
      <c r="A305" s="17" t="s">
        <v>195</v>
      </c>
      <c r="B305" s="17" t="s">
        <v>68</v>
      </c>
      <c r="C305" s="17" t="s">
        <v>113</v>
      </c>
      <c r="D305" s="17" t="s">
        <v>114</v>
      </c>
      <c r="E305" s="17" t="s">
        <v>77</v>
      </c>
      <c r="F305" s="17" t="s">
        <v>77</v>
      </c>
      <c r="G305" s="17">
        <v>1.69956875E-4</v>
      </c>
      <c r="H305" s="17">
        <v>1.4750000000000001E-4</v>
      </c>
      <c r="I305" s="17" t="s">
        <v>115</v>
      </c>
    </row>
    <row r="306" spans="1:9" x14ac:dyDescent="0.3">
      <c r="A306" s="17" t="s">
        <v>195</v>
      </c>
      <c r="B306" s="17" t="s">
        <v>68</v>
      </c>
      <c r="C306" s="17" t="s">
        <v>113</v>
      </c>
      <c r="D306" s="17" t="s">
        <v>114</v>
      </c>
      <c r="E306" s="17" t="s">
        <v>78</v>
      </c>
      <c r="F306" s="17" t="s">
        <v>123</v>
      </c>
      <c r="G306" s="17">
        <v>2.9792576</v>
      </c>
      <c r="H306" s="17">
        <v>2.5855999999999999</v>
      </c>
      <c r="I306" s="17" t="s">
        <v>115</v>
      </c>
    </row>
    <row r="307" spans="1:9" x14ac:dyDescent="0.3">
      <c r="A307" s="17" t="s">
        <v>195</v>
      </c>
      <c r="B307" s="17" t="s">
        <v>68</v>
      </c>
      <c r="C307" s="17" t="s">
        <v>113</v>
      </c>
      <c r="D307" s="17" t="s">
        <v>114</v>
      </c>
      <c r="E307" s="17" t="s">
        <v>78</v>
      </c>
      <c r="F307" s="17" t="s">
        <v>125</v>
      </c>
      <c r="G307" s="17">
        <v>205.40285040000001</v>
      </c>
      <c r="H307" s="17">
        <v>178.26240000000001</v>
      </c>
      <c r="I307" s="17" t="s">
        <v>115</v>
      </c>
    </row>
    <row r="308" spans="1:9" x14ac:dyDescent="0.3">
      <c r="A308" s="17" t="s">
        <v>195</v>
      </c>
      <c r="B308" s="17" t="s">
        <v>68</v>
      </c>
      <c r="C308" s="17" t="s">
        <v>113</v>
      </c>
      <c r="D308" s="17" t="s">
        <v>114</v>
      </c>
      <c r="E308" s="17" t="s">
        <v>79</v>
      </c>
      <c r="F308" s="17" t="s">
        <v>126</v>
      </c>
      <c r="G308" s="17">
        <v>0.67094758235417096</v>
      </c>
      <c r="H308" s="17">
        <v>0.5822934105916</v>
      </c>
      <c r="I308" s="17" t="s">
        <v>115</v>
      </c>
    </row>
    <row r="309" spans="1:9" x14ac:dyDescent="0.3">
      <c r="A309" s="17" t="s">
        <v>195</v>
      </c>
      <c r="B309" s="17" t="s">
        <v>68</v>
      </c>
      <c r="C309" s="17" t="s">
        <v>113</v>
      </c>
      <c r="D309" s="17" t="s">
        <v>114</v>
      </c>
      <c r="E309" s="17" t="s">
        <v>79</v>
      </c>
      <c r="F309" s="17" t="s">
        <v>79</v>
      </c>
      <c r="G309" s="17">
        <v>3.4125222488461802</v>
      </c>
      <c r="H309" s="17">
        <v>2.96161618472222</v>
      </c>
      <c r="I309" s="17" t="s">
        <v>115</v>
      </c>
    </row>
    <row r="310" spans="1:9" x14ac:dyDescent="0.3">
      <c r="A310" s="17" t="s">
        <v>195</v>
      </c>
      <c r="B310" s="17" t="s">
        <v>68</v>
      </c>
      <c r="C310" s="17" t="s">
        <v>113</v>
      </c>
      <c r="D310" s="17" t="s">
        <v>114</v>
      </c>
      <c r="E310" s="17" t="s">
        <v>81</v>
      </c>
      <c r="F310" s="17" t="s">
        <v>81</v>
      </c>
      <c r="G310" s="17">
        <v>46.871884141043097</v>
      </c>
      <c r="H310" s="17">
        <v>40.678571612968597</v>
      </c>
      <c r="I310" s="17" t="s">
        <v>115</v>
      </c>
    </row>
    <row r="311" spans="1:9" x14ac:dyDescent="0.3">
      <c r="A311" s="17" t="s">
        <v>195</v>
      </c>
      <c r="B311" s="17" t="s">
        <v>68</v>
      </c>
      <c r="C311" s="17" t="s">
        <v>113</v>
      </c>
      <c r="D311" s="17" t="s">
        <v>114</v>
      </c>
      <c r="E311" s="17" t="s">
        <v>83</v>
      </c>
      <c r="F311" s="17" t="s">
        <v>127</v>
      </c>
      <c r="G311" s="17">
        <v>0.18146177328195501</v>
      </c>
      <c r="H311" s="17">
        <v>0.15748472404595801</v>
      </c>
      <c r="I311" s="17" t="s">
        <v>115</v>
      </c>
    </row>
    <row r="312" spans="1:9" x14ac:dyDescent="0.3">
      <c r="A312" s="17" t="s">
        <v>195</v>
      </c>
      <c r="B312" s="17" t="s">
        <v>68</v>
      </c>
      <c r="C312" s="17" t="s">
        <v>113</v>
      </c>
      <c r="D312" s="17" t="s">
        <v>114</v>
      </c>
      <c r="E312" s="17" t="s">
        <v>83</v>
      </c>
      <c r="F312" s="17" t="s">
        <v>128</v>
      </c>
      <c r="G312" s="17">
        <v>2.2339595414853499</v>
      </c>
      <c r="H312" s="17">
        <v>1.93878024863124</v>
      </c>
      <c r="I312" s="17" t="s">
        <v>115</v>
      </c>
    </row>
    <row r="313" spans="1:9" x14ac:dyDescent="0.3">
      <c r="A313" s="17" t="s">
        <v>195</v>
      </c>
      <c r="B313" s="17" t="s">
        <v>68</v>
      </c>
      <c r="C313" s="17" t="s">
        <v>113</v>
      </c>
      <c r="D313" s="17" t="s">
        <v>114</v>
      </c>
      <c r="E313" s="17" t="s">
        <v>85</v>
      </c>
      <c r="F313" s="17" t="s">
        <v>85</v>
      </c>
      <c r="G313" s="17">
        <v>31.624138205349201</v>
      </c>
      <c r="H313" s="17">
        <v>27.445552792665801</v>
      </c>
      <c r="I313" s="17" t="s">
        <v>115</v>
      </c>
    </row>
    <row r="314" spans="1:9" x14ac:dyDescent="0.3">
      <c r="A314" s="17" t="s">
        <v>195</v>
      </c>
      <c r="B314" s="17" t="s">
        <v>68</v>
      </c>
      <c r="C314" s="17" t="s">
        <v>113</v>
      </c>
      <c r="D314" s="17" t="s">
        <v>114</v>
      </c>
      <c r="E314" s="17" t="s">
        <v>87</v>
      </c>
      <c r="F314" s="17" t="s">
        <v>87</v>
      </c>
      <c r="G314" s="17">
        <v>1.22389344825E-3</v>
      </c>
      <c r="H314" s="17">
        <v>1.0621770000000001E-3</v>
      </c>
      <c r="I314" s="17" t="s">
        <v>115</v>
      </c>
    </row>
    <row r="315" spans="1:9" x14ac:dyDescent="0.3">
      <c r="A315" s="17" t="s">
        <v>195</v>
      </c>
      <c r="B315" s="17" t="s">
        <v>68</v>
      </c>
      <c r="C315" s="17" t="s">
        <v>113</v>
      </c>
      <c r="D315" s="17" t="s">
        <v>114</v>
      </c>
      <c r="E315" s="17" t="s">
        <v>88</v>
      </c>
      <c r="F315" s="17" t="s">
        <v>88</v>
      </c>
      <c r="G315" s="17">
        <v>13.6306566</v>
      </c>
      <c r="H315" s="17">
        <v>11.829599999999999</v>
      </c>
      <c r="I315" s="17" t="s">
        <v>115</v>
      </c>
    </row>
    <row r="316" spans="1:9" x14ac:dyDescent="0.3">
      <c r="A316" s="17" t="s">
        <v>195</v>
      </c>
      <c r="B316" s="17" t="s">
        <v>68</v>
      </c>
      <c r="C316" s="17" t="s">
        <v>113</v>
      </c>
      <c r="D316" s="17" t="s">
        <v>114</v>
      </c>
      <c r="E316" s="17" t="s">
        <v>89</v>
      </c>
      <c r="F316" s="17" t="s">
        <v>89</v>
      </c>
      <c r="G316" s="17">
        <v>249.49482365420201</v>
      </c>
      <c r="H316" s="17">
        <v>216.52837808999999</v>
      </c>
      <c r="I316" s="17" t="s">
        <v>115</v>
      </c>
    </row>
    <row r="317" spans="1:9" x14ac:dyDescent="0.3">
      <c r="A317" s="17" t="s">
        <v>195</v>
      </c>
      <c r="B317" s="17" t="s">
        <v>68</v>
      </c>
      <c r="C317" s="17" t="s">
        <v>113</v>
      </c>
      <c r="D317" s="17" t="s">
        <v>114</v>
      </c>
      <c r="E317" s="17" t="s">
        <v>90</v>
      </c>
      <c r="F317" s="17" t="s">
        <v>90</v>
      </c>
      <c r="G317" s="17">
        <v>40.440875331386003</v>
      </c>
      <c r="H317" s="17">
        <v>35.097309899228499</v>
      </c>
      <c r="I317" s="17" t="s">
        <v>115</v>
      </c>
    </row>
    <row r="318" spans="1:9" x14ac:dyDescent="0.3">
      <c r="A318" s="17" t="s">
        <v>195</v>
      </c>
      <c r="B318" s="17" t="s">
        <v>68</v>
      </c>
      <c r="C318" s="17" t="s">
        <v>113</v>
      </c>
      <c r="D318" s="17" t="s">
        <v>114</v>
      </c>
      <c r="E318" s="17" t="s">
        <v>91</v>
      </c>
      <c r="F318" s="17" t="s">
        <v>91</v>
      </c>
      <c r="G318" s="17">
        <v>11.499920998533399</v>
      </c>
      <c r="H318" s="17">
        <v>9.9804044248500006</v>
      </c>
      <c r="I318" s="17" t="s">
        <v>115</v>
      </c>
    </row>
    <row r="319" spans="1:9" x14ac:dyDescent="0.3">
      <c r="A319" s="17" t="s">
        <v>195</v>
      </c>
      <c r="B319" s="17" t="s">
        <v>68</v>
      </c>
      <c r="C319" s="17" t="s">
        <v>113</v>
      </c>
      <c r="D319" s="17" t="s">
        <v>114</v>
      </c>
      <c r="E319" s="17" t="s">
        <v>93</v>
      </c>
      <c r="F319" s="17" t="s">
        <v>130</v>
      </c>
      <c r="G319" s="17">
        <v>282.18718877250001</v>
      </c>
      <c r="H319" s="17">
        <v>244.90101000000001</v>
      </c>
      <c r="I319" s="17" t="s">
        <v>115</v>
      </c>
    </row>
    <row r="320" spans="1:9" x14ac:dyDescent="0.3">
      <c r="A320" s="17" t="s">
        <v>195</v>
      </c>
      <c r="B320" s="17" t="s">
        <v>68</v>
      </c>
      <c r="C320" s="17" t="s">
        <v>113</v>
      </c>
      <c r="D320" s="17" t="s">
        <v>114</v>
      </c>
      <c r="E320" s="17" t="s">
        <v>93</v>
      </c>
      <c r="F320" s="17" t="s">
        <v>131</v>
      </c>
      <c r="G320" s="17">
        <v>99.823796049999999</v>
      </c>
      <c r="H320" s="17">
        <v>86.633799999999994</v>
      </c>
      <c r="I320" s="17" t="s">
        <v>115</v>
      </c>
    </row>
    <row r="321" spans="1:9" x14ac:dyDescent="0.3">
      <c r="A321" s="17" t="s">
        <v>195</v>
      </c>
      <c r="B321" s="17" t="s">
        <v>68</v>
      </c>
      <c r="C321" s="17" t="s">
        <v>113</v>
      </c>
      <c r="D321" s="17" t="s">
        <v>114</v>
      </c>
      <c r="E321" s="17" t="s">
        <v>93</v>
      </c>
      <c r="F321" s="17" t="s">
        <v>132</v>
      </c>
      <c r="G321" s="17">
        <v>0.343766874</v>
      </c>
      <c r="H321" s="17">
        <v>0.298344</v>
      </c>
      <c r="I321" s="17" t="s">
        <v>115</v>
      </c>
    </row>
    <row r="322" spans="1:9" x14ac:dyDescent="0.3">
      <c r="A322" s="17" t="s">
        <v>195</v>
      </c>
      <c r="B322" s="17" t="s">
        <v>68</v>
      </c>
      <c r="C322" s="17" t="s">
        <v>113</v>
      </c>
      <c r="D322" s="17" t="s">
        <v>114</v>
      </c>
      <c r="E322" s="17" t="s">
        <v>93</v>
      </c>
      <c r="F322" s="17" t="s">
        <v>133</v>
      </c>
      <c r="G322" s="17">
        <v>10.1974125</v>
      </c>
      <c r="H322" s="17">
        <v>8.85</v>
      </c>
      <c r="I322" s="17" t="s">
        <v>115</v>
      </c>
    </row>
    <row r="323" spans="1:9" x14ac:dyDescent="0.3">
      <c r="A323" s="17" t="s">
        <v>195</v>
      </c>
      <c r="B323" s="17" t="s">
        <v>68</v>
      </c>
      <c r="C323" s="17" t="s">
        <v>113</v>
      </c>
      <c r="D323" s="17" t="s">
        <v>114</v>
      </c>
      <c r="E323" s="17" t="s">
        <v>93</v>
      </c>
      <c r="F323" s="17" t="s">
        <v>134</v>
      </c>
      <c r="G323" s="17">
        <v>3.4882479059999998</v>
      </c>
      <c r="H323" s="17">
        <v>3.027336</v>
      </c>
      <c r="I323" s="17" t="s">
        <v>115</v>
      </c>
    </row>
    <row r="324" spans="1:9" x14ac:dyDescent="0.3">
      <c r="A324" s="17" t="s">
        <v>195</v>
      </c>
      <c r="B324" s="17" t="s">
        <v>68</v>
      </c>
      <c r="C324" s="17" t="s">
        <v>113</v>
      </c>
      <c r="D324" s="17" t="s">
        <v>114</v>
      </c>
      <c r="E324" s="17" t="s">
        <v>93</v>
      </c>
      <c r="F324" s="17" t="s">
        <v>136</v>
      </c>
      <c r="G324" s="17">
        <v>24.41516352</v>
      </c>
      <c r="H324" s="17">
        <v>21.189119999999999</v>
      </c>
      <c r="I324" s="17" t="s">
        <v>115</v>
      </c>
    </row>
    <row r="325" spans="1:9" x14ac:dyDescent="0.3">
      <c r="A325" s="17" t="s">
        <v>195</v>
      </c>
      <c r="B325" s="17" t="s">
        <v>68</v>
      </c>
      <c r="C325" s="17" t="s">
        <v>113</v>
      </c>
      <c r="D325" s="17" t="s">
        <v>114</v>
      </c>
      <c r="E325" s="17" t="s">
        <v>93</v>
      </c>
      <c r="F325" s="17" t="s">
        <v>137</v>
      </c>
      <c r="G325" s="17">
        <v>49.567582680000001</v>
      </c>
      <c r="H325" s="17">
        <v>43.018079999999998</v>
      </c>
      <c r="I325" s="17" t="s">
        <v>115</v>
      </c>
    </row>
    <row r="326" spans="1:9" x14ac:dyDescent="0.3">
      <c r="A326" s="17" t="s">
        <v>195</v>
      </c>
      <c r="B326" s="17" t="s">
        <v>68</v>
      </c>
      <c r="C326" s="17" t="s">
        <v>113</v>
      </c>
      <c r="D326" s="17" t="s">
        <v>114</v>
      </c>
      <c r="E326" s="17" t="s">
        <v>94</v>
      </c>
      <c r="F326" s="17" t="s">
        <v>94</v>
      </c>
      <c r="G326" s="17">
        <v>4.0509957443999998E-7</v>
      </c>
      <c r="H326" s="17">
        <v>3.5157264000000001E-7</v>
      </c>
      <c r="I326" s="17" t="s">
        <v>115</v>
      </c>
    </row>
    <row r="327" spans="1:9" x14ac:dyDescent="0.3">
      <c r="A327" s="17" t="s">
        <v>195</v>
      </c>
      <c r="B327" s="17" t="s">
        <v>68</v>
      </c>
      <c r="C327" s="17" t="s">
        <v>113</v>
      </c>
      <c r="D327" s="17" t="s">
        <v>114</v>
      </c>
      <c r="E327" s="17" t="s">
        <v>96</v>
      </c>
      <c r="F327" s="17" t="s">
        <v>96</v>
      </c>
      <c r="G327" s="17">
        <v>3.2074146224999998E-4</v>
      </c>
      <c r="H327" s="17">
        <v>2.7836099999999997E-4</v>
      </c>
      <c r="I327" s="17" t="s">
        <v>115</v>
      </c>
    </row>
    <row r="328" spans="1:9" x14ac:dyDescent="0.3">
      <c r="A328" s="17" t="s">
        <v>195</v>
      </c>
      <c r="B328" s="17" t="s">
        <v>68</v>
      </c>
      <c r="C328" s="17" t="s">
        <v>113</v>
      </c>
      <c r="D328" s="17" t="s">
        <v>114</v>
      </c>
      <c r="E328" s="17" t="s">
        <v>99</v>
      </c>
      <c r="F328" s="17" t="s">
        <v>142</v>
      </c>
      <c r="G328" s="17">
        <v>7.1192492167500001E-3</v>
      </c>
      <c r="H328" s="17">
        <v>6.1785629999999998E-3</v>
      </c>
      <c r="I328" s="17" t="s">
        <v>115</v>
      </c>
    </row>
    <row r="329" spans="1:9" x14ac:dyDescent="0.3">
      <c r="A329" s="17" t="s">
        <v>195</v>
      </c>
      <c r="B329" s="17" t="s">
        <v>68</v>
      </c>
      <c r="C329" s="17" t="s">
        <v>113</v>
      </c>
      <c r="D329" s="17" t="s">
        <v>114</v>
      </c>
      <c r="E329" s="17" t="s">
        <v>99</v>
      </c>
      <c r="F329" s="17" t="s">
        <v>143</v>
      </c>
      <c r="G329" s="17">
        <v>30.187717499474701</v>
      </c>
      <c r="H329" s="17">
        <v>26.198930353200002</v>
      </c>
      <c r="I329" s="17" t="s">
        <v>115</v>
      </c>
    </row>
    <row r="330" spans="1:9" x14ac:dyDescent="0.3">
      <c r="A330" s="17" t="s">
        <v>195</v>
      </c>
      <c r="B330" s="17" t="s">
        <v>68</v>
      </c>
      <c r="C330" s="17" t="s">
        <v>113</v>
      </c>
      <c r="D330" s="17" t="s">
        <v>114</v>
      </c>
      <c r="E330" s="17" t="s">
        <v>99</v>
      </c>
      <c r="F330" s="17" t="s">
        <v>144</v>
      </c>
      <c r="G330" s="17">
        <v>5.9762252824999997E-4</v>
      </c>
      <c r="H330" s="17">
        <v>5.1865699999999995E-4</v>
      </c>
      <c r="I330" s="17" t="s">
        <v>115</v>
      </c>
    </row>
    <row r="331" spans="1:9" x14ac:dyDescent="0.3">
      <c r="A331" s="17" t="s">
        <v>195</v>
      </c>
      <c r="B331" s="17" t="s">
        <v>68</v>
      </c>
      <c r="C331" s="17" t="s">
        <v>113</v>
      </c>
      <c r="D331" s="17" t="s">
        <v>114</v>
      </c>
      <c r="E331" s="17" t="s">
        <v>99</v>
      </c>
      <c r="F331" s="17" t="s">
        <v>147</v>
      </c>
      <c r="G331" s="17">
        <v>2.1748745943099999E-3</v>
      </c>
      <c r="H331" s="17">
        <v>1.88750236E-3</v>
      </c>
      <c r="I331" s="17" t="s">
        <v>115</v>
      </c>
    </row>
    <row r="332" spans="1:9" x14ac:dyDescent="0.3">
      <c r="A332" s="17" t="s">
        <v>195</v>
      </c>
      <c r="B332" s="17" t="s">
        <v>68</v>
      </c>
      <c r="C332" s="17" t="s">
        <v>113</v>
      </c>
      <c r="D332" s="17" t="s">
        <v>114</v>
      </c>
      <c r="E332" s="17" t="s">
        <v>99</v>
      </c>
      <c r="F332" s="17" t="s">
        <v>148</v>
      </c>
      <c r="G332" s="17">
        <v>217.41783787039199</v>
      </c>
      <c r="H332" s="17">
        <v>188.68981373</v>
      </c>
      <c r="I332" s="17" t="s">
        <v>115</v>
      </c>
    </row>
    <row r="333" spans="1:9" x14ac:dyDescent="0.3">
      <c r="A333" s="17" t="s">
        <v>195</v>
      </c>
      <c r="B333" s="17" t="s">
        <v>68</v>
      </c>
      <c r="C333" s="17" t="s">
        <v>113</v>
      </c>
      <c r="D333" s="17" t="s">
        <v>114</v>
      </c>
      <c r="E333" s="17" t="s">
        <v>99</v>
      </c>
      <c r="F333" s="17" t="s">
        <v>150</v>
      </c>
      <c r="G333" s="17">
        <v>1.4327191725000001E-4</v>
      </c>
      <c r="H333" s="17">
        <v>1.2434100000000001E-4</v>
      </c>
      <c r="I333" s="17" t="s">
        <v>115</v>
      </c>
    </row>
    <row r="334" spans="1:9" x14ac:dyDescent="0.3">
      <c r="A334" s="17" t="s">
        <v>195</v>
      </c>
      <c r="B334" s="17" t="s">
        <v>68</v>
      </c>
      <c r="C334" s="17" t="s">
        <v>113</v>
      </c>
      <c r="D334" s="17" t="s">
        <v>114</v>
      </c>
      <c r="E334" s="17" t="s">
        <v>99</v>
      </c>
      <c r="F334" s="17" t="s">
        <v>152</v>
      </c>
      <c r="G334" s="17">
        <v>5.6923754643841198</v>
      </c>
      <c r="H334" s="17">
        <v>4.9402260484999996</v>
      </c>
      <c r="I334" s="17" t="s">
        <v>115</v>
      </c>
    </row>
    <row r="335" spans="1:9" x14ac:dyDescent="0.3">
      <c r="A335" s="17" t="s">
        <v>195</v>
      </c>
      <c r="B335" s="17" t="s">
        <v>68</v>
      </c>
      <c r="C335" s="17" t="s">
        <v>113</v>
      </c>
      <c r="D335" s="17" t="s">
        <v>114</v>
      </c>
      <c r="E335" s="17" t="s">
        <v>99</v>
      </c>
      <c r="F335" s="17" t="s">
        <v>153</v>
      </c>
      <c r="G335" s="17">
        <v>2.7505590199999999E-5</v>
      </c>
      <c r="H335" s="17">
        <v>2.3871199999999999E-5</v>
      </c>
      <c r="I335" s="17" t="s">
        <v>115</v>
      </c>
    </row>
    <row r="336" spans="1:9" x14ac:dyDescent="0.3">
      <c r="A336" s="17" t="s">
        <v>195</v>
      </c>
      <c r="B336" s="17" t="s">
        <v>68</v>
      </c>
      <c r="C336" s="17" t="s">
        <v>113</v>
      </c>
      <c r="D336" s="17" t="s">
        <v>114</v>
      </c>
      <c r="E336" s="17" t="s">
        <v>99</v>
      </c>
      <c r="F336" s="17" t="s">
        <v>154</v>
      </c>
      <c r="G336" s="17">
        <v>6.5553198611999998E-3</v>
      </c>
      <c r="H336" s="17">
        <v>5.6891472000000004E-3</v>
      </c>
      <c r="I336" s="17" t="s">
        <v>115</v>
      </c>
    </row>
    <row r="337" spans="1:9" x14ac:dyDescent="0.3">
      <c r="A337" s="17" t="s">
        <v>195</v>
      </c>
      <c r="B337" s="17" t="s">
        <v>68</v>
      </c>
      <c r="C337" s="17" t="s">
        <v>113</v>
      </c>
      <c r="D337" s="17" t="s">
        <v>114</v>
      </c>
      <c r="E337" s="17" t="s">
        <v>101</v>
      </c>
      <c r="F337" s="17" t="s">
        <v>157</v>
      </c>
      <c r="G337" s="17">
        <v>1976.29953963773</v>
      </c>
      <c r="H337" s="17">
        <v>1715.1655800717999</v>
      </c>
      <c r="I337" s="17" t="s">
        <v>115</v>
      </c>
    </row>
    <row r="338" spans="1:9" x14ac:dyDescent="0.3">
      <c r="A338" s="17" t="s">
        <v>195</v>
      </c>
      <c r="B338" s="17" t="s">
        <v>68</v>
      </c>
      <c r="C338" s="17" t="s">
        <v>113</v>
      </c>
      <c r="D338" s="17" t="s">
        <v>114</v>
      </c>
      <c r="E338" s="17" t="s">
        <v>101</v>
      </c>
      <c r="F338" s="17" t="s">
        <v>158</v>
      </c>
      <c r="G338" s="17">
        <v>116.24375338781999</v>
      </c>
      <c r="H338" s="17">
        <v>100.8841426668</v>
      </c>
      <c r="I338" s="17" t="s">
        <v>115</v>
      </c>
    </row>
    <row r="339" spans="1:9" x14ac:dyDescent="0.3">
      <c r="A339" s="17" t="s">
        <v>195</v>
      </c>
      <c r="B339" s="17" t="s">
        <v>68</v>
      </c>
      <c r="C339" s="17" t="s">
        <v>113</v>
      </c>
      <c r="D339" s="17" t="s">
        <v>114</v>
      </c>
      <c r="E339" s="17" t="s">
        <v>101</v>
      </c>
      <c r="F339" s="17" t="s">
        <v>159</v>
      </c>
      <c r="G339" s="17">
        <v>2.2150965169079999</v>
      </c>
      <c r="H339" s="17">
        <v>1.9224096479999999</v>
      </c>
      <c r="I339" s="17" t="s">
        <v>115</v>
      </c>
    </row>
    <row r="340" spans="1:9" x14ac:dyDescent="0.3">
      <c r="A340" s="17" t="s">
        <v>195</v>
      </c>
      <c r="B340" s="17" t="s">
        <v>68</v>
      </c>
      <c r="C340" s="17" t="s">
        <v>113</v>
      </c>
      <c r="D340" s="17" t="s">
        <v>114</v>
      </c>
      <c r="E340" s="17" t="s">
        <v>101</v>
      </c>
      <c r="F340" s="17" t="s">
        <v>160</v>
      </c>
      <c r="G340" s="17">
        <v>109.690569509136</v>
      </c>
      <c r="H340" s="17">
        <v>95.196849216000004</v>
      </c>
      <c r="I340" s="17" t="s">
        <v>115</v>
      </c>
    </row>
    <row r="341" spans="1:9" x14ac:dyDescent="0.3">
      <c r="A341" s="17" t="s">
        <v>195</v>
      </c>
      <c r="B341" s="17" t="s">
        <v>68</v>
      </c>
      <c r="C341" s="17" t="s">
        <v>113</v>
      </c>
      <c r="D341" s="17" t="s">
        <v>114</v>
      </c>
      <c r="E341" s="17" t="s">
        <v>101</v>
      </c>
      <c r="F341" s="17" t="s">
        <v>162</v>
      </c>
      <c r="G341" s="17">
        <v>0.33895263891720001</v>
      </c>
      <c r="H341" s="17">
        <v>0.29416588319999998</v>
      </c>
      <c r="I341" s="17" t="s">
        <v>115</v>
      </c>
    </row>
    <row r="342" spans="1:9" x14ac:dyDescent="0.3">
      <c r="A342" s="17" t="s">
        <v>195</v>
      </c>
      <c r="B342" s="17" t="s">
        <v>68</v>
      </c>
      <c r="C342" s="17" t="s">
        <v>113</v>
      </c>
      <c r="D342" s="17" t="s">
        <v>114</v>
      </c>
      <c r="E342" s="17" t="s">
        <v>102</v>
      </c>
      <c r="F342" s="17" t="s">
        <v>165</v>
      </c>
      <c r="G342" s="17">
        <v>9.0748905499999992</v>
      </c>
      <c r="H342" s="17">
        <v>7.8757999999999999</v>
      </c>
      <c r="I342" s="17" t="s">
        <v>115</v>
      </c>
    </row>
    <row r="343" spans="1:9" x14ac:dyDescent="0.3">
      <c r="A343" s="17" t="s">
        <v>195</v>
      </c>
      <c r="B343" s="17" t="s">
        <v>68</v>
      </c>
      <c r="C343" s="17" t="s">
        <v>113</v>
      </c>
      <c r="D343" s="17" t="s">
        <v>114</v>
      </c>
      <c r="E343" s="17" t="s">
        <v>102</v>
      </c>
      <c r="F343" s="17" t="s">
        <v>166</v>
      </c>
      <c r="G343" s="17">
        <v>106.760292875806</v>
      </c>
      <c r="H343" s="17">
        <v>92.653758191196602</v>
      </c>
      <c r="I343" s="17" t="s">
        <v>115</v>
      </c>
    </row>
    <row r="344" spans="1:9" x14ac:dyDescent="0.3">
      <c r="A344" s="17" t="s">
        <v>195</v>
      </c>
      <c r="B344" s="17" t="s">
        <v>68</v>
      </c>
      <c r="C344" s="17" t="s">
        <v>113</v>
      </c>
      <c r="D344" s="17" t="s">
        <v>114</v>
      </c>
      <c r="E344" s="17" t="s">
        <v>103</v>
      </c>
      <c r="F344" s="17" t="s">
        <v>103</v>
      </c>
      <c r="G344" s="17">
        <v>33.898042750000002</v>
      </c>
      <c r="H344" s="17">
        <v>29.419</v>
      </c>
      <c r="I344" s="17" t="s">
        <v>115</v>
      </c>
    </row>
    <row r="345" spans="1:9" x14ac:dyDescent="0.3">
      <c r="A345" s="17" t="s">
        <v>195</v>
      </c>
      <c r="B345" s="17" t="s">
        <v>69</v>
      </c>
      <c r="C345" s="17" t="s">
        <v>113</v>
      </c>
      <c r="D345" s="17" t="s">
        <v>114</v>
      </c>
      <c r="E345" s="17" t="s">
        <v>71</v>
      </c>
      <c r="F345" s="17" t="s">
        <v>71</v>
      </c>
      <c r="G345" s="17">
        <v>24.623532000000001</v>
      </c>
      <c r="H345" s="17">
        <v>21.24</v>
      </c>
      <c r="I345" s="17" t="s">
        <v>115</v>
      </c>
    </row>
    <row r="346" spans="1:9" x14ac:dyDescent="0.3">
      <c r="A346" s="17" t="s">
        <v>195</v>
      </c>
      <c r="B346" s="17" t="s">
        <v>69</v>
      </c>
      <c r="C346" s="17" t="s">
        <v>113</v>
      </c>
      <c r="D346" s="17" t="s">
        <v>114</v>
      </c>
      <c r="E346" s="17" t="s">
        <v>72</v>
      </c>
      <c r="F346" s="17" t="s">
        <v>116</v>
      </c>
      <c r="G346" s="17">
        <v>186.24571847999999</v>
      </c>
      <c r="H346" s="17">
        <v>160.65360000000001</v>
      </c>
      <c r="I346" s="17" t="s">
        <v>115</v>
      </c>
    </row>
    <row r="347" spans="1:9" x14ac:dyDescent="0.3">
      <c r="A347" s="17" t="s">
        <v>195</v>
      </c>
      <c r="B347" s="17" t="s">
        <v>69</v>
      </c>
      <c r="C347" s="17" t="s">
        <v>113</v>
      </c>
      <c r="D347" s="17" t="s">
        <v>114</v>
      </c>
      <c r="E347" s="17" t="s">
        <v>73</v>
      </c>
      <c r="F347" s="17" t="s">
        <v>117</v>
      </c>
      <c r="G347" s="17">
        <v>0</v>
      </c>
      <c r="H347" s="17">
        <v>0</v>
      </c>
      <c r="I347" s="17" t="s">
        <v>115</v>
      </c>
    </row>
    <row r="348" spans="1:9" x14ac:dyDescent="0.3">
      <c r="A348" s="17" t="s">
        <v>195</v>
      </c>
      <c r="B348" s="17" t="s">
        <v>69</v>
      </c>
      <c r="C348" s="17" t="s">
        <v>113</v>
      </c>
      <c r="D348" s="17" t="s">
        <v>114</v>
      </c>
      <c r="E348" s="17" t="s">
        <v>73</v>
      </c>
      <c r="F348" s="17" t="s">
        <v>118</v>
      </c>
      <c r="G348" s="17">
        <v>669.42619200000001</v>
      </c>
      <c r="H348" s="17">
        <v>577.44000000000005</v>
      </c>
      <c r="I348" s="17" t="s">
        <v>115</v>
      </c>
    </row>
    <row r="349" spans="1:9" x14ac:dyDescent="0.3">
      <c r="A349" s="17" t="s">
        <v>195</v>
      </c>
      <c r="B349" s="17" t="s">
        <v>69</v>
      </c>
      <c r="C349" s="17" t="s">
        <v>113</v>
      </c>
      <c r="D349" s="17" t="s">
        <v>114</v>
      </c>
      <c r="E349" s="17" t="s">
        <v>73</v>
      </c>
      <c r="F349" s="17" t="s">
        <v>119</v>
      </c>
      <c r="G349" s="17">
        <v>93.485951999999997</v>
      </c>
      <c r="H349" s="17">
        <v>80.64</v>
      </c>
      <c r="I349" s="17" t="s">
        <v>115</v>
      </c>
    </row>
    <row r="350" spans="1:9" x14ac:dyDescent="0.3">
      <c r="A350" s="17" t="s">
        <v>195</v>
      </c>
      <c r="B350" s="17" t="s">
        <v>69</v>
      </c>
      <c r="C350" s="17" t="s">
        <v>113</v>
      </c>
      <c r="D350" s="17" t="s">
        <v>114</v>
      </c>
      <c r="E350" s="17" t="s">
        <v>73</v>
      </c>
      <c r="F350" s="17" t="s">
        <v>120</v>
      </c>
      <c r="G350" s="17">
        <v>6.0681255780821903</v>
      </c>
      <c r="H350" s="17">
        <v>5.2343013698630099</v>
      </c>
      <c r="I350" s="17" t="s">
        <v>115</v>
      </c>
    </row>
    <row r="351" spans="1:9" x14ac:dyDescent="0.3">
      <c r="A351" s="17" t="s">
        <v>195</v>
      </c>
      <c r="B351" s="17" t="s">
        <v>69</v>
      </c>
      <c r="C351" s="17" t="s">
        <v>113</v>
      </c>
      <c r="D351" s="17" t="s">
        <v>114</v>
      </c>
      <c r="E351" s="17" t="s">
        <v>80</v>
      </c>
      <c r="F351" s="17" t="s">
        <v>80</v>
      </c>
      <c r="G351" s="17">
        <v>0.35401591743490302</v>
      </c>
      <c r="H351" s="17">
        <v>0.30537041096774198</v>
      </c>
      <c r="I351" s="17" t="s">
        <v>115</v>
      </c>
    </row>
    <row r="352" spans="1:9" x14ac:dyDescent="0.3">
      <c r="A352" s="17" t="s">
        <v>195</v>
      </c>
      <c r="B352" s="17" t="s">
        <v>69</v>
      </c>
      <c r="C352" s="17" t="s">
        <v>113</v>
      </c>
      <c r="D352" s="17" t="s">
        <v>114</v>
      </c>
      <c r="E352" s="17" t="s">
        <v>77</v>
      </c>
      <c r="F352" s="17" t="s">
        <v>77</v>
      </c>
      <c r="G352" s="17">
        <v>1.6415688E-4</v>
      </c>
      <c r="H352" s="17">
        <v>1.416E-4</v>
      </c>
      <c r="I352" s="17" t="s">
        <v>115</v>
      </c>
    </row>
    <row r="353" spans="1:9" x14ac:dyDescent="0.3">
      <c r="A353" s="17" t="s">
        <v>195</v>
      </c>
      <c r="B353" s="17" t="s">
        <v>69</v>
      </c>
      <c r="C353" s="17" t="s">
        <v>113</v>
      </c>
      <c r="D353" s="17" t="s">
        <v>114</v>
      </c>
      <c r="E353" s="17" t="s">
        <v>78</v>
      </c>
      <c r="F353" s="17" t="s">
        <v>123</v>
      </c>
      <c r="G353" s="17">
        <v>2.91811716094624</v>
      </c>
      <c r="H353" s="17">
        <v>2.51713720430108</v>
      </c>
      <c r="I353" s="17" t="s">
        <v>115</v>
      </c>
    </row>
    <row r="354" spans="1:9" x14ac:dyDescent="0.3">
      <c r="A354" s="17" t="s">
        <v>195</v>
      </c>
      <c r="B354" s="17" t="s">
        <v>69</v>
      </c>
      <c r="C354" s="17" t="s">
        <v>113</v>
      </c>
      <c r="D354" s="17" t="s">
        <v>114</v>
      </c>
      <c r="E354" s="17" t="s">
        <v>78</v>
      </c>
      <c r="F354" s="17" t="s">
        <v>125</v>
      </c>
      <c r="G354" s="17">
        <v>199.99316160000001</v>
      </c>
      <c r="H354" s="17">
        <v>172.512</v>
      </c>
      <c r="I354" s="17" t="s">
        <v>115</v>
      </c>
    </row>
    <row r="355" spans="1:9" x14ac:dyDescent="0.3">
      <c r="A355" s="17" t="s">
        <v>195</v>
      </c>
      <c r="B355" s="17" t="s">
        <v>69</v>
      </c>
      <c r="C355" s="17" t="s">
        <v>113</v>
      </c>
      <c r="D355" s="17" t="s">
        <v>114</v>
      </c>
      <c r="E355" s="17" t="s">
        <v>79</v>
      </c>
      <c r="F355" s="17" t="s">
        <v>79</v>
      </c>
      <c r="G355" s="17">
        <v>28.377769894440402</v>
      </c>
      <c r="H355" s="17">
        <v>24.478366164444399</v>
      </c>
      <c r="I355" s="17" t="s">
        <v>115</v>
      </c>
    </row>
    <row r="356" spans="1:9" x14ac:dyDescent="0.3">
      <c r="A356" s="17" t="s">
        <v>195</v>
      </c>
      <c r="B356" s="17" t="s">
        <v>69</v>
      </c>
      <c r="C356" s="17" t="s">
        <v>113</v>
      </c>
      <c r="D356" s="17" t="s">
        <v>114</v>
      </c>
      <c r="E356" s="17" t="s">
        <v>81</v>
      </c>
      <c r="F356" s="17" t="s">
        <v>81</v>
      </c>
      <c r="G356" s="17">
        <v>46.297519813136802</v>
      </c>
      <c r="H356" s="17">
        <v>39.935754173326004</v>
      </c>
      <c r="I356" s="17" t="s">
        <v>115</v>
      </c>
    </row>
    <row r="357" spans="1:9" x14ac:dyDescent="0.3">
      <c r="A357" s="17" t="s">
        <v>195</v>
      </c>
      <c r="B357" s="17" t="s">
        <v>69</v>
      </c>
      <c r="C357" s="17" t="s">
        <v>113</v>
      </c>
      <c r="D357" s="17" t="s">
        <v>114</v>
      </c>
      <c r="E357" s="17" t="s">
        <v>83</v>
      </c>
      <c r="F357" s="17" t="s">
        <v>127</v>
      </c>
      <c r="G357" s="17">
        <v>0.19381857845658901</v>
      </c>
      <c r="H357" s="17">
        <v>0.16718586945276401</v>
      </c>
      <c r="I357" s="17" t="s">
        <v>115</v>
      </c>
    </row>
    <row r="358" spans="1:9" x14ac:dyDescent="0.3">
      <c r="A358" s="17" t="s">
        <v>195</v>
      </c>
      <c r="B358" s="17" t="s">
        <v>69</v>
      </c>
      <c r="C358" s="17" t="s">
        <v>113</v>
      </c>
      <c r="D358" s="17" t="s">
        <v>114</v>
      </c>
      <c r="E358" s="17" t="s">
        <v>83</v>
      </c>
      <c r="F358" s="17" t="s">
        <v>128</v>
      </c>
      <c r="G358" s="17">
        <v>0.79915360671565605</v>
      </c>
      <c r="H358" s="17">
        <v>0.68934150497339497</v>
      </c>
      <c r="I358" s="17" t="s">
        <v>115</v>
      </c>
    </row>
    <row r="359" spans="1:9" x14ac:dyDescent="0.3">
      <c r="A359" s="17" t="s">
        <v>195</v>
      </c>
      <c r="B359" s="17" t="s">
        <v>69</v>
      </c>
      <c r="C359" s="17" t="s">
        <v>113</v>
      </c>
      <c r="D359" s="17" t="s">
        <v>114</v>
      </c>
      <c r="E359" s="17" t="s">
        <v>84</v>
      </c>
      <c r="F359" s="17" t="s">
        <v>129</v>
      </c>
      <c r="G359" s="17">
        <v>2.0835461285000001E-3</v>
      </c>
      <c r="H359" s="17">
        <v>1.797245E-3</v>
      </c>
      <c r="I359" s="17" t="s">
        <v>115</v>
      </c>
    </row>
    <row r="360" spans="1:9" x14ac:dyDescent="0.3">
      <c r="A360" s="17" t="s">
        <v>195</v>
      </c>
      <c r="B360" s="17" t="s">
        <v>69</v>
      </c>
      <c r="C360" s="17" t="s">
        <v>113</v>
      </c>
      <c r="D360" s="17" t="s">
        <v>114</v>
      </c>
      <c r="E360" s="17" t="s">
        <v>85</v>
      </c>
      <c r="F360" s="17" t="s">
        <v>85</v>
      </c>
      <c r="G360" s="17">
        <v>30.791254212133101</v>
      </c>
      <c r="H360" s="17">
        <v>26.5602123799992</v>
      </c>
      <c r="I360" s="17" t="s">
        <v>115</v>
      </c>
    </row>
    <row r="361" spans="1:9" x14ac:dyDescent="0.3">
      <c r="A361" s="17" t="s">
        <v>195</v>
      </c>
      <c r="B361" s="17" t="s">
        <v>69</v>
      </c>
      <c r="C361" s="17" t="s">
        <v>113</v>
      </c>
      <c r="D361" s="17" t="s">
        <v>114</v>
      </c>
      <c r="E361" s="17" t="s">
        <v>87</v>
      </c>
      <c r="F361" s="17" t="s">
        <v>87</v>
      </c>
      <c r="G361" s="17">
        <v>3.7105556275900002E-2</v>
      </c>
      <c r="H361" s="17">
        <v>3.2006863000000003E-2</v>
      </c>
      <c r="I361" s="17" t="s">
        <v>115</v>
      </c>
    </row>
    <row r="362" spans="1:9" x14ac:dyDescent="0.3">
      <c r="A362" s="17" t="s">
        <v>195</v>
      </c>
      <c r="B362" s="17" t="s">
        <v>69</v>
      </c>
      <c r="C362" s="17" t="s">
        <v>113</v>
      </c>
      <c r="D362" s="17" t="s">
        <v>114</v>
      </c>
      <c r="E362" s="17" t="s">
        <v>88</v>
      </c>
      <c r="F362" s="17" t="s">
        <v>88</v>
      </c>
      <c r="G362" s="17">
        <v>13.271666400000001</v>
      </c>
      <c r="H362" s="17">
        <v>11.448</v>
      </c>
      <c r="I362" s="17" t="s">
        <v>115</v>
      </c>
    </row>
    <row r="363" spans="1:9" x14ac:dyDescent="0.3">
      <c r="A363" s="17" t="s">
        <v>195</v>
      </c>
      <c r="B363" s="17" t="s">
        <v>69</v>
      </c>
      <c r="C363" s="17" t="s">
        <v>113</v>
      </c>
      <c r="D363" s="17" t="s">
        <v>114</v>
      </c>
      <c r="E363" s="17" t="s">
        <v>89</v>
      </c>
      <c r="F363" s="17" t="s">
        <v>89</v>
      </c>
      <c r="G363" s="17">
        <v>256.92760656016497</v>
      </c>
      <c r="H363" s="17">
        <v>221.62305405000001</v>
      </c>
      <c r="I363" s="17" t="s">
        <v>115</v>
      </c>
    </row>
    <row r="364" spans="1:9" x14ac:dyDescent="0.3">
      <c r="A364" s="17" t="s">
        <v>195</v>
      </c>
      <c r="B364" s="17" t="s">
        <v>69</v>
      </c>
      <c r="C364" s="17" t="s">
        <v>113</v>
      </c>
      <c r="D364" s="17" t="s">
        <v>114</v>
      </c>
      <c r="E364" s="17" t="s">
        <v>90</v>
      </c>
      <c r="F364" s="17" t="s">
        <v>90</v>
      </c>
      <c r="G364" s="17">
        <v>39.877448147544399</v>
      </c>
      <c r="H364" s="17">
        <v>34.397867806041901</v>
      </c>
      <c r="I364" s="17" t="s">
        <v>115</v>
      </c>
    </row>
    <row r="365" spans="1:9" x14ac:dyDescent="0.3">
      <c r="A365" s="17" t="s">
        <v>195</v>
      </c>
      <c r="B365" s="17" t="s">
        <v>69</v>
      </c>
      <c r="C365" s="17" t="s">
        <v>113</v>
      </c>
      <c r="D365" s="17" t="s">
        <v>114</v>
      </c>
      <c r="E365" s="17" t="s">
        <v>91</v>
      </c>
      <c r="F365" s="17" t="s">
        <v>91</v>
      </c>
      <c r="G365" s="17">
        <v>11.210189285555799</v>
      </c>
      <c r="H365" s="17">
        <v>9.6697914996600005</v>
      </c>
      <c r="I365" s="17" t="s">
        <v>115</v>
      </c>
    </row>
    <row r="366" spans="1:9" x14ac:dyDescent="0.3">
      <c r="A366" s="17" t="s">
        <v>195</v>
      </c>
      <c r="B366" s="17" t="s">
        <v>69</v>
      </c>
      <c r="C366" s="17" t="s">
        <v>113</v>
      </c>
      <c r="D366" s="17" t="s">
        <v>114</v>
      </c>
      <c r="E366" s="17" t="s">
        <v>93</v>
      </c>
      <c r="F366" s="17" t="s">
        <v>130</v>
      </c>
      <c r="G366" s="17">
        <v>275.58004096640002</v>
      </c>
      <c r="H366" s="17">
        <v>237.71244799999999</v>
      </c>
      <c r="I366" s="17" t="s">
        <v>115</v>
      </c>
    </row>
    <row r="367" spans="1:9" x14ac:dyDescent="0.3">
      <c r="A367" s="17" t="s">
        <v>195</v>
      </c>
      <c r="B367" s="17" t="s">
        <v>69</v>
      </c>
      <c r="C367" s="17" t="s">
        <v>113</v>
      </c>
      <c r="D367" s="17" t="s">
        <v>114</v>
      </c>
      <c r="E367" s="17" t="s">
        <v>93</v>
      </c>
      <c r="F367" s="17" t="s">
        <v>131</v>
      </c>
      <c r="G367" s="17">
        <v>96.649681700000002</v>
      </c>
      <c r="H367" s="17">
        <v>83.369</v>
      </c>
      <c r="I367" s="17" t="s">
        <v>115</v>
      </c>
    </row>
    <row r="368" spans="1:9" x14ac:dyDescent="0.3">
      <c r="A368" s="17" t="s">
        <v>195</v>
      </c>
      <c r="B368" s="17" t="s">
        <v>69</v>
      </c>
      <c r="C368" s="17" t="s">
        <v>113</v>
      </c>
      <c r="D368" s="17" t="s">
        <v>114</v>
      </c>
      <c r="E368" s="17" t="s">
        <v>93</v>
      </c>
      <c r="F368" s="17" t="s">
        <v>132</v>
      </c>
      <c r="G368" s="17">
        <v>0.33424821669999999</v>
      </c>
      <c r="H368" s="17">
        <v>0.28831899999999999</v>
      </c>
      <c r="I368" s="17" t="s">
        <v>115</v>
      </c>
    </row>
    <row r="369" spans="1:9" x14ac:dyDescent="0.3">
      <c r="A369" s="17" t="s">
        <v>195</v>
      </c>
      <c r="B369" s="17" t="s">
        <v>69</v>
      </c>
      <c r="C369" s="17" t="s">
        <v>113</v>
      </c>
      <c r="D369" s="17" t="s">
        <v>114</v>
      </c>
      <c r="E369" s="17" t="s">
        <v>93</v>
      </c>
      <c r="F369" s="17" t="s">
        <v>133</v>
      </c>
      <c r="G369" s="17">
        <v>9.9288435483870998</v>
      </c>
      <c r="H369" s="17">
        <v>8.5645161290322598</v>
      </c>
      <c r="I369" s="17" t="s">
        <v>115</v>
      </c>
    </row>
    <row r="370" spans="1:9" x14ac:dyDescent="0.3">
      <c r="A370" s="17" t="s">
        <v>195</v>
      </c>
      <c r="B370" s="17" t="s">
        <v>69</v>
      </c>
      <c r="C370" s="17" t="s">
        <v>113</v>
      </c>
      <c r="D370" s="17" t="s">
        <v>114</v>
      </c>
      <c r="E370" s="17" t="s">
        <v>93</v>
      </c>
      <c r="F370" s="17" t="s">
        <v>134</v>
      </c>
      <c r="G370" s="17">
        <v>3.3916608322999999</v>
      </c>
      <c r="H370" s="17">
        <v>2.925611</v>
      </c>
      <c r="I370" s="17" t="s">
        <v>115</v>
      </c>
    </row>
    <row r="371" spans="1:9" x14ac:dyDescent="0.3">
      <c r="A371" s="17" t="s">
        <v>195</v>
      </c>
      <c r="B371" s="17" t="s">
        <v>69</v>
      </c>
      <c r="C371" s="17" t="s">
        <v>113</v>
      </c>
      <c r="D371" s="17" t="s">
        <v>114</v>
      </c>
      <c r="E371" s="17" t="s">
        <v>93</v>
      </c>
      <c r="F371" s="17" t="s">
        <v>136</v>
      </c>
      <c r="G371" s="17">
        <v>24.452283618808401</v>
      </c>
      <c r="H371" s="17">
        <v>21.0922829455779</v>
      </c>
      <c r="I371" s="17" t="s">
        <v>115</v>
      </c>
    </row>
    <row r="372" spans="1:9" x14ac:dyDescent="0.3">
      <c r="A372" s="17" t="s">
        <v>195</v>
      </c>
      <c r="B372" s="17" t="s">
        <v>69</v>
      </c>
      <c r="C372" s="17" t="s">
        <v>113</v>
      </c>
      <c r="D372" s="17" t="s">
        <v>114</v>
      </c>
      <c r="E372" s="17" t="s">
        <v>93</v>
      </c>
      <c r="F372" s="17" t="s">
        <v>137</v>
      </c>
      <c r="G372" s="17">
        <v>48.180728266999999</v>
      </c>
      <c r="H372" s="17">
        <v>41.560189999999999</v>
      </c>
      <c r="I372" s="17" t="s">
        <v>115</v>
      </c>
    </row>
    <row r="373" spans="1:9" x14ac:dyDescent="0.3">
      <c r="A373" s="17" t="s">
        <v>195</v>
      </c>
      <c r="B373" s="17" t="s">
        <v>69</v>
      </c>
      <c r="C373" s="17" t="s">
        <v>113</v>
      </c>
      <c r="D373" s="17" t="s">
        <v>114</v>
      </c>
      <c r="E373" s="17" t="s">
        <v>96</v>
      </c>
      <c r="F373" s="17" t="s">
        <v>96</v>
      </c>
      <c r="G373" s="17">
        <v>3.0413887710000002E-4</v>
      </c>
      <c r="H373" s="17">
        <v>2.6234700000000001E-4</v>
      </c>
      <c r="I373" s="17" t="s">
        <v>115</v>
      </c>
    </row>
    <row r="374" spans="1:9" x14ac:dyDescent="0.3">
      <c r="A374" s="17" t="s">
        <v>195</v>
      </c>
      <c r="B374" s="17" t="s">
        <v>69</v>
      </c>
      <c r="C374" s="17" t="s">
        <v>113</v>
      </c>
      <c r="D374" s="17" t="s">
        <v>114</v>
      </c>
      <c r="E374" s="17" t="s">
        <v>99</v>
      </c>
      <c r="F374" s="17" t="s">
        <v>142</v>
      </c>
      <c r="G374" s="17">
        <v>5.3182467021890001E-2</v>
      </c>
      <c r="H374" s="17">
        <v>4.58746373E-2</v>
      </c>
      <c r="I374" s="17" t="s">
        <v>115</v>
      </c>
    </row>
    <row r="375" spans="1:9" x14ac:dyDescent="0.3">
      <c r="A375" s="17" t="s">
        <v>195</v>
      </c>
      <c r="B375" s="17" t="s">
        <v>69</v>
      </c>
      <c r="C375" s="17" t="s">
        <v>113</v>
      </c>
      <c r="D375" s="17" t="s">
        <v>114</v>
      </c>
      <c r="E375" s="17" t="s">
        <v>99</v>
      </c>
      <c r="F375" s="17" t="s">
        <v>143</v>
      </c>
      <c r="G375" s="17">
        <v>26.502371019385102</v>
      </c>
      <c r="H375" s="17">
        <v>22.8606667984</v>
      </c>
      <c r="I375" s="17" t="s">
        <v>115</v>
      </c>
    </row>
    <row r="376" spans="1:9" x14ac:dyDescent="0.3">
      <c r="A376" s="17" t="s">
        <v>195</v>
      </c>
      <c r="B376" s="17" t="s">
        <v>69</v>
      </c>
      <c r="C376" s="17" t="s">
        <v>113</v>
      </c>
      <c r="D376" s="17" t="s">
        <v>114</v>
      </c>
      <c r="E376" s="17" t="s">
        <v>99</v>
      </c>
      <c r="F376" s="17" t="s">
        <v>144</v>
      </c>
      <c r="G376" s="17">
        <v>5.7849533719999996E-4</v>
      </c>
      <c r="H376" s="17">
        <v>4.9900400000000005E-4</v>
      </c>
      <c r="I376" s="17" t="s">
        <v>115</v>
      </c>
    </row>
    <row r="377" spans="1:9" x14ac:dyDescent="0.3">
      <c r="A377" s="17" t="s">
        <v>195</v>
      </c>
      <c r="B377" s="17" t="s">
        <v>69</v>
      </c>
      <c r="C377" s="17" t="s">
        <v>113</v>
      </c>
      <c r="D377" s="17" t="s">
        <v>114</v>
      </c>
      <c r="E377" s="17" t="s">
        <v>99</v>
      </c>
      <c r="F377" s="17" t="s">
        <v>147</v>
      </c>
      <c r="G377" s="17">
        <v>0.298953983343616</v>
      </c>
      <c r="H377" s="17">
        <v>0.25787456512000001</v>
      </c>
      <c r="I377" s="17" t="s">
        <v>115</v>
      </c>
    </row>
    <row r="378" spans="1:9" x14ac:dyDescent="0.3">
      <c r="A378" s="17" t="s">
        <v>195</v>
      </c>
      <c r="B378" s="17" t="s">
        <v>69</v>
      </c>
      <c r="C378" s="17" t="s">
        <v>113</v>
      </c>
      <c r="D378" s="17" t="s">
        <v>114</v>
      </c>
      <c r="E378" s="17" t="s">
        <v>99</v>
      </c>
      <c r="F378" s="17" t="s">
        <v>148</v>
      </c>
      <c r="G378" s="17">
        <v>220.37109459037001</v>
      </c>
      <c r="H378" s="17">
        <v>190.0897909</v>
      </c>
      <c r="I378" s="17" t="s">
        <v>115</v>
      </c>
    </row>
    <row r="379" spans="1:9" x14ac:dyDescent="0.3">
      <c r="A379" s="17" t="s">
        <v>195</v>
      </c>
      <c r="B379" s="17" t="s">
        <v>69</v>
      </c>
      <c r="C379" s="17" t="s">
        <v>113</v>
      </c>
      <c r="D379" s="17" t="s">
        <v>114</v>
      </c>
      <c r="E379" s="17" t="s">
        <v>99</v>
      </c>
      <c r="F379" s="17" t="s">
        <v>150</v>
      </c>
      <c r="G379" s="17">
        <v>1.39498569E-4</v>
      </c>
      <c r="H379" s="17">
        <v>1.2032999999999999E-4</v>
      </c>
      <c r="I379" s="17" t="s">
        <v>115</v>
      </c>
    </row>
    <row r="380" spans="1:9" x14ac:dyDescent="0.3">
      <c r="A380" s="17" t="s">
        <v>195</v>
      </c>
      <c r="B380" s="17" t="s">
        <v>69</v>
      </c>
      <c r="C380" s="17" t="s">
        <v>113</v>
      </c>
      <c r="D380" s="17" t="s">
        <v>114</v>
      </c>
      <c r="E380" s="17" t="s">
        <v>99</v>
      </c>
      <c r="F380" s="17" t="s">
        <v>152</v>
      </c>
      <c r="G380" s="17">
        <v>5.5750803648157001</v>
      </c>
      <c r="H380" s="17">
        <v>4.8090057489999998</v>
      </c>
      <c r="I380" s="17" t="s">
        <v>115</v>
      </c>
    </row>
    <row r="381" spans="1:9" x14ac:dyDescent="0.3">
      <c r="A381" s="17" t="s">
        <v>195</v>
      </c>
      <c r="B381" s="17" t="s">
        <v>69</v>
      </c>
      <c r="C381" s="17" t="s">
        <v>113</v>
      </c>
      <c r="D381" s="17" t="s">
        <v>114</v>
      </c>
      <c r="E381" s="17" t="s">
        <v>99</v>
      </c>
      <c r="F381" s="17" t="s">
        <v>153</v>
      </c>
      <c r="G381" s="17">
        <v>7.2842769894399997E-3</v>
      </c>
      <c r="H381" s="17">
        <v>6.2833408000000004E-3</v>
      </c>
      <c r="I381" s="17" t="s">
        <v>115</v>
      </c>
    </row>
    <row r="382" spans="1:9" x14ac:dyDescent="0.3">
      <c r="A382" s="17" t="s">
        <v>195</v>
      </c>
      <c r="B382" s="17" t="s">
        <v>69</v>
      </c>
      <c r="C382" s="17" t="s">
        <v>113</v>
      </c>
      <c r="D382" s="17" t="s">
        <v>114</v>
      </c>
      <c r="E382" s="17" t="s">
        <v>99</v>
      </c>
      <c r="F382" s="17" t="s">
        <v>154</v>
      </c>
      <c r="G382" s="17">
        <v>6.3808451650000002E-3</v>
      </c>
      <c r="H382" s="17">
        <v>5.5040499999999999E-3</v>
      </c>
      <c r="I382" s="17" t="s">
        <v>115</v>
      </c>
    </row>
    <row r="383" spans="1:9" x14ac:dyDescent="0.3">
      <c r="A383" s="17" t="s">
        <v>195</v>
      </c>
      <c r="B383" s="17" t="s">
        <v>69</v>
      </c>
      <c r="C383" s="17" t="s">
        <v>113</v>
      </c>
      <c r="D383" s="17" t="s">
        <v>114</v>
      </c>
      <c r="E383" s="17" t="s">
        <v>101</v>
      </c>
      <c r="F383" s="17" t="s">
        <v>157</v>
      </c>
      <c r="G383" s="17">
        <v>1924.6456928796599</v>
      </c>
      <c r="H383" s="17">
        <v>1660.1791536958999</v>
      </c>
      <c r="I383" s="17" t="s">
        <v>115</v>
      </c>
    </row>
    <row r="384" spans="1:9" x14ac:dyDescent="0.3">
      <c r="A384" s="17" t="s">
        <v>195</v>
      </c>
      <c r="B384" s="17" t="s">
        <v>69</v>
      </c>
      <c r="C384" s="17" t="s">
        <v>113</v>
      </c>
      <c r="D384" s="17" t="s">
        <v>114</v>
      </c>
      <c r="E384" s="17" t="s">
        <v>101</v>
      </c>
      <c r="F384" s="17" t="s">
        <v>158</v>
      </c>
      <c r="G384" s="17">
        <v>113.17692367684199</v>
      </c>
      <c r="H384" s="17">
        <v>97.625225288400003</v>
      </c>
      <c r="I384" s="17" t="s">
        <v>115</v>
      </c>
    </row>
    <row r="385" spans="1:9" x14ac:dyDescent="0.3">
      <c r="A385" s="17" t="s">
        <v>195</v>
      </c>
      <c r="B385" s="17" t="s">
        <v>69</v>
      </c>
      <c r="C385" s="17" t="s">
        <v>113</v>
      </c>
      <c r="D385" s="17" t="s">
        <v>114</v>
      </c>
      <c r="E385" s="17" t="s">
        <v>101</v>
      </c>
      <c r="F385" s="17" t="s">
        <v>160</v>
      </c>
      <c r="G385" s="17">
        <v>106.844826028371</v>
      </c>
      <c r="H385" s="17">
        <v>92.163224384000003</v>
      </c>
      <c r="I385" s="17" t="s">
        <v>115</v>
      </c>
    </row>
    <row r="386" spans="1:9" x14ac:dyDescent="0.3">
      <c r="A386" s="17" t="s">
        <v>195</v>
      </c>
      <c r="B386" s="17" t="s">
        <v>69</v>
      </c>
      <c r="C386" s="17" t="s">
        <v>113</v>
      </c>
      <c r="D386" s="17" t="s">
        <v>114</v>
      </c>
      <c r="E386" s="17" t="s">
        <v>101</v>
      </c>
      <c r="F386" s="17" t="s">
        <v>162</v>
      </c>
      <c r="G386" s="17">
        <v>18.962221994727599</v>
      </c>
      <c r="H386" s="17">
        <v>16.356613469100001</v>
      </c>
      <c r="I386" s="17" t="s">
        <v>115</v>
      </c>
    </row>
    <row r="387" spans="1:9" x14ac:dyDescent="0.3">
      <c r="A387" s="17" t="s">
        <v>195</v>
      </c>
      <c r="B387" s="17" t="s">
        <v>69</v>
      </c>
      <c r="C387" s="17" t="s">
        <v>113</v>
      </c>
      <c r="D387" s="17" t="s">
        <v>114</v>
      </c>
      <c r="E387" s="17" t="s">
        <v>102</v>
      </c>
      <c r="F387" s="17" t="s">
        <v>165</v>
      </c>
      <c r="G387" s="17">
        <v>8.7248918</v>
      </c>
      <c r="H387" s="17">
        <v>7.5259999999999998</v>
      </c>
      <c r="I387" s="17" t="s">
        <v>115</v>
      </c>
    </row>
    <row r="388" spans="1:9" x14ac:dyDescent="0.3">
      <c r="A388" s="17" t="s">
        <v>195</v>
      </c>
      <c r="B388" s="17" t="s">
        <v>69</v>
      </c>
      <c r="C388" s="17" t="s">
        <v>113</v>
      </c>
      <c r="D388" s="17" t="s">
        <v>114</v>
      </c>
      <c r="E388" s="17" t="s">
        <v>102</v>
      </c>
      <c r="F388" s="17" t="s">
        <v>166</v>
      </c>
      <c r="G388" s="17">
        <v>106.512032825486</v>
      </c>
      <c r="H388" s="17">
        <v>91.876160463629503</v>
      </c>
      <c r="I388" s="17" t="s">
        <v>115</v>
      </c>
    </row>
    <row r="389" spans="1:9" x14ac:dyDescent="0.3">
      <c r="A389" s="17" t="s">
        <v>195</v>
      </c>
      <c r="B389" s="17" t="s">
        <v>69</v>
      </c>
      <c r="C389" s="17" t="s">
        <v>113</v>
      </c>
      <c r="D389" s="17" t="s">
        <v>114</v>
      </c>
      <c r="E389" s="17" t="s">
        <v>103</v>
      </c>
      <c r="F389" s="17" t="s">
        <v>103</v>
      </c>
      <c r="G389" s="17">
        <v>33.005271</v>
      </c>
      <c r="H389" s="17">
        <v>28.47</v>
      </c>
      <c r="I389" s="17" t="s">
        <v>115</v>
      </c>
    </row>
    <row r="390" spans="1:9" x14ac:dyDescent="0.3">
      <c r="A390" s="17" t="s">
        <v>195</v>
      </c>
      <c r="B390" s="17" t="s">
        <v>203</v>
      </c>
      <c r="C390" s="17" t="s">
        <v>113</v>
      </c>
      <c r="D390" s="17" t="s">
        <v>114</v>
      </c>
      <c r="E390" s="17" t="s">
        <v>71</v>
      </c>
      <c r="F390" s="17" t="s">
        <v>71</v>
      </c>
      <c r="G390" s="17">
        <v>5.7945551999999996</v>
      </c>
      <c r="H390" s="17">
        <v>4.9560000000000004</v>
      </c>
      <c r="I390" s="17" t="s">
        <v>115</v>
      </c>
    </row>
    <row r="391" spans="1:9" x14ac:dyDescent="0.3">
      <c r="A391" s="17" t="s">
        <v>195</v>
      </c>
      <c r="B391" s="17" t="s">
        <v>203</v>
      </c>
      <c r="C391" s="17" t="s">
        <v>113</v>
      </c>
      <c r="D391" s="17" t="s">
        <v>114</v>
      </c>
      <c r="E391" s="17" t="s">
        <v>72</v>
      </c>
      <c r="F391" s="17" t="s">
        <v>116</v>
      </c>
      <c r="G391" s="17">
        <v>40.176073784000003</v>
      </c>
      <c r="H391" s="17">
        <v>34.362020000000001</v>
      </c>
      <c r="I391" s="17" t="s">
        <v>115</v>
      </c>
    </row>
    <row r="392" spans="1:9" x14ac:dyDescent="0.3">
      <c r="A392" s="17" t="s">
        <v>195</v>
      </c>
      <c r="B392" s="17" t="s">
        <v>203</v>
      </c>
      <c r="C392" s="17" t="s">
        <v>113</v>
      </c>
      <c r="D392" s="17" t="s">
        <v>114</v>
      </c>
      <c r="E392" s="17" t="s">
        <v>73</v>
      </c>
      <c r="F392" s="17" t="s">
        <v>117</v>
      </c>
      <c r="G392" s="17">
        <v>0</v>
      </c>
      <c r="H392" s="17">
        <v>0</v>
      </c>
      <c r="I392" s="17" t="s">
        <v>115</v>
      </c>
    </row>
    <row r="393" spans="1:9" x14ac:dyDescent="0.3">
      <c r="A393" s="17" t="s">
        <v>195</v>
      </c>
      <c r="B393" s="17" t="s">
        <v>203</v>
      </c>
      <c r="C393" s="17" t="s">
        <v>113</v>
      </c>
      <c r="D393" s="17" t="s">
        <v>114</v>
      </c>
      <c r="E393" s="17" t="s">
        <v>73</v>
      </c>
      <c r="F393" s="17" t="s">
        <v>118</v>
      </c>
      <c r="G393" s="17">
        <v>142.53015679999999</v>
      </c>
      <c r="H393" s="17">
        <v>121.904</v>
      </c>
      <c r="I393" s="17" t="s">
        <v>115</v>
      </c>
    </row>
    <row r="394" spans="1:9" x14ac:dyDescent="0.3">
      <c r="A394" s="17" t="s">
        <v>195</v>
      </c>
      <c r="B394" s="17" t="s">
        <v>203</v>
      </c>
      <c r="C394" s="17" t="s">
        <v>113</v>
      </c>
      <c r="D394" s="17" t="s">
        <v>114</v>
      </c>
      <c r="E394" s="17" t="s">
        <v>73</v>
      </c>
      <c r="F394" s="17" t="s">
        <v>119</v>
      </c>
      <c r="G394" s="17">
        <v>19.904460799999999</v>
      </c>
      <c r="H394" s="17">
        <v>17.024000000000001</v>
      </c>
      <c r="I394" s="17" t="s">
        <v>115</v>
      </c>
    </row>
    <row r="395" spans="1:9" x14ac:dyDescent="0.3">
      <c r="A395" s="17" t="s">
        <v>195</v>
      </c>
      <c r="B395" s="17" t="s">
        <v>203</v>
      </c>
      <c r="C395" s="17" t="s">
        <v>113</v>
      </c>
      <c r="D395" s="17" t="s">
        <v>114</v>
      </c>
      <c r="E395" s="17" t="s">
        <v>73</v>
      </c>
      <c r="F395" s="17" t="s">
        <v>120</v>
      </c>
      <c r="G395" s="17">
        <v>1.2919884230137</v>
      </c>
      <c r="H395" s="17">
        <v>1.1050191780821901</v>
      </c>
      <c r="I395" s="17" t="s">
        <v>115</v>
      </c>
    </row>
    <row r="396" spans="1:9" x14ac:dyDescent="0.3">
      <c r="A396" s="17" t="s">
        <v>195</v>
      </c>
      <c r="B396" s="17" t="s">
        <v>203</v>
      </c>
      <c r="C396" s="17" t="s">
        <v>113</v>
      </c>
      <c r="D396" s="17" t="s">
        <v>114</v>
      </c>
      <c r="E396" s="17" t="s">
        <v>80</v>
      </c>
      <c r="F396" s="17" t="s">
        <v>80</v>
      </c>
      <c r="G396" s="17">
        <v>7.5835370364868801E-2</v>
      </c>
      <c r="H396" s="17">
        <v>6.48609052043011E-2</v>
      </c>
      <c r="I396" s="17" t="s">
        <v>115</v>
      </c>
    </row>
    <row r="397" spans="1:9" x14ac:dyDescent="0.3">
      <c r="A397" s="17" t="s">
        <v>195</v>
      </c>
      <c r="B397" s="17" t="s">
        <v>203</v>
      </c>
      <c r="C397" s="17" t="s">
        <v>113</v>
      </c>
      <c r="D397" s="17" t="s">
        <v>114</v>
      </c>
      <c r="E397" s="17" t="s">
        <v>77</v>
      </c>
      <c r="F397" s="17" t="s">
        <v>77</v>
      </c>
      <c r="G397" s="17">
        <v>3.44914E-5</v>
      </c>
      <c r="H397" s="17">
        <v>2.9499999999999999E-5</v>
      </c>
      <c r="I397" s="17" t="s">
        <v>115</v>
      </c>
    </row>
    <row r="398" spans="1:9" x14ac:dyDescent="0.3">
      <c r="A398" s="17" t="s">
        <v>195</v>
      </c>
      <c r="B398" s="17" t="s">
        <v>203</v>
      </c>
      <c r="C398" s="17" t="s">
        <v>113</v>
      </c>
      <c r="D398" s="17" t="s">
        <v>114</v>
      </c>
      <c r="E398" s="17" t="s">
        <v>78</v>
      </c>
      <c r="F398" s="17" t="s">
        <v>123</v>
      </c>
      <c r="G398" s="17">
        <v>0.61355592946236603</v>
      </c>
      <c r="H398" s="17">
        <v>0.52476559139784995</v>
      </c>
      <c r="I398" s="17" t="s">
        <v>115</v>
      </c>
    </row>
    <row r="399" spans="1:9" x14ac:dyDescent="0.3">
      <c r="A399" s="17" t="s">
        <v>195</v>
      </c>
      <c r="B399" s="17" t="s">
        <v>203</v>
      </c>
      <c r="C399" s="17" t="s">
        <v>113</v>
      </c>
      <c r="D399" s="17" t="s">
        <v>114</v>
      </c>
      <c r="E399" s="17" t="s">
        <v>78</v>
      </c>
      <c r="F399" s="17" t="s">
        <v>125</v>
      </c>
      <c r="G399" s="17">
        <v>42.301188320000001</v>
      </c>
      <c r="H399" s="17">
        <v>36.179600000000001</v>
      </c>
      <c r="I399" s="17" t="s">
        <v>115</v>
      </c>
    </row>
    <row r="400" spans="1:9" x14ac:dyDescent="0.3">
      <c r="A400" s="17" t="s">
        <v>195</v>
      </c>
      <c r="B400" s="17" t="s">
        <v>203</v>
      </c>
      <c r="C400" s="17" t="s">
        <v>113</v>
      </c>
      <c r="D400" s="17" t="s">
        <v>114</v>
      </c>
      <c r="E400" s="17" t="s">
        <v>81</v>
      </c>
      <c r="F400" s="17" t="s">
        <v>81</v>
      </c>
      <c r="G400" s="17">
        <v>8.9523641871813808</v>
      </c>
      <c r="H400" s="17">
        <v>7.6568287608462002</v>
      </c>
      <c r="I400" s="17" t="s">
        <v>115</v>
      </c>
    </row>
    <row r="401" spans="1:9" x14ac:dyDescent="0.3">
      <c r="A401" s="17" t="s">
        <v>195</v>
      </c>
      <c r="B401" s="17" t="s">
        <v>203</v>
      </c>
      <c r="C401" s="17" t="s">
        <v>113</v>
      </c>
      <c r="D401" s="17" t="s">
        <v>114</v>
      </c>
      <c r="E401" s="17" t="s">
        <v>83</v>
      </c>
      <c r="F401" s="17" t="s">
        <v>127</v>
      </c>
      <c r="G401" s="17">
        <v>4.3615040242288398E-2</v>
      </c>
      <c r="H401" s="17">
        <v>3.7303318715607603E-2</v>
      </c>
      <c r="I401" s="17" t="s">
        <v>115</v>
      </c>
    </row>
    <row r="402" spans="1:9" x14ac:dyDescent="0.3">
      <c r="A402" s="17" t="s">
        <v>195</v>
      </c>
      <c r="B402" s="17" t="s">
        <v>203</v>
      </c>
      <c r="C402" s="17" t="s">
        <v>113</v>
      </c>
      <c r="D402" s="17" t="s">
        <v>114</v>
      </c>
      <c r="E402" s="17" t="s">
        <v>83</v>
      </c>
      <c r="F402" s="17" t="s">
        <v>128</v>
      </c>
      <c r="G402" s="17">
        <v>0.11263656392845101</v>
      </c>
      <c r="H402" s="17">
        <v>9.6336438529294605E-2</v>
      </c>
      <c r="I402" s="17" t="s">
        <v>115</v>
      </c>
    </row>
    <row r="403" spans="1:9" x14ac:dyDescent="0.3">
      <c r="A403" s="17" t="s">
        <v>195</v>
      </c>
      <c r="B403" s="17" t="s">
        <v>203</v>
      </c>
      <c r="C403" s="17" t="s">
        <v>113</v>
      </c>
      <c r="D403" s="17" t="s">
        <v>114</v>
      </c>
      <c r="E403" s="17" t="s">
        <v>84</v>
      </c>
      <c r="F403" s="17" t="s">
        <v>129</v>
      </c>
      <c r="G403" s="17">
        <v>1091.7980579723701</v>
      </c>
      <c r="H403" s="17">
        <v>933.79922850870003</v>
      </c>
      <c r="I403" s="17" t="s">
        <v>115</v>
      </c>
    </row>
    <row r="404" spans="1:9" x14ac:dyDescent="0.3">
      <c r="A404" s="17" t="s">
        <v>195</v>
      </c>
      <c r="B404" s="17" t="s">
        <v>203</v>
      </c>
      <c r="C404" s="17" t="s">
        <v>113</v>
      </c>
      <c r="D404" s="17" t="s">
        <v>114</v>
      </c>
      <c r="E404" s="17" t="s">
        <v>85</v>
      </c>
      <c r="F404" s="17" t="s">
        <v>85</v>
      </c>
      <c r="G404" s="17">
        <v>6.5558867331022901</v>
      </c>
      <c r="H404" s="17">
        <v>5.60715594688872</v>
      </c>
      <c r="I404" s="17" t="s">
        <v>115</v>
      </c>
    </row>
    <row r="405" spans="1:9" x14ac:dyDescent="0.3">
      <c r="A405" s="17" t="s">
        <v>195</v>
      </c>
      <c r="B405" s="17" t="s">
        <v>203</v>
      </c>
      <c r="C405" s="17" t="s">
        <v>113</v>
      </c>
      <c r="D405" s="17" t="s">
        <v>114</v>
      </c>
      <c r="E405" s="17" t="s">
        <v>87</v>
      </c>
      <c r="F405" s="17" t="s">
        <v>87</v>
      </c>
      <c r="G405" s="17">
        <v>2.5258929119999999E-4</v>
      </c>
      <c r="H405" s="17">
        <v>2.1603599999999999E-4</v>
      </c>
      <c r="I405" s="17" t="s">
        <v>115</v>
      </c>
    </row>
    <row r="406" spans="1:9" x14ac:dyDescent="0.3">
      <c r="A406" s="17" t="s">
        <v>195</v>
      </c>
      <c r="B406" s="17" t="s">
        <v>203</v>
      </c>
      <c r="C406" s="17" t="s">
        <v>113</v>
      </c>
      <c r="D406" s="17" t="s">
        <v>114</v>
      </c>
      <c r="E406" s="17" t="s">
        <v>88</v>
      </c>
      <c r="F406" s="17" t="s">
        <v>88</v>
      </c>
      <c r="G406" s="17">
        <v>2.8443128400000002</v>
      </c>
      <c r="H406" s="17">
        <v>2.4327000000000001</v>
      </c>
      <c r="I406" s="17" t="s">
        <v>115</v>
      </c>
    </row>
    <row r="407" spans="1:9" x14ac:dyDescent="0.3">
      <c r="A407" s="17" t="s">
        <v>195</v>
      </c>
      <c r="B407" s="17" t="s">
        <v>203</v>
      </c>
      <c r="C407" s="17" t="s">
        <v>113</v>
      </c>
      <c r="D407" s="17" t="s">
        <v>114</v>
      </c>
      <c r="E407" s="17" t="s">
        <v>89</v>
      </c>
      <c r="F407" s="17" t="s">
        <v>89</v>
      </c>
      <c r="G407" s="17">
        <v>55.437281515932</v>
      </c>
      <c r="H407" s="17">
        <v>47.414712209999998</v>
      </c>
      <c r="I407" s="17" t="s">
        <v>115</v>
      </c>
    </row>
    <row r="408" spans="1:9" x14ac:dyDescent="0.3">
      <c r="A408" s="17" t="s">
        <v>195</v>
      </c>
      <c r="B408" s="17" t="s">
        <v>203</v>
      </c>
      <c r="C408" s="17" t="s">
        <v>113</v>
      </c>
      <c r="D408" s="17" t="s">
        <v>114</v>
      </c>
      <c r="E408" s="17" t="s">
        <v>90</v>
      </c>
      <c r="F408" s="17" t="s">
        <v>90</v>
      </c>
      <c r="G408" s="17">
        <v>8.5969760856072703</v>
      </c>
      <c r="H408" s="17">
        <v>7.3528704119117902</v>
      </c>
      <c r="I408" s="17" t="s">
        <v>115</v>
      </c>
    </row>
    <row r="409" spans="1:9" x14ac:dyDescent="0.3">
      <c r="A409" s="17" t="s">
        <v>195</v>
      </c>
      <c r="B409" s="17" t="s">
        <v>203</v>
      </c>
      <c r="C409" s="17" t="s">
        <v>113</v>
      </c>
      <c r="D409" s="17" t="s">
        <v>114</v>
      </c>
      <c r="E409" s="17" t="s">
        <v>91</v>
      </c>
      <c r="F409" s="17" t="s">
        <v>91</v>
      </c>
      <c r="G409" s="17">
        <v>2.3565936503898999</v>
      </c>
      <c r="H409" s="17">
        <v>2.0155607683799999</v>
      </c>
      <c r="I409" s="17" t="s">
        <v>115</v>
      </c>
    </row>
    <row r="410" spans="1:9" x14ac:dyDescent="0.3">
      <c r="A410" s="17" t="s">
        <v>195</v>
      </c>
      <c r="B410" s="17" t="s">
        <v>203</v>
      </c>
      <c r="C410" s="17" t="s">
        <v>113</v>
      </c>
      <c r="D410" s="17" t="s">
        <v>114</v>
      </c>
      <c r="E410" s="17" t="s">
        <v>93</v>
      </c>
      <c r="F410" s="17" t="s">
        <v>130</v>
      </c>
      <c r="G410" s="17">
        <v>59.114618711200002</v>
      </c>
      <c r="H410" s="17">
        <v>50.559885999999999</v>
      </c>
      <c r="I410" s="17" t="s">
        <v>115</v>
      </c>
    </row>
    <row r="411" spans="1:9" x14ac:dyDescent="0.3">
      <c r="A411" s="17" t="s">
        <v>195</v>
      </c>
      <c r="B411" s="17" t="s">
        <v>203</v>
      </c>
      <c r="C411" s="17" t="s">
        <v>113</v>
      </c>
      <c r="D411" s="17" t="s">
        <v>114</v>
      </c>
      <c r="E411" s="17" t="s">
        <v>93</v>
      </c>
      <c r="F411" s="17" t="s">
        <v>131</v>
      </c>
      <c r="G411" s="17">
        <v>20.721965440000002</v>
      </c>
      <c r="H411" s="17">
        <v>17.723199999999999</v>
      </c>
      <c r="I411" s="17" t="s">
        <v>115</v>
      </c>
    </row>
    <row r="412" spans="1:9" x14ac:dyDescent="0.3">
      <c r="A412" s="17" t="s">
        <v>195</v>
      </c>
      <c r="B412" s="17" t="s">
        <v>203</v>
      </c>
      <c r="C412" s="17" t="s">
        <v>113</v>
      </c>
      <c r="D412" s="17" t="s">
        <v>114</v>
      </c>
      <c r="E412" s="17" t="s">
        <v>93</v>
      </c>
      <c r="F412" s="17" t="s">
        <v>132</v>
      </c>
      <c r="G412" s="17">
        <v>7.1733927599999997E-2</v>
      </c>
      <c r="H412" s="17">
        <v>6.1352999999999998E-2</v>
      </c>
      <c r="I412" s="17" t="s">
        <v>115</v>
      </c>
    </row>
    <row r="413" spans="1:9" x14ac:dyDescent="0.3">
      <c r="A413" s="17" t="s">
        <v>195</v>
      </c>
      <c r="B413" s="17" t="s">
        <v>203</v>
      </c>
      <c r="C413" s="17" t="s">
        <v>113</v>
      </c>
      <c r="D413" s="17" t="s">
        <v>114</v>
      </c>
      <c r="E413" s="17" t="s">
        <v>93</v>
      </c>
      <c r="F413" s="17" t="s">
        <v>133</v>
      </c>
      <c r="G413" s="17">
        <v>2.1278968548387098</v>
      </c>
      <c r="H413" s="17">
        <v>1.81995967741936</v>
      </c>
      <c r="I413" s="17" t="s">
        <v>115</v>
      </c>
    </row>
    <row r="414" spans="1:9" x14ac:dyDescent="0.3">
      <c r="A414" s="17" t="s">
        <v>195</v>
      </c>
      <c r="B414" s="17" t="s">
        <v>203</v>
      </c>
      <c r="C414" s="17" t="s">
        <v>113</v>
      </c>
      <c r="D414" s="17" t="s">
        <v>114</v>
      </c>
      <c r="E414" s="17" t="s">
        <v>93</v>
      </c>
      <c r="F414" s="17" t="s">
        <v>134</v>
      </c>
      <c r="G414" s="17">
        <v>0.72313616960000004</v>
      </c>
      <c r="H414" s="17">
        <v>0.61848800000000004</v>
      </c>
      <c r="I414" s="17" t="s">
        <v>115</v>
      </c>
    </row>
    <row r="415" spans="1:9" x14ac:dyDescent="0.3">
      <c r="A415" s="17" t="s">
        <v>195</v>
      </c>
      <c r="B415" s="17" t="s">
        <v>203</v>
      </c>
      <c r="C415" s="17" t="s">
        <v>113</v>
      </c>
      <c r="D415" s="17" t="s">
        <v>114</v>
      </c>
      <c r="E415" s="17" t="s">
        <v>93</v>
      </c>
      <c r="F415" s="17" t="s">
        <v>136</v>
      </c>
      <c r="G415" s="17">
        <v>5.0947188480000003</v>
      </c>
      <c r="H415" s="17">
        <v>4.3574400000000004</v>
      </c>
      <c r="I415" s="17" t="s">
        <v>115</v>
      </c>
    </row>
    <row r="416" spans="1:9" x14ac:dyDescent="0.3">
      <c r="A416" s="17" t="s">
        <v>195</v>
      </c>
      <c r="B416" s="17" t="s">
        <v>203</v>
      </c>
      <c r="C416" s="17" t="s">
        <v>113</v>
      </c>
      <c r="D416" s="17" t="s">
        <v>114</v>
      </c>
      <c r="E416" s="17" t="s">
        <v>93</v>
      </c>
      <c r="F416" s="17" t="s">
        <v>137</v>
      </c>
      <c r="G416" s="17">
        <v>10.348109828</v>
      </c>
      <c r="H416" s="17">
        <v>8.8505900000000004</v>
      </c>
      <c r="I416" s="17" t="s">
        <v>115</v>
      </c>
    </row>
    <row r="417" spans="1:9" x14ac:dyDescent="0.3">
      <c r="A417" s="17" t="s">
        <v>195</v>
      </c>
      <c r="B417" s="17" t="s">
        <v>203</v>
      </c>
      <c r="C417" s="17" t="s">
        <v>113</v>
      </c>
      <c r="D417" s="17" t="s">
        <v>114</v>
      </c>
      <c r="E417" s="17" t="s">
        <v>96</v>
      </c>
      <c r="F417" s="17" t="s">
        <v>96</v>
      </c>
      <c r="G417" s="17">
        <v>6.1677638400000004E-5</v>
      </c>
      <c r="H417" s="17">
        <v>5.2751999999999999E-5</v>
      </c>
      <c r="I417" s="17" t="s">
        <v>115</v>
      </c>
    </row>
    <row r="418" spans="1:9" x14ac:dyDescent="0.3">
      <c r="A418" s="17" t="s">
        <v>195</v>
      </c>
      <c r="B418" s="17" t="s">
        <v>203</v>
      </c>
      <c r="C418" s="17" t="s">
        <v>113</v>
      </c>
      <c r="D418" s="17" t="s">
        <v>114</v>
      </c>
      <c r="E418" s="17" t="s">
        <v>99</v>
      </c>
      <c r="F418" s="17" t="s">
        <v>142</v>
      </c>
      <c r="G418" s="17">
        <v>3.8259611172399999E-3</v>
      </c>
      <c r="H418" s="17">
        <v>3.2722897000000001E-3</v>
      </c>
      <c r="I418" s="17" t="s">
        <v>115</v>
      </c>
    </row>
    <row r="419" spans="1:9" x14ac:dyDescent="0.3">
      <c r="A419" s="17" t="s">
        <v>195</v>
      </c>
      <c r="B419" s="17" t="s">
        <v>203</v>
      </c>
      <c r="C419" s="17" t="s">
        <v>113</v>
      </c>
      <c r="D419" s="17" t="s">
        <v>114</v>
      </c>
      <c r="E419" s="17" t="s">
        <v>99</v>
      </c>
      <c r="F419" s="17" t="s">
        <v>143</v>
      </c>
      <c r="G419" s="17">
        <v>5.6432402919714404</v>
      </c>
      <c r="H419" s="17">
        <v>4.8265825282000003</v>
      </c>
      <c r="I419" s="17" t="s">
        <v>115</v>
      </c>
    </row>
    <row r="420" spans="1:9" x14ac:dyDescent="0.3">
      <c r="A420" s="17" t="s">
        <v>195</v>
      </c>
      <c r="B420" s="17" t="s">
        <v>203</v>
      </c>
      <c r="C420" s="17" t="s">
        <v>113</v>
      </c>
      <c r="D420" s="17" t="s">
        <v>114</v>
      </c>
      <c r="E420" s="17" t="s">
        <v>99</v>
      </c>
      <c r="F420" s="17" t="s">
        <v>144</v>
      </c>
      <c r="G420" s="17">
        <v>1.2732588E-4</v>
      </c>
      <c r="H420" s="17">
        <v>1.089E-4</v>
      </c>
      <c r="I420" s="17" t="s">
        <v>115</v>
      </c>
    </row>
    <row r="421" spans="1:9" x14ac:dyDescent="0.3">
      <c r="A421" s="17" t="s">
        <v>195</v>
      </c>
      <c r="B421" s="17" t="s">
        <v>203</v>
      </c>
      <c r="C421" s="17" t="s">
        <v>113</v>
      </c>
      <c r="D421" s="17" t="s">
        <v>114</v>
      </c>
      <c r="E421" s="17" t="s">
        <v>99</v>
      </c>
      <c r="F421" s="17" t="s">
        <v>147</v>
      </c>
      <c r="G421" s="17">
        <v>2.0012745498019999E-2</v>
      </c>
      <c r="H421" s="17">
        <v>1.711661435E-2</v>
      </c>
      <c r="I421" s="17" t="s">
        <v>115</v>
      </c>
    </row>
    <row r="422" spans="1:9" x14ac:dyDescent="0.3">
      <c r="A422" s="17" t="s">
        <v>195</v>
      </c>
      <c r="B422" s="17" t="s">
        <v>203</v>
      </c>
      <c r="C422" s="17" t="s">
        <v>113</v>
      </c>
      <c r="D422" s="17" t="s">
        <v>114</v>
      </c>
      <c r="E422" s="17" t="s">
        <v>99</v>
      </c>
      <c r="F422" s="17" t="s">
        <v>148</v>
      </c>
      <c r="G422" s="17">
        <v>45.262701464008003</v>
      </c>
      <c r="H422" s="17">
        <v>38.712539739999997</v>
      </c>
      <c r="I422" s="17" t="s">
        <v>115</v>
      </c>
    </row>
    <row r="423" spans="1:9" x14ac:dyDescent="0.3">
      <c r="A423" s="17" t="s">
        <v>195</v>
      </c>
      <c r="B423" s="17" t="s">
        <v>203</v>
      </c>
      <c r="C423" s="17" t="s">
        <v>113</v>
      </c>
      <c r="D423" s="17" t="s">
        <v>114</v>
      </c>
      <c r="E423" s="17" t="s">
        <v>99</v>
      </c>
      <c r="F423" s="17" t="s">
        <v>150</v>
      </c>
      <c r="G423" s="17">
        <v>2.81379672E-5</v>
      </c>
      <c r="H423" s="17">
        <v>2.4066E-5</v>
      </c>
      <c r="I423" s="17" t="s">
        <v>115</v>
      </c>
    </row>
    <row r="424" spans="1:9" x14ac:dyDescent="0.3">
      <c r="A424" s="17" t="s">
        <v>195</v>
      </c>
      <c r="B424" s="17" t="s">
        <v>203</v>
      </c>
      <c r="C424" s="17" t="s">
        <v>113</v>
      </c>
      <c r="D424" s="17" t="s">
        <v>114</v>
      </c>
      <c r="E424" s="17" t="s">
        <v>99</v>
      </c>
      <c r="F424" s="17" t="s">
        <v>152</v>
      </c>
      <c r="G424" s="17">
        <v>1.1625894624583999</v>
      </c>
      <c r="H424" s="17">
        <v>0.99434610199999995</v>
      </c>
      <c r="I424" s="17" t="s">
        <v>115</v>
      </c>
    </row>
    <row r="425" spans="1:9" x14ac:dyDescent="0.3">
      <c r="A425" s="17" t="s">
        <v>195</v>
      </c>
      <c r="B425" s="17" t="s">
        <v>203</v>
      </c>
      <c r="C425" s="17" t="s">
        <v>113</v>
      </c>
      <c r="D425" s="17" t="s">
        <v>114</v>
      </c>
      <c r="E425" s="17" t="s">
        <v>99</v>
      </c>
      <c r="F425" s="17" t="s">
        <v>153</v>
      </c>
      <c r="G425" s="17">
        <v>4.9574079999999997E-8</v>
      </c>
      <c r="H425" s="17">
        <v>4.2400000000000002E-8</v>
      </c>
      <c r="I425" s="17" t="s">
        <v>115</v>
      </c>
    </row>
    <row r="426" spans="1:9" x14ac:dyDescent="0.3">
      <c r="A426" s="17" t="s">
        <v>195</v>
      </c>
      <c r="B426" s="17" t="s">
        <v>203</v>
      </c>
      <c r="C426" s="17" t="s">
        <v>113</v>
      </c>
      <c r="D426" s="17" t="s">
        <v>114</v>
      </c>
      <c r="E426" s="17" t="s">
        <v>99</v>
      </c>
      <c r="F426" s="17" t="s">
        <v>154</v>
      </c>
      <c r="G426" s="17">
        <v>1.36623685776E-3</v>
      </c>
      <c r="H426" s="17">
        <v>1.1685228E-3</v>
      </c>
      <c r="I426" s="17" t="s">
        <v>115</v>
      </c>
    </row>
    <row r="427" spans="1:9" x14ac:dyDescent="0.3">
      <c r="A427" s="17" t="s">
        <v>195</v>
      </c>
      <c r="B427" s="17" t="s">
        <v>203</v>
      </c>
      <c r="C427" s="17" t="s">
        <v>113</v>
      </c>
      <c r="D427" s="17" t="s">
        <v>114</v>
      </c>
      <c r="E427" s="17" t="s">
        <v>101</v>
      </c>
      <c r="F427" s="17" t="s">
        <v>157</v>
      </c>
      <c r="G427" s="17">
        <v>407.17875968626402</v>
      </c>
      <c r="H427" s="17">
        <v>348.25415642000002</v>
      </c>
      <c r="I427" s="17" t="s">
        <v>115</v>
      </c>
    </row>
    <row r="428" spans="1:9" x14ac:dyDescent="0.3">
      <c r="A428" s="17" t="s">
        <v>195</v>
      </c>
      <c r="B428" s="17" t="s">
        <v>203</v>
      </c>
      <c r="C428" s="17" t="s">
        <v>113</v>
      </c>
      <c r="D428" s="17" t="s">
        <v>114</v>
      </c>
      <c r="E428" s="17" t="s">
        <v>101</v>
      </c>
      <c r="F428" s="17" t="s">
        <v>158</v>
      </c>
      <c r="G428" s="17">
        <v>23.94007152</v>
      </c>
      <c r="H428" s="17">
        <v>20.4756</v>
      </c>
      <c r="I428" s="17" t="s">
        <v>115</v>
      </c>
    </row>
    <row r="429" spans="1:9" x14ac:dyDescent="0.3">
      <c r="A429" s="17" t="s">
        <v>195</v>
      </c>
      <c r="B429" s="17" t="s">
        <v>203</v>
      </c>
      <c r="C429" s="17" t="s">
        <v>113</v>
      </c>
      <c r="D429" s="17" t="s">
        <v>114</v>
      </c>
      <c r="E429" s="17" t="s">
        <v>101</v>
      </c>
      <c r="F429" s="17" t="s">
        <v>160</v>
      </c>
      <c r="G429" s="17">
        <v>22.613265155891199</v>
      </c>
      <c r="H429" s="17">
        <v>19.340801536000001</v>
      </c>
      <c r="I429" s="17" t="s">
        <v>115</v>
      </c>
    </row>
    <row r="430" spans="1:9" x14ac:dyDescent="0.3">
      <c r="A430" s="17" t="s">
        <v>195</v>
      </c>
      <c r="B430" s="17" t="s">
        <v>203</v>
      </c>
      <c r="C430" s="17" t="s">
        <v>113</v>
      </c>
      <c r="D430" s="17" t="s">
        <v>114</v>
      </c>
      <c r="E430" s="17" t="s">
        <v>102</v>
      </c>
      <c r="F430" s="17" t="s">
        <v>165</v>
      </c>
      <c r="G430" s="17">
        <v>1.89620856</v>
      </c>
      <c r="H430" s="17">
        <v>1.6217999999999999</v>
      </c>
      <c r="I430" s="17" t="s">
        <v>115</v>
      </c>
    </row>
    <row r="431" spans="1:9" x14ac:dyDescent="0.3">
      <c r="A431" s="17" t="s">
        <v>195</v>
      </c>
      <c r="B431" s="17" t="s">
        <v>203</v>
      </c>
      <c r="C431" s="17" t="s">
        <v>113</v>
      </c>
      <c r="D431" s="17" t="s">
        <v>114</v>
      </c>
      <c r="E431" s="17" t="s">
        <v>102</v>
      </c>
      <c r="F431" s="17" t="s">
        <v>166</v>
      </c>
      <c r="G431" s="17">
        <v>23.2881164580015</v>
      </c>
      <c r="H431" s="17">
        <v>19.917992180979699</v>
      </c>
      <c r="I431" s="17" t="s">
        <v>115</v>
      </c>
    </row>
    <row r="432" spans="1:9" x14ac:dyDescent="0.3">
      <c r="A432" s="17" t="s">
        <v>195</v>
      </c>
      <c r="B432" s="17" t="s">
        <v>203</v>
      </c>
      <c r="C432" s="17" t="s">
        <v>113</v>
      </c>
      <c r="D432" s="17" t="s">
        <v>114</v>
      </c>
      <c r="E432" s="17" t="s">
        <v>103</v>
      </c>
      <c r="F432" s="17" t="s">
        <v>103</v>
      </c>
      <c r="G432" s="17">
        <v>6.6574248000000003</v>
      </c>
      <c r="H432" s="17">
        <v>5.694</v>
      </c>
      <c r="I432" s="17" t="s">
        <v>115</v>
      </c>
    </row>
  </sheetData>
  <autoFilter ref="A1:I389" xr:uid="{67001029-DABC-4F7F-AC15-8B45A820CB5D}"/>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4B032-1454-4282-AE56-CBC4942B5DE2}">
  <dimension ref="B1:J38"/>
  <sheetViews>
    <sheetView tabSelected="1" zoomScale="104" zoomScaleNormal="145" workbookViewId="0">
      <selection activeCell="C16" sqref="C16"/>
    </sheetView>
  </sheetViews>
  <sheetFormatPr defaultRowHeight="14.4" x14ac:dyDescent="0.3"/>
  <cols>
    <col min="2" max="2" width="24.5546875" bestFit="1" customWidth="1"/>
    <col min="3" max="3" width="13.5546875" customWidth="1"/>
    <col min="4" max="4" width="11.44140625" bestFit="1" customWidth="1"/>
    <col min="5" max="5" width="11.44140625" customWidth="1"/>
    <col min="6" max="6" width="15.77734375" customWidth="1"/>
    <col min="7" max="7" width="11.21875" bestFit="1" customWidth="1"/>
    <col min="9" max="9" width="11.21875" bestFit="1" customWidth="1"/>
  </cols>
  <sheetData>
    <row r="1" spans="2:10" x14ac:dyDescent="0.3">
      <c r="B1" t="s">
        <v>0</v>
      </c>
      <c r="C1">
        <v>150</v>
      </c>
      <c r="F1" s="2"/>
    </row>
    <row r="2" spans="2:10" x14ac:dyDescent="0.3">
      <c r="B2" t="s">
        <v>1</v>
      </c>
      <c r="C2" s="16">
        <v>3</v>
      </c>
      <c r="F2" s="2"/>
    </row>
    <row r="3" spans="2:10" x14ac:dyDescent="0.3">
      <c r="B3" t="s">
        <v>2</v>
      </c>
      <c r="C3">
        <f>C2*C1*200</f>
        <v>90000</v>
      </c>
      <c r="D3" s="2"/>
      <c r="E3" s="2"/>
      <c r="F3" s="2"/>
    </row>
    <row r="4" spans="2:10" x14ac:dyDescent="0.3">
      <c r="B4" t="s">
        <v>3</v>
      </c>
      <c r="C4" s="7">
        <v>0.2</v>
      </c>
      <c r="D4" s="2"/>
      <c r="E4" s="2"/>
      <c r="F4" s="2"/>
    </row>
    <row r="5" spans="2:10" x14ac:dyDescent="0.3">
      <c r="B5" t="s">
        <v>4</v>
      </c>
      <c r="C5" s="8">
        <f>1-C4</f>
        <v>0.8</v>
      </c>
      <c r="D5" s="2"/>
      <c r="E5" s="2"/>
      <c r="F5" s="2"/>
    </row>
    <row r="6" spans="2:10" x14ac:dyDescent="0.3">
      <c r="B6" s="3" t="s">
        <v>5</v>
      </c>
      <c r="C6" s="1" t="s">
        <v>6</v>
      </c>
      <c r="D6" s="3" t="s">
        <v>7</v>
      </c>
      <c r="E6" s="3" t="s">
        <v>8</v>
      </c>
      <c r="F6" s="1" t="s">
        <v>9</v>
      </c>
    </row>
    <row r="7" spans="2:10" x14ac:dyDescent="0.3">
      <c r="B7" t="s">
        <v>10</v>
      </c>
      <c r="C7">
        <f>ROUND(C3*C5,0)</f>
        <v>72000</v>
      </c>
      <c r="D7" s="14">
        <f>C18</f>
        <v>0.18720000000000001</v>
      </c>
      <c r="E7" s="67">
        <f>D27/7</f>
        <v>1546.1428571428571</v>
      </c>
      <c r="F7" s="2">
        <f>D7*C7</f>
        <v>13478.4</v>
      </c>
    </row>
    <row r="8" spans="2:10" x14ac:dyDescent="0.3">
      <c r="B8" t="s">
        <v>11</v>
      </c>
      <c r="C8">
        <f>ROUND(C3*C4,0)</f>
        <v>18000</v>
      </c>
      <c r="D8" s="4">
        <f>D7*5</f>
        <v>0.93600000000000005</v>
      </c>
      <c r="E8" s="68"/>
      <c r="F8" s="2">
        <f>D8*C8</f>
        <v>16848</v>
      </c>
    </row>
    <row r="9" spans="2:10" x14ac:dyDescent="0.3">
      <c r="B9" s="5" t="s">
        <v>12</v>
      </c>
      <c r="C9" s="5"/>
      <c r="D9" s="5"/>
      <c r="E9" s="5"/>
      <c r="F9" s="6">
        <f>SUM(F7:F8)+E7</f>
        <v>31872.54285714286</v>
      </c>
      <c r="G9" s="15"/>
      <c r="I9" s="15"/>
    </row>
    <row r="12" spans="2:10" x14ac:dyDescent="0.3">
      <c r="B12" s="1"/>
      <c r="F12" s="3"/>
    </row>
    <row r="13" spans="2:10" x14ac:dyDescent="0.3">
      <c r="B13" t="s">
        <v>13</v>
      </c>
    </row>
    <row r="14" spans="2:10" x14ac:dyDescent="0.3">
      <c r="C14" t="s">
        <v>14</v>
      </c>
      <c r="D14" t="s">
        <v>15</v>
      </c>
      <c r="E14" t="s">
        <v>16</v>
      </c>
    </row>
    <row r="15" spans="2:10" x14ac:dyDescent="0.3">
      <c r="B15" t="s">
        <v>17</v>
      </c>
      <c r="C15" s="13">
        <v>8000</v>
      </c>
      <c r="D15">
        <v>16000</v>
      </c>
      <c r="G15" t="s">
        <v>18</v>
      </c>
      <c r="H15" t="s">
        <v>19</v>
      </c>
      <c r="J15" t="s">
        <v>20</v>
      </c>
    </row>
    <row r="16" spans="2:10" x14ac:dyDescent="0.3">
      <c r="B16" t="s">
        <v>21</v>
      </c>
      <c r="C16">
        <v>0.02</v>
      </c>
      <c r="D16">
        <v>1.6999999999999999E-3</v>
      </c>
      <c r="E16">
        <v>1E-4</v>
      </c>
      <c r="G16">
        <v>2100</v>
      </c>
      <c r="H16">
        <v>20</v>
      </c>
      <c r="I16">
        <f>G16*H16</f>
        <v>42000</v>
      </c>
      <c r="J16">
        <f>I16*400/1000</f>
        <v>16800</v>
      </c>
    </row>
    <row r="17" spans="2:9" x14ac:dyDescent="0.3">
      <c r="B17" s="1" t="s">
        <v>22</v>
      </c>
      <c r="C17">
        <f>C16*C15/1000</f>
        <v>0.16</v>
      </c>
      <c r="D17">
        <f t="shared" ref="D17" si="0">D16*D15/1000</f>
        <v>2.7199999999999998E-2</v>
      </c>
      <c r="E17">
        <f>E16*E15/1000</f>
        <v>0</v>
      </c>
    </row>
    <row r="18" spans="2:9" x14ac:dyDescent="0.3">
      <c r="B18" t="s">
        <v>23</v>
      </c>
      <c r="C18">
        <f>SUM(C17:D17)</f>
        <v>0.18720000000000001</v>
      </c>
    </row>
    <row r="19" spans="2:9" x14ac:dyDescent="0.3">
      <c r="B19" s="1" t="s">
        <v>24</v>
      </c>
    </row>
    <row r="21" spans="2:9" x14ac:dyDescent="0.3">
      <c r="B21" t="s">
        <v>25</v>
      </c>
      <c r="C21">
        <v>500</v>
      </c>
      <c r="D21">
        <v>467</v>
      </c>
    </row>
    <row r="22" spans="2:9" x14ac:dyDescent="0.3">
      <c r="B22" t="s">
        <v>26</v>
      </c>
      <c r="C22">
        <v>1000</v>
      </c>
      <c r="D22">
        <v>889</v>
      </c>
    </row>
    <row r="23" spans="2:9" x14ac:dyDescent="0.3">
      <c r="B23" t="s">
        <v>27</v>
      </c>
      <c r="C23">
        <v>500</v>
      </c>
      <c r="D23">
        <v>8000</v>
      </c>
    </row>
    <row r="24" spans="2:9" x14ac:dyDescent="0.3">
      <c r="B24" t="s">
        <v>28</v>
      </c>
      <c r="C24">
        <v>500</v>
      </c>
      <c r="D24">
        <v>11</v>
      </c>
      <c r="I24" t="s">
        <v>29</v>
      </c>
    </row>
    <row r="25" spans="2:9" x14ac:dyDescent="0.3">
      <c r="B25" t="s">
        <v>30</v>
      </c>
      <c r="C25">
        <v>800</v>
      </c>
      <c r="D25">
        <v>800</v>
      </c>
    </row>
    <row r="26" spans="2:9" x14ac:dyDescent="0.3">
      <c r="B26" t="s">
        <v>31</v>
      </c>
      <c r="C26">
        <v>800</v>
      </c>
      <c r="D26">
        <v>656</v>
      </c>
    </row>
    <row r="27" spans="2:9" x14ac:dyDescent="0.3">
      <c r="B27" s="1" t="s">
        <v>32</v>
      </c>
      <c r="C27">
        <f>SUM(C21:C26)</f>
        <v>4100</v>
      </c>
      <c r="D27">
        <f>SUM(D21:D26)</f>
        <v>10823</v>
      </c>
      <c r="F27">
        <f>D27/7</f>
        <v>1546.1428571428571</v>
      </c>
    </row>
    <row r="28" spans="2:9" x14ac:dyDescent="0.3">
      <c r="B28" s="1" t="s">
        <v>33</v>
      </c>
      <c r="C28">
        <f>C27*12</f>
        <v>49200</v>
      </c>
      <c r="D28">
        <f>D27*12</f>
        <v>129876</v>
      </c>
    </row>
    <row r="29" spans="2:9" x14ac:dyDescent="0.3">
      <c r="B29" s="1"/>
      <c r="C29">
        <f>C28*7</f>
        <v>344400</v>
      </c>
    </row>
    <row r="30" spans="2:9" x14ac:dyDescent="0.3">
      <c r="B30" s="1"/>
    </row>
    <row r="31" spans="2:9" x14ac:dyDescent="0.3">
      <c r="B31" s="1" t="s">
        <v>57</v>
      </c>
    </row>
    <row r="33" spans="2:5" x14ac:dyDescent="0.3">
      <c r="B33" t="s">
        <v>34</v>
      </c>
    </row>
    <row r="34" spans="2:5" x14ac:dyDescent="0.3">
      <c r="C34" t="s">
        <v>35</v>
      </c>
      <c r="D34" t="s">
        <v>15</v>
      </c>
      <c r="E34" t="s">
        <v>16</v>
      </c>
    </row>
    <row r="35" spans="2:5" x14ac:dyDescent="0.3">
      <c r="B35" t="s">
        <v>17</v>
      </c>
    </row>
    <row r="36" spans="2:5" x14ac:dyDescent="0.3">
      <c r="B36" t="s">
        <v>36</v>
      </c>
    </row>
    <row r="37" spans="2:5" x14ac:dyDescent="0.3">
      <c r="B37" t="s">
        <v>37</v>
      </c>
    </row>
    <row r="38" spans="2:5" x14ac:dyDescent="0.3">
      <c r="B38" t="s">
        <v>38</v>
      </c>
    </row>
  </sheetData>
  <mergeCells count="1">
    <mergeCell ref="E7:E8"/>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52DA3-D5E0-4656-8A68-AD3CEC1A183C}">
  <dimension ref="A1:E14"/>
  <sheetViews>
    <sheetView zoomScale="130" zoomScaleNormal="130" workbookViewId="0">
      <selection activeCell="B29" sqref="B29"/>
    </sheetView>
  </sheetViews>
  <sheetFormatPr defaultRowHeight="14.4" outlineLevelRow="1" x14ac:dyDescent="0.3"/>
  <cols>
    <col min="2" max="2" width="33.44140625" customWidth="1"/>
    <col min="3" max="3" width="11" bestFit="1" customWidth="1"/>
    <col min="4" max="4" width="9.5546875" bestFit="1" customWidth="1"/>
    <col min="5" max="5" width="14.33203125" customWidth="1"/>
  </cols>
  <sheetData>
    <row r="1" spans="1:5" x14ac:dyDescent="0.3">
      <c r="A1" s="9" t="s">
        <v>39</v>
      </c>
      <c r="B1" s="9"/>
      <c r="C1" s="9" t="s">
        <v>40</v>
      </c>
      <c r="D1" s="9" t="s">
        <v>41</v>
      </c>
      <c r="E1" s="9" t="s">
        <v>42</v>
      </c>
    </row>
    <row r="2" spans="1:5" outlineLevel="1" x14ac:dyDescent="0.3">
      <c r="A2" t="s">
        <v>43</v>
      </c>
      <c r="B2" s="1"/>
      <c r="C2" s="10">
        <f>55253/12</f>
        <v>4604.416666666667</v>
      </c>
      <c r="D2" s="1"/>
      <c r="E2" s="1"/>
    </row>
    <row r="3" spans="1:5" outlineLevel="1" x14ac:dyDescent="0.3">
      <c r="A3" t="s">
        <v>44</v>
      </c>
      <c r="B3" s="1"/>
      <c r="C3" s="10">
        <f>55253/12</f>
        <v>4604.416666666667</v>
      </c>
      <c r="D3" s="1"/>
      <c r="E3" s="1"/>
    </row>
    <row r="4" spans="1:5" outlineLevel="1" x14ac:dyDescent="0.3">
      <c r="A4" t="s">
        <v>45</v>
      </c>
      <c r="B4" s="1"/>
      <c r="C4" s="10">
        <f>55253/12</f>
        <v>4604.416666666667</v>
      </c>
      <c r="D4" s="1"/>
      <c r="E4" s="1"/>
    </row>
    <row r="5" spans="1:5" x14ac:dyDescent="0.3">
      <c r="A5" s="9" t="s">
        <v>46</v>
      </c>
      <c r="B5" s="11"/>
      <c r="C5" s="12">
        <f>SUM(C2:C4)</f>
        <v>13813.25</v>
      </c>
      <c r="D5" s="12">
        <f>C5*12</f>
        <v>165759</v>
      </c>
      <c r="E5" s="11" t="s">
        <v>47</v>
      </c>
    </row>
    <row r="6" spans="1:5" outlineLevel="1" x14ac:dyDescent="0.3">
      <c r="A6" t="s">
        <v>48</v>
      </c>
      <c r="C6" s="10">
        <f>55253/12</f>
        <v>4604.416666666667</v>
      </c>
    </row>
    <row r="7" spans="1:5" outlineLevel="1" x14ac:dyDescent="0.3">
      <c r="A7" t="s">
        <v>49</v>
      </c>
      <c r="C7" s="10">
        <f>55253/12</f>
        <v>4604.416666666667</v>
      </c>
    </row>
    <row r="8" spans="1:5" outlineLevel="1" x14ac:dyDescent="0.3">
      <c r="A8" t="s">
        <v>50</v>
      </c>
      <c r="C8" s="10">
        <f>55253/12</f>
        <v>4604.416666666667</v>
      </c>
    </row>
    <row r="9" spans="1:5" ht="15" customHeight="1" outlineLevel="1" x14ac:dyDescent="0.3">
      <c r="A9" t="s">
        <v>51</v>
      </c>
      <c r="C9" s="10">
        <f>55253/12</f>
        <v>4604.416666666667</v>
      </c>
    </row>
    <row r="10" spans="1:5" x14ac:dyDescent="0.3">
      <c r="A10" s="9" t="s">
        <v>52</v>
      </c>
      <c r="B10" s="11"/>
      <c r="C10" s="12">
        <f>SUM(C6:C9)</f>
        <v>18417.666666666668</v>
      </c>
      <c r="D10" s="12">
        <f>C10*6</f>
        <v>110506</v>
      </c>
      <c r="E10" s="11" t="s">
        <v>53</v>
      </c>
    </row>
    <row r="11" spans="1:5" outlineLevel="1" x14ac:dyDescent="0.3">
      <c r="A11" t="s">
        <v>54</v>
      </c>
      <c r="C11" s="10">
        <f>C7</f>
        <v>4604.416666666667</v>
      </c>
      <c r="D11" s="2"/>
    </row>
    <row r="12" spans="1:5" x14ac:dyDescent="0.3">
      <c r="A12" s="9" t="s">
        <v>55</v>
      </c>
      <c r="B12" s="11"/>
      <c r="C12" s="12">
        <f>SUM(C11:C11)</f>
        <v>4604.416666666667</v>
      </c>
      <c r="D12" s="12">
        <f>C12*6</f>
        <v>27626.5</v>
      </c>
      <c r="E12" s="11" t="s">
        <v>56</v>
      </c>
    </row>
    <row r="14" spans="1:5" x14ac:dyDescent="0.3">
      <c r="A14" t="s">
        <v>12</v>
      </c>
      <c r="C14" s="2">
        <f>SUM(D10:D12)</f>
        <v>138132.5</v>
      </c>
    </row>
  </sheetData>
  <pageMargins left="0.7" right="0.7" top="0.75" bottom="0.75" header="0.3" footer="0.3"/>
  <ignoredErrors>
    <ignoredError sqref="C10"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88A73-EB7D-4AB7-9D79-6A53DE3FA04A}">
  <dimension ref="A1:AJ42"/>
  <sheetViews>
    <sheetView workbookViewId="0">
      <selection activeCell="M14" sqref="M14"/>
    </sheetView>
  </sheetViews>
  <sheetFormatPr defaultRowHeight="14.4" x14ac:dyDescent="0.3"/>
  <cols>
    <col min="1" max="1" width="29.6640625" bestFit="1" customWidth="1"/>
    <col min="2" max="2" width="15.77734375" bestFit="1" customWidth="1"/>
    <col min="3" max="3" width="8" bestFit="1" customWidth="1"/>
    <col min="4" max="4" width="10.77734375" bestFit="1" customWidth="1"/>
    <col min="5" max="5" width="8" bestFit="1" customWidth="1"/>
    <col min="6" max="6" width="10.77734375" bestFit="1" customWidth="1"/>
    <col min="7" max="7" width="8" bestFit="1" customWidth="1"/>
    <col min="8" max="8" width="10.77734375" bestFit="1" customWidth="1"/>
    <col min="9" max="9" width="8" bestFit="1" customWidth="1"/>
    <col min="10" max="10" width="10.77734375" bestFit="1" customWidth="1"/>
    <col min="11" max="11" width="8" bestFit="1" customWidth="1"/>
    <col min="12" max="12" width="10.77734375" bestFit="1" customWidth="1"/>
    <col min="13" max="13" width="8" bestFit="1" customWidth="1"/>
    <col min="14" max="14" width="10.77734375" bestFit="1" customWidth="1"/>
    <col min="15" max="15" width="8" bestFit="1" customWidth="1"/>
    <col min="16" max="16" width="10.77734375" bestFit="1" customWidth="1"/>
    <col min="17" max="17" width="8" bestFit="1" customWidth="1"/>
    <col min="18" max="18" width="10.77734375" bestFit="1" customWidth="1"/>
    <col min="19" max="19" width="8" bestFit="1" customWidth="1"/>
    <col min="20" max="20" width="10.33203125" bestFit="1" customWidth="1"/>
    <col min="21" max="21" width="8" bestFit="1" customWidth="1"/>
    <col min="22" max="22" width="16.109375" bestFit="1" customWidth="1"/>
    <col min="23" max="23" width="10.77734375" bestFit="1" customWidth="1"/>
    <col min="24" max="24" width="8" bestFit="1" customWidth="1"/>
    <col min="25" max="25" width="26.6640625" bestFit="1" customWidth="1"/>
    <col min="26" max="34" width="10.5546875" bestFit="1" customWidth="1"/>
    <col min="35" max="35" width="13.33203125" bestFit="1" customWidth="1"/>
    <col min="36" max="36" width="20" customWidth="1"/>
  </cols>
  <sheetData>
    <row r="1" spans="1:36" x14ac:dyDescent="0.3">
      <c r="B1" s="18" t="s">
        <v>60</v>
      </c>
      <c r="V1" s="21"/>
    </row>
    <row r="2" spans="1:36" x14ac:dyDescent="0.3">
      <c r="B2" t="s">
        <v>61</v>
      </c>
      <c r="D2" t="s">
        <v>62</v>
      </c>
      <c r="F2" t="s">
        <v>63</v>
      </c>
      <c r="H2" t="s">
        <v>64</v>
      </c>
      <c r="J2" t="s">
        <v>65</v>
      </c>
      <c r="L2" t="s">
        <v>66</v>
      </c>
      <c r="N2" t="s">
        <v>67</v>
      </c>
      <c r="P2" t="s">
        <v>68</v>
      </c>
      <c r="R2" t="s">
        <v>69</v>
      </c>
      <c r="T2" t="s">
        <v>203</v>
      </c>
      <c r="V2" s="25" t="s">
        <v>201</v>
      </c>
      <c r="Z2" t="s">
        <v>61</v>
      </c>
      <c r="AA2" t="s">
        <v>62</v>
      </c>
      <c r="AB2" t="s">
        <v>63</v>
      </c>
      <c r="AC2" t="s">
        <v>64</v>
      </c>
      <c r="AD2" t="s">
        <v>65</v>
      </c>
      <c r="AE2" t="s">
        <v>66</v>
      </c>
      <c r="AF2" t="s">
        <v>67</v>
      </c>
      <c r="AG2" t="s">
        <v>68</v>
      </c>
      <c r="AH2" t="s">
        <v>69</v>
      </c>
      <c r="AI2" t="s">
        <v>199</v>
      </c>
      <c r="AJ2" s="25" t="s">
        <v>201</v>
      </c>
    </row>
    <row r="3" spans="1:36" x14ac:dyDescent="0.3">
      <c r="A3" s="18" t="s">
        <v>70</v>
      </c>
      <c r="B3" t="s">
        <v>200</v>
      </c>
      <c r="C3" t="s">
        <v>198</v>
      </c>
      <c r="D3" t="s">
        <v>200</v>
      </c>
      <c r="E3" t="s">
        <v>198</v>
      </c>
      <c r="F3" t="s">
        <v>200</v>
      </c>
      <c r="G3" t="s">
        <v>198</v>
      </c>
      <c r="H3" t="s">
        <v>200</v>
      </c>
      <c r="I3" t="s">
        <v>198</v>
      </c>
      <c r="J3" t="s">
        <v>200</v>
      </c>
      <c r="K3" t="s">
        <v>198</v>
      </c>
      <c r="L3" t="s">
        <v>200</v>
      </c>
      <c r="M3" t="s">
        <v>198</v>
      </c>
      <c r="N3" t="s">
        <v>200</v>
      </c>
      <c r="O3" t="s">
        <v>198</v>
      </c>
      <c r="P3" t="s">
        <v>200</v>
      </c>
      <c r="Q3" t="s">
        <v>198</v>
      </c>
      <c r="R3" t="s">
        <v>200</v>
      </c>
      <c r="S3" t="s">
        <v>198</v>
      </c>
      <c r="T3" t="s">
        <v>200</v>
      </c>
      <c r="U3" t="s">
        <v>198</v>
      </c>
      <c r="V3" s="26" t="s">
        <v>202</v>
      </c>
      <c r="Y3" t="s">
        <v>70</v>
      </c>
      <c r="Z3" t="s">
        <v>200</v>
      </c>
      <c r="AA3" t="s">
        <v>200</v>
      </c>
      <c r="AB3" t="s">
        <v>200</v>
      </c>
      <c r="AC3" t="s">
        <v>200</v>
      </c>
      <c r="AD3" t="s">
        <v>200</v>
      </c>
      <c r="AE3" t="s">
        <v>200</v>
      </c>
      <c r="AF3" t="s">
        <v>200</v>
      </c>
      <c r="AG3" t="s">
        <v>200</v>
      </c>
      <c r="AH3" t="s">
        <v>200</v>
      </c>
      <c r="AI3" t="s">
        <v>199</v>
      </c>
      <c r="AJ3" s="26" t="s">
        <v>202</v>
      </c>
    </row>
    <row r="4" spans="1:36" x14ac:dyDescent="0.3">
      <c r="A4" s="19" t="s">
        <v>84</v>
      </c>
      <c r="B4" s="23">
        <v>806.52692865968095</v>
      </c>
      <c r="C4" s="20">
        <v>4.4771886600837502E-2</v>
      </c>
      <c r="D4" s="23">
        <v>2361.9133515209301</v>
      </c>
      <c r="E4" s="20">
        <v>9.1095207691415797E-2</v>
      </c>
      <c r="F4" s="23">
        <v>10637.9792284615</v>
      </c>
      <c r="G4" s="20">
        <v>0.29556504544613033</v>
      </c>
      <c r="H4" s="23">
        <v>3837.8990965691078</v>
      </c>
      <c r="I4" s="20">
        <v>0.1426505107025183</v>
      </c>
      <c r="J4" s="23">
        <v>6254.5147875340626</v>
      </c>
      <c r="K4" s="20">
        <v>0.19214679401020404</v>
      </c>
      <c r="L4" s="23">
        <v>14479.0113744911</v>
      </c>
      <c r="M4" s="20">
        <v>0.36860225029157478</v>
      </c>
      <c r="N4" s="23">
        <v>17616.416950821498</v>
      </c>
      <c r="O4" s="20">
        <v>0.30778052042214094</v>
      </c>
      <c r="P4" s="23">
        <v>15614.554066485218</v>
      </c>
      <c r="Q4" s="20">
        <v>0.29978195780562383</v>
      </c>
      <c r="R4" s="23">
        <v>19046.256918473591</v>
      </c>
      <c r="S4" s="20">
        <v>0.36336615055727095</v>
      </c>
      <c r="T4" s="23">
        <v>577.06907144185925</v>
      </c>
      <c r="U4" s="20">
        <v>7.6936806629359672E-2</v>
      </c>
      <c r="V4" s="24">
        <f t="shared" ref="V4:V26" si="0">AVERAGE(L4,N4,P4)</f>
        <v>15903.327463932605</v>
      </c>
      <c r="Y4" s="19" t="s">
        <v>104</v>
      </c>
      <c r="Z4" s="23">
        <v>18014.13766299931</v>
      </c>
      <c r="AA4" s="23">
        <v>25927.964943248062</v>
      </c>
      <c r="AB4" s="23">
        <v>35992.007148221383</v>
      </c>
      <c r="AC4" s="23">
        <v>26904.20859812144</v>
      </c>
      <c r="AD4" s="23">
        <v>32550.71113599696</v>
      </c>
      <c r="AE4" s="23">
        <v>39280.854533681748</v>
      </c>
      <c r="AF4" s="23">
        <v>57236.945751665648</v>
      </c>
      <c r="AG4" s="23">
        <v>55164.229475875589</v>
      </c>
      <c r="AH4" s="23">
        <v>43049.687364572441</v>
      </c>
      <c r="AI4" s="23">
        <v>334120.7466143826</v>
      </c>
      <c r="AJ4" s="24">
        <v>50562.964834880971</v>
      </c>
    </row>
    <row r="5" spans="1:36" x14ac:dyDescent="0.3">
      <c r="A5" s="19" t="s">
        <v>98</v>
      </c>
      <c r="B5" s="23">
        <v>4080.5805531451615</v>
      </c>
      <c r="C5" s="20">
        <v>0.22652100419586527</v>
      </c>
      <c r="D5" s="23">
        <v>3666.3502761290324</v>
      </c>
      <c r="E5" s="20">
        <v>0.1414052465804414</v>
      </c>
      <c r="F5" s="23">
        <v>4092.8701139999998</v>
      </c>
      <c r="G5" s="20">
        <v>0.11371608416126515</v>
      </c>
      <c r="H5" s="23">
        <v>4059.6835384731239</v>
      </c>
      <c r="I5" s="20">
        <v>0.15089399577271292</v>
      </c>
      <c r="J5" s="23">
        <v>4402.9676855322587</v>
      </c>
      <c r="K5" s="20">
        <v>0.13526486924161649</v>
      </c>
      <c r="L5" s="23">
        <v>4262.4760800537642</v>
      </c>
      <c r="M5" s="20">
        <v>0.10851281446534884</v>
      </c>
      <c r="N5" s="23">
        <v>10889.807695827958</v>
      </c>
      <c r="O5" s="20">
        <v>0.19025836464223037</v>
      </c>
      <c r="P5" s="23">
        <v>13318.296988333301</v>
      </c>
      <c r="Q5" s="20">
        <v>0.25569639253220233</v>
      </c>
      <c r="R5" s="23">
        <v>13101.944879999999</v>
      </c>
      <c r="S5" s="20">
        <v>0.2499600470705341</v>
      </c>
      <c r="T5" s="23">
        <v>2770.533915596774</v>
      </c>
      <c r="U5" s="20">
        <v>0.36937698218995185</v>
      </c>
      <c r="V5" s="24">
        <f t="shared" si="0"/>
        <v>9490.1935880716755</v>
      </c>
      <c r="Y5" s="19" t="s">
        <v>84</v>
      </c>
      <c r="Z5" s="27">
        <v>806.52692865968095</v>
      </c>
      <c r="AA5" s="27">
        <v>2361.9133515209301</v>
      </c>
      <c r="AB5" s="27">
        <v>10637.9792284615</v>
      </c>
      <c r="AC5" s="27">
        <v>3837.8990965691078</v>
      </c>
      <c r="AD5" s="27">
        <v>6254.5147875340626</v>
      </c>
      <c r="AE5" s="27">
        <v>14479.0113744911</v>
      </c>
      <c r="AF5" s="27">
        <v>17616.416950821498</v>
      </c>
      <c r="AG5" s="27">
        <v>15614.554066485218</v>
      </c>
      <c r="AH5" s="27">
        <v>13763.399319885457</v>
      </c>
      <c r="AI5" s="27">
        <v>85372.215104428557</v>
      </c>
      <c r="AJ5" s="28">
        <v>15903.327463932605</v>
      </c>
    </row>
    <row r="6" spans="1:36" x14ac:dyDescent="0.3">
      <c r="A6" s="22" t="s">
        <v>140</v>
      </c>
      <c r="B6" s="23">
        <v>3875.87761</v>
      </c>
      <c r="C6" s="20">
        <v>0.21515754361980799</v>
      </c>
      <c r="D6" s="23">
        <v>3499.9529600000001</v>
      </c>
      <c r="E6" s="20">
        <v>0.13498756912317669</v>
      </c>
      <c r="F6" s="23">
        <v>3907.115194</v>
      </c>
      <c r="G6" s="20">
        <v>0.10855507940720883</v>
      </c>
      <c r="H6" s="23">
        <v>3875.1898393333399</v>
      </c>
      <c r="I6" s="20">
        <v>0.14403656681445448</v>
      </c>
      <c r="J6" s="23">
        <v>4203.1389865000001</v>
      </c>
      <c r="K6" s="20">
        <v>0.1291258728246911</v>
      </c>
      <c r="L6" s="23">
        <v>4067.3637600000002</v>
      </c>
      <c r="M6" s="20">
        <v>0.10354570460050455</v>
      </c>
      <c r="N6" s="23">
        <v>10603.795104000001</v>
      </c>
      <c r="O6" s="20">
        <v>0.18526137208660234</v>
      </c>
      <c r="P6" s="23">
        <v>13012.720288333299</v>
      </c>
      <c r="Q6" s="20">
        <v>0.2498296619809659</v>
      </c>
      <c r="R6" s="23">
        <v>12801.106529999999</v>
      </c>
      <c r="S6" s="20">
        <v>0.24422062679244927</v>
      </c>
      <c r="T6" s="23">
        <v>2707.6026685000002</v>
      </c>
      <c r="U6" s="20">
        <v>0.3609867747980855</v>
      </c>
      <c r="V6" s="24">
        <f t="shared" si="0"/>
        <v>9227.9597174444334</v>
      </c>
      <c r="Y6" s="19" t="s">
        <v>98</v>
      </c>
      <c r="Z6" s="27">
        <v>4080.580553145161</v>
      </c>
      <c r="AA6" s="27">
        <v>3666.3502761290324</v>
      </c>
      <c r="AB6" s="27">
        <v>4092.8701139999998</v>
      </c>
      <c r="AC6" s="27">
        <v>4059.6835384731239</v>
      </c>
      <c r="AD6" s="27">
        <v>4402.9676855322587</v>
      </c>
      <c r="AE6" s="27">
        <v>4262.4760800537642</v>
      </c>
      <c r="AF6" s="27">
        <v>10889.807695827958</v>
      </c>
      <c r="AG6" s="27">
        <v>13318.296988333301</v>
      </c>
      <c r="AH6" s="27">
        <v>10099.415845000009</v>
      </c>
      <c r="AI6" s="27">
        <v>58872.448776494602</v>
      </c>
      <c r="AJ6" s="28">
        <v>9490.1935880716755</v>
      </c>
    </row>
    <row r="7" spans="1:36" x14ac:dyDescent="0.3">
      <c r="A7" s="22" t="s">
        <v>139</v>
      </c>
      <c r="B7" s="23">
        <v>136.391440625</v>
      </c>
      <c r="C7" s="20">
        <v>7.5713555195675774E-3</v>
      </c>
      <c r="D7" s="23">
        <v>110.86879999999999</v>
      </c>
      <c r="E7" s="20">
        <v>4.2760316994670845E-3</v>
      </c>
      <c r="F7" s="23">
        <v>123.76657</v>
      </c>
      <c r="G7" s="20">
        <v>3.4387237558135509E-3</v>
      </c>
      <c r="H7" s="23">
        <v>122.926231666666</v>
      </c>
      <c r="I7" s="20">
        <v>4.5690335479798942E-3</v>
      </c>
      <c r="J7" s="23">
        <v>133.14378249999999</v>
      </c>
      <c r="K7" s="20">
        <v>4.0903494225894141E-3</v>
      </c>
      <c r="L7" s="23">
        <v>128.84280000000001</v>
      </c>
      <c r="M7" s="20">
        <v>3.280040659235723E-3</v>
      </c>
      <c r="N7" s="23">
        <v>190.567213333333</v>
      </c>
      <c r="O7" s="20">
        <v>3.3294441349150318E-3</v>
      </c>
      <c r="P7" s="23">
        <v>203.602575</v>
      </c>
      <c r="Q7" s="20">
        <v>3.9089415098170297E-3</v>
      </c>
      <c r="R7" s="23">
        <v>198.24029999999999</v>
      </c>
      <c r="S7" s="20">
        <v>3.7820457323796039E-3</v>
      </c>
      <c r="T7" s="23">
        <v>41.930434999999903</v>
      </c>
      <c r="U7" s="20">
        <v>5.5903078663001125E-3</v>
      </c>
      <c r="V7" s="24">
        <f t="shared" si="0"/>
        <v>174.33752944444436</v>
      </c>
      <c r="Y7" s="19" t="s">
        <v>101</v>
      </c>
      <c r="Z7" s="27">
        <v>2952.7572506279189</v>
      </c>
      <c r="AA7" s="27">
        <v>3172.2199115887502</v>
      </c>
      <c r="AB7" s="27">
        <v>3670.0963510739471</v>
      </c>
      <c r="AC7" s="27">
        <v>5237.363922112112</v>
      </c>
      <c r="AD7" s="27">
        <v>6411.2647163147112</v>
      </c>
      <c r="AE7" s="27">
        <v>6663.4158303866761</v>
      </c>
      <c r="AF7" s="27">
        <v>10718.37371873164</v>
      </c>
      <c r="AG7" s="27">
        <v>11192.264090150695</v>
      </c>
      <c r="AH7" s="27">
        <v>8321.1380337442552</v>
      </c>
      <c r="AI7" s="27">
        <v>58338.893824730709</v>
      </c>
      <c r="AJ7" s="28">
        <v>9524.6845464230046</v>
      </c>
    </row>
    <row r="8" spans="1:36" x14ac:dyDescent="0.3">
      <c r="A8" s="22" t="s">
        <v>141</v>
      </c>
      <c r="B8" s="23">
        <v>68.311502520161298</v>
      </c>
      <c r="C8" s="20">
        <v>3.7921050564897036E-3</v>
      </c>
      <c r="D8" s="23">
        <v>55.528516129032297</v>
      </c>
      <c r="E8" s="20">
        <v>2.1416457577976074E-3</v>
      </c>
      <c r="F8" s="23">
        <v>61.988349999999997</v>
      </c>
      <c r="G8" s="20">
        <v>1.72228099824278E-3</v>
      </c>
      <c r="H8" s="23">
        <v>61.567467473118299</v>
      </c>
      <c r="I8" s="20">
        <v>2.288395410278568E-3</v>
      </c>
      <c r="J8" s="23">
        <v>66.684916532258001</v>
      </c>
      <c r="K8" s="20">
        <v>2.0486469943359529E-3</v>
      </c>
      <c r="L8" s="23">
        <v>66.269520053763401</v>
      </c>
      <c r="M8" s="20">
        <v>1.687069205608548E-3</v>
      </c>
      <c r="N8" s="23">
        <v>95.445378494623597</v>
      </c>
      <c r="O8" s="20">
        <v>1.6675484207129636E-3</v>
      </c>
      <c r="P8" s="23">
        <v>101.974125</v>
      </c>
      <c r="Q8" s="20">
        <v>1.957789041419395E-3</v>
      </c>
      <c r="R8" s="23">
        <v>102.59805</v>
      </c>
      <c r="S8" s="20">
        <v>1.9573745457052336E-3</v>
      </c>
      <c r="T8" s="23">
        <v>21.000812096774201</v>
      </c>
      <c r="U8" s="20">
        <v>2.7998995255662774E-3</v>
      </c>
      <c r="V8" s="24">
        <f t="shared" si="0"/>
        <v>87.896341182795666</v>
      </c>
      <c r="Y8" s="19" t="s">
        <v>79</v>
      </c>
      <c r="Z8" s="27">
        <v>3446.70357771314</v>
      </c>
      <c r="AA8" s="27">
        <v>10016.448331385111</v>
      </c>
      <c r="AB8" s="27">
        <v>9653.8745986329104</v>
      </c>
      <c r="AC8" s="27">
        <v>4824.4675095994899</v>
      </c>
      <c r="AD8" s="27">
        <v>5343.5927458671704</v>
      </c>
      <c r="AE8" s="27">
        <v>4624.3219747346102</v>
      </c>
      <c r="AF8" s="27">
        <v>5273.3981471010902</v>
      </c>
      <c r="AG8" s="27">
        <v>4136.3237328084915</v>
      </c>
      <c r="AH8" s="27">
        <v>2611.1886194729123</v>
      </c>
      <c r="AI8" s="27">
        <v>49930.319237314936</v>
      </c>
      <c r="AJ8" s="28">
        <v>4678.01461821473</v>
      </c>
    </row>
    <row r="9" spans="1:36" x14ac:dyDescent="0.3">
      <c r="A9" s="19" t="s">
        <v>101</v>
      </c>
      <c r="B9" s="23">
        <v>2952.7572506279189</v>
      </c>
      <c r="C9" s="20">
        <v>0.16391332773551659</v>
      </c>
      <c r="D9" s="23">
        <v>3172.2199115887502</v>
      </c>
      <c r="E9" s="20">
        <v>0.12234743137505022</v>
      </c>
      <c r="F9" s="23">
        <v>3670.0963510739471</v>
      </c>
      <c r="G9" s="20">
        <v>0.10196976056266738</v>
      </c>
      <c r="H9" s="23">
        <v>5237.363922112112</v>
      </c>
      <c r="I9" s="20">
        <v>0.19466708723325188</v>
      </c>
      <c r="J9" s="23">
        <v>6411.2647163147112</v>
      </c>
      <c r="K9" s="20">
        <v>0.19696235481702473</v>
      </c>
      <c r="L9" s="23">
        <v>6663.4158303866761</v>
      </c>
      <c r="M9" s="20">
        <v>0.16963520548345165</v>
      </c>
      <c r="N9" s="23">
        <v>10718.37371873164</v>
      </c>
      <c r="O9" s="20">
        <v>0.1872632017304964</v>
      </c>
      <c r="P9" s="23">
        <v>8987.4761784601851</v>
      </c>
      <c r="Q9" s="20">
        <v>0.17254948127485492</v>
      </c>
      <c r="R9" s="23">
        <v>8572.9468430161742</v>
      </c>
      <c r="S9" s="20">
        <v>0.16355542753691615</v>
      </c>
      <c r="T9" s="23">
        <v>1768.3547437747441</v>
      </c>
      <c r="U9" s="20">
        <v>0.2357630545577</v>
      </c>
      <c r="V9" s="24">
        <f t="shared" si="0"/>
        <v>8789.7552425261674</v>
      </c>
      <c r="Y9" s="19" t="s">
        <v>73</v>
      </c>
      <c r="Z9" s="27">
        <v>2074.1775113048934</v>
      </c>
      <c r="AA9" s="27">
        <v>2060.4529048877466</v>
      </c>
      <c r="AB9" s="27">
        <v>2776.7585902882192</v>
      </c>
      <c r="AC9" s="27">
        <v>2837.061213815944</v>
      </c>
      <c r="AD9" s="27">
        <v>3258.1727637418908</v>
      </c>
      <c r="AE9" s="27">
        <v>2268.5353394359181</v>
      </c>
      <c r="AF9" s="27">
        <v>2383.0787030449314</v>
      </c>
      <c r="AG9" s="27">
        <v>2345.3466500712329</v>
      </c>
      <c r="AH9" s="27">
        <v>1763.581556579315</v>
      </c>
      <c r="AI9" s="27">
        <v>21767.165233170097</v>
      </c>
      <c r="AJ9" s="28">
        <v>2332.3202308506939</v>
      </c>
    </row>
    <row r="10" spans="1:36" x14ac:dyDescent="0.3">
      <c r="A10" s="19" t="s">
        <v>79</v>
      </c>
      <c r="B10" s="23">
        <v>3446.70357771314</v>
      </c>
      <c r="C10" s="20">
        <v>0.19133325403594548</v>
      </c>
      <c r="D10" s="23">
        <v>10016.448331385111</v>
      </c>
      <c r="E10" s="20">
        <v>0.38631833826177353</v>
      </c>
      <c r="F10" s="23">
        <v>9653.8745986329104</v>
      </c>
      <c r="G10" s="20">
        <v>0.26822273508883698</v>
      </c>
      <c r="H10" s="23">
        <v>4824.4675095994899</v>
      </c>
      <c r="I10" s="20">
        <v>0.17932017929478708</v>
      </c>
      <c r="J10" s="23">
        <v>5343.5927458671704</v>
      </c>
      <c r="K10" s="20">
        <v>0.16416208922568928</v>
      </c>
      <c r="L10" s="23">
        <v>4624.3219747346102</v>
      </c>
      <c r="M10" s="20">
        <v>0.11772457675963849</v>
      </c>
      <c r="N10" s="23">
        <v>5273.3981471010902</v>
      </c>
      <c r="O10" s="20">
        <v>9.2132766307636726E-2</v>
      </c>
      <c r="P10" s="23">
        <v>4136.3237328084906</v>
      </c>
      <c r="Q10" s="20">
        <v>7.9412785114414353E-2</v>
      </c>
      <c r="R10" s="23">
        <v>3294.05595989528</v>
      </c>
      <c r="S10" s="20">
        <v>6.2844286884864195E-2</v>
      </c>
      <c r="T10" s="23">
        <v>693.18973577956604</v>
      </c>
      <c r="U10" s="20">
        <v>9.2418407602187128E-2</v>
      </c>
      <c r="V10" s="24">
        <f t="shared" si="0"/>
        <v>4678.01461821473</v>
      </c>
      <c r="Y10" s="19" t="s">
        <v>99</v>
      </c>
      <c r="Z10" s="27">
        <v>717.53696306671793</v>
      </c>
      <c r="AA10" s="27">
        <v>804.87079913149489</v>
      </c>
      <c r="AB10" s="27">
        <v>855.38293697496101</v>
      </c>
      <c r="AC10" s="27">
        <v>1164.4952345343881</v>
      </c>
      <c r="AD10" s="27">
        <v>1391.9242007090752</v>
      </c>
      <c r="AE10" s="27">
        <v>1487.0776564822415</v>
      </c>
      <c r="AF10" s="27">
        <v>2966.6595477972128</v>
      </c>
      <c r="AG10" s="27">
        <v>1883.9663521264854</v>
      </c>
      <c r="AH10" s="27">
        <v>1452.9740681882549</v>
      </c>
      <c r="AI10" s="27">
        <v>12724.887759010831</v>
      </c>
      <c r="AJ10" s="28">
        <v>2112.5678521353134</v>
      </c>
    </row>
    <row r="11" spans="1:36" x14ac:dyDescent="0.3">
      <c r="A11" s="22" t="s">
        <v>126</v>
      </c>
      <c r="B11" s="23">
        <v>1999.1959024051</v>
      </c>
      <c r="C11" s="20">
        <v>0.11097927304682531</v>
      </c>
      <c r="D11" s="23">
        <v>8651.42955361452</v>
      </c>
      <c r="E11" s="20">
        <v>0.33367175451490461</v>
      </c>
      <c r="F11" s="23">
        <v>8087.3307322151704</v>
      </c>
      <c r="G11" s="20">
        <v>0.22469796415937926</v>
      </c>
      <c r="H11" s="23">
        <v>3136.9561480992302</v>
      </c>
      <c r="I11" s="20">
        <v>0.11659722814958641</v>
      </c>
      <c r="J11" s="23">
        <v>3555.9103353115202</v>
      </c>
      <c r="K11" s="20">
        <v>0.10924217048453772</v>
      </c>
      <c r="L11" s="23">
        <v>2728.2075255474601</v>
      </c>
      <c r="M11" s="20">
        <v>6.9453874105720695E-2</v>
      </c>
      <c r="N11" s="23">
        <v>2823.2935866031198</v>
      </c>
      <c r="O11" s="20">
        <v>4.932641931756046E-2</v>
      </c>
      <c r="P11" s="23">
        <v>1180.8570074581241</v>
      </c>
      <c r="Q11" s="20">
        <v>2.2671132590594098E-2</v>
      </c>
      <c r="R11" s="23">
        <v>1281.2008965631601</v>
      </c>
      <c r="S11" s="20">
        <v>2.4442862441025472E-2</v>
      </c>
      <c r="T11" s="23">
        <v>258.34577773854397</v>
      </c>
      <c r="U11" s="20">
        <v>3.44435356684758E-2</v>
      </c>
      <c r="V11" s="24">
        <f t="shared" si="0"/>
        <v>2244.119373202901</v>
      </c>
      <c r="Y11" s="19" t="s">
        <v>93</v>
      </c>
      <c r="Z11" s="27">
        <v>759.03022663304193</v>
      </c>
      <c r="AA11" s="27">
        <v>783.07172922481936</v>
      </c>
      <c r="AB11" s="27">
        <v>935.15496879913894</v>
      </c>
      <c r="AC11" s="27">
        <v>1477.2664679282807</v>
      </c>
      <c r="AD11" s="27">
        <v>1452.8750236901751</v>
      </c>
      <c r="AE11" s="27">
        <v>1385.4091405972695</v>
      </c>
      <c r="AF11" s="27">
        <v>2078.4754283595571</v>
      </c>
      <c r="AG11" s="27">
        <v>2034.9735913697409</v>
      </c>
      <c r="AH11" s="27">
        <v>1518.5532570244943</v>
      </c>
      <c r="AI11" s="27">
        <v>12424.809833626518</v>
      </c>
      <c r="AJ11" s="28">
        <v>1832.9527201088558</v>
      </c>
    </row>
    <row r="12" spans="1:36" x14ac:dyDescent="0.3">
      <c r="A12" s="22" t="s">
        <v>79</v>
      </c>
      <c r="B12" s="23">
        <v>1447.50767530804</v>
      </c>
      <c r="C12" s="20">
        <v>8.0353980989120152E-2</v>
      </c>
      <c r="D12" s="23">
        <v>1365.0187777705901</v>
      </c>
      <c r="E12" s="20">
        <v>5.2646583746868904E-2</v>
      </c>
      <c r="F12" s="23">
        <v>1566.54386641774</v>
      </c>
      <c r="G12" s="20">
        <v>4.352477092945771E-2</v>
      </c>
      <c r="H12" s="23">
        <v>1687.5113615002599</v>
      </c>
      <c r="I12" s="20">
        <v>6.2722951145200698E-2</v>
      </c>
      <c r="J12" s="23">
        <v>1787.68241055565</v>
      </c>
      <c r="K12" s="20">
        <v>5.4919918741151555E-2</v>
      </c>
      <c r="L12" s="23">
        <v>1896.1144491871501</v>
      </c>
      <c r="M12" s="20">
        <v>4.8270702653917787E-2</v>
      </c>
      <c r="N12" s="23">
        <v>2450.1045604979699</v>
      </c>
      <c r="O12" s="20">
        <v>4.2806346990076252E-2</v>
      </c>
      <c r="P12" s="23">
        <v>2955.4667253503662</v>
      </c>
      <c r="Q12" s="20">
        <v>5.6741652523820255E-2</v>
      </c>
      <c r="R12" s="23">
        <v>2012.8550633321199</v>
      </c>
      <c r="S12" s="20">
        <v>3.8401424443838726E-2</v>
      </c>
      <c r="T12" s="23">
        <v>434.84395804102201</v>
      </c>
      <c r="U12" s="20">
        <v>5.7974871933711321E-2</v>
      </c>
      <c r="V12" s="24">
        <f t="shared" si="0"/>
        <v>2433.8952450118286</v>
      </c>
      <c r="Y12" s="19" t="s">
        <v>78</v>
      </c>
      <c r="Z12" s="27">
        <v>523.59947184623661</v>
      </c>
      <c r="AA12" s="27">
        <v>525.20414059354835</v>
      </c>
      <c r="AB12" s="27">
        <v>586.30304495999997</v>
      </c>
      <c r="AC12" s="27">
        <v>582.32222102967739</v>
      </c>
      <c r="AD12" s="27">
        <v>634.99189536000006</v>
      </c>
      <c r="AE12" s="27">
        <v>633.2920340034409</v>
      </c>
      <c r="AF12" s="27">
        <v>765.26297920000002</v>
      </c>
      <c r="AG12" s="27">
        <v>753.13825400000007</v>
      </c>
      <c r="AH12" s="27">
        <v>565.25429875806458</v>
      </c>
      <c r="AI12" s="27">
        <v>5569.3683397509676</v>
      </c>
      <c r="AJ12" s="28">
        <v>717.23108906781363</v>
      </c>
    </row>
    <row r="13" spans="1:36" x14ac:dyDescent="0.3">
      <c r="A13" s="19" t="s">
        <v>73</v>
      </c>
      <c r="B13" s="23">
        <v>2074.1775113048934</v>
      </c>
      <c r="C13" s="20">
        <v>0.11514164874876102</v>
      </c>
      <c r="D13" s="23">
        <v>2060.4529048877466</v>
      </c>
      <c r="E13" s="20">
        <v>7.946836203295285E-2</v>
      </c>
      <c r="F13" s="23">
        <v>2776.7585902882192</v>
      </c>
      <c r="G13" s="20">
        <v>7.7149312036226311E-2</v>
      </c>
      <c r="H13" s="23">
        <v>2837.061213815944</v>
      </c>
      <c r="I13" s="20">
        <v>0.10545046153165935</v>
      </c>
      <c r="J13" s="23">
        <v>3258.1727637418908</v>
      </c>
      <c r="K13" s="20">
        <v>0.10009528670907483</v>
      </c>
      <c r="L13" s="23">
        <v>2268.5353394359181</v>
      </c>
      <c r="M13" s="20">
        <v>5.7751679956217362E-2</v>
      </c>
      <c r="N13" s="23">
        <v>2383.0787030449314</v>
      </c>
      <c r="O13" s="20">
        <v>4.1635322635565027E-2</v>
      </c>
      <c r="P13" s="23">
        <v>2345.3466500712329</v>
      </c>
      <c r="Q13" s="20">
        <v>4.5028030099195739E-2</v>
      </c>
      <c r="R13" s="23">
        <v>1519.1818610827397</v>
      </c>
      <c r="S13" s="20">
        <v>2.8983084036981785E-2</v>
      </c>
      <c r="T13" s="23">
        <v>323.77078941808224</v>
      </c>
      <c r="U13" s="20">
        <v>4.3166220215986463E-2</v>
      </c>
      <c r="V13" s="24">
        <f t="shared" si="0"/>
        <v>2332.3202308506939</v>
      </c>
      <c r="Y13" s="19" t="s">
        <v>102</v>
      </c>
      <c r="Z13" s="27">
        <v>505.87532509538141</v>
      </c>
      <c r="AA13" s="27">
        <v>479.2070545585064</v>
      </c>
      <c r="AB13" s="27">
        <v>546.92011469879026</v>
      </c>
      <c r="AC13" s="27">
        <v>568.03640228239919</v>
      </c>
      <c r="AD13" s="27">
        <v>626.91668312986747</v>
      </c>
      <c r="AE13" s="27">
        <v>626.69865031035295</v>
      </c>
      <c r="AF13" s="27">
        <v>673.41320271048232</v>
      </c>
      <c r="AG13" s="27">
        <v>693.32956331067601</v>
      </c>
      <c r="AH13" s="27">
        <v>485.5626133614881</v>
      </c>
      <c r="AI13" s="27">
        <v>5205.9596094579447</v>
      </c>
      <c r="AJ13" s="28">
        <v>664.4804721105038</v>
      </c>
    </row>
    <row r="14" spans="1:36" x14ac:dyDescent="0.3">
      <c r="A14" s="19" t="s">
        <v>99</v>
      </c>
      <c r="B14" s="23">
        <v>717.53696306671793</v>
      </c>
      <c r="C14" s="20">
        <v>3.9831879631991765E-2</v>
      </c>
      <c r="D14" s="23">
        <v>804.87079913149489</v>
      </c>
      <c r="E14" s="20">
        <v>3.1042575107349195E-2</v>
      </c>
      <c r="F14" s="23">
        <v>855.38293697496101</v>
      </c>
      <c r="G14" s="20">
        <v>2.3765913733355976E-2</v>
      </c>
      <c r="H14" s="23">
        <v>1164.4952345343881</v>
      </c>
      <c r="I14" s="20">
        <v>4.3283013893064215E-2</v>
      </c>
      <c r="J14" s="23">
        <v>1391.9242007090752</v>
      </c>
      <c r="K14" s="20">
        <v>4.2761714018892311E-2</v>
      </c>
      <c r="L14" s="23">
        <v>1487.0776564822415</v>
      </c>
      <c r="M14" s="20">
        <v>3.785756888784414E-2</v>
      </c>
      <c r="N14" s="23">
        <v>2966.6595477972128</v>
      </c>
      <c r="O14" s="20">
        <v>5.1831199391188354E-2</v>
      </c>
      <c r="P14" s="23">
        <v>1630.6518034485264</v>
      </c>
      <c r="Q14" s="20">
        <v>3.1306689134741765E-2</v>
      </c>
      <c r="R14" s="23">
        <v>1611.8968099690039</v>
      </c>
      <c r="S14" s="20">
        <v>3.0751907917711832E-2</v>
      </c>
      <c r="T14" s="23">
        <v>321.36693026479918</v>
      </c>
      <c r="U14" s="20">
        <v>4.2845729557254311E-2</v>
      </c>
      <c r="V14" s="24">
        <f t="shared" si="0"/>
        <v>2028.1296692426602</v>
      </c>
      <c r="Y14" s="19" t="s">
        <v>95</v>
      </c>
      <c r="Z14" s="27">
        <v>439.98125160000001</v>
      </c>
      <c r="AA14" s="27">
        <v>397.30709760000002</v>
      </c>
      <c r="AB14" s="27">
        <v>443.52727463999997</v>
      </c>
      <c r="AC14" s="27">
        <v>441.12853439999998</v>
      </c>
      <c r="AD14" s="27">
        <v>480.35947823999999</v>
      </c>
      <c r="AE14" s="27">
        <v>461.71834560000002</v>
      </c>
      <c r="AF14" s="27">
        <v>494.24806847999997</v>
      </c>
      <c r="AG14" s="27">
        <v>486.4172676</v>
      </c>
      <c r="AH14" s="27">
        <v>365.07168510000002</v>
      </c>
      <c r="AI14" s="27">
        <v>4009.7590032600001</v>
      </c>
      <c r="AJ14" s="28">
        <v>480.79456056000004</v>
      </c>
    </row>
    <row r="15" spans="1:36" x14ac:dyDescent="0.3">
      <c r="A15" s="19" t="s">
        <v>93</v>
      </c>
      <c r="B15" s="23">
        <v>759.03022663304193</v>
      </c>
      <c r="C15" s="20">
        <v>4.2135251813472885E-2</v>
      </c>
      <c r="D15" s="23">
        <v>783.07172922481936</v>
      </c>
      <c r="E15" s="20">
        <v>3.0201819963071964E-2</v>
      </c>
      <c r="F15" s="23">
        <v>935.15496879913894</v>
      </c>
      <c r="G15" s="20">
        <v>2.5982295595463938E-2</v>
      </c>
      <c r="H15" s="23">
        <v>1477.2664679282807</v>
      </c>
      <c r="I15" s="20">
        <v>5.4908378462075601E-2</v>
      </c>
      <c r="J15" s="23">
        <v>1452.8750236901751</v>
      </c>
      <c r="K15" s="20">
        <v>4.463420223355672E-2</v>
      </c>
      <c r="L15" s="23">
        <v>1385.4091405972695</v>
      </c>
      <c r="M15" s="20">
        <v>3.5269322855727009E-2</v>
      </c>
      <c r="N15" s="23">
        <v>2078.4754283595571</v>
      </c>
      <c r="O15" s="20">
        <v>3.6313527933119531E-2</v>
      </c>
      <c r="P15" s="23">
        <v>1564.9504330672407</v>
      </c>
      <c r="Q15" s="20">
        <v>3.0045296375169488E-2</v>
      </c>
      <c r="R15" s="23">
        <v>1685.2790161537416</v>
      </c>
      <c r="S15" s="20">
        <v>3.2151900047130456E-2</v>
      </c>
      <c r="T15" s="23">
        <v>302.86402117917629</v>
      </c>
      <c r="U15" s="20">
        <v>4.0378858936646778E-2</v>
      </c>
      <c r="V15" s="24">
        <f t="shared" si="0"/>
        <v>1676.2783340080223</v>
      </c>
      <c r="Y15" s="19" t="s">
        <v>72</v>
      </c>
      <c r="Z15" s="27">
        <v>265.93062798189862</v>
      </c>
      <c r="AA15" s="27">
        <v>312.48196223999997</v>
      </c>
      <c r="AB15" s="27">
        <v>348.834123336</v>
      </c>
      <c r="AC15" s="27">
        <v>346.94751456</v>
      </c>
      <c r="AD15" s="27">
        <v>377.80264497600001</v>
      </c>
      <c r="AE15" s="27">
        <v>363.10355771611103</v>
      </c>
      <c r="AF15" s="27">
        <v>388.72601875200002</v>
      </c>
      <c r="AG15" s="27">
        <v>382.56709524000001</v>
      </c>
      <c r="AH15" s="27">
        <v>288.00338031699999</v>
      </c>
      <c r="AI15" s="27">
        <v>3074.3969251190097</v>
      </c>
      <c r="AJ15" s="28">
        <v>378.13222390270374</v>
      </c>
    </row>
    <row r="16" spans="1:36" x14ac:dyDescent="0.3">
      <c r="A16" s="19" t="s">
        <v>78</v>
      </c>
      <c r="B16" s="23">
        <v>523.59947184623661</v>
      </c>
      <c r="C16" s="20">
        <v>2.9066030339143005E-2</v>
      </c>
      <c r="D16" s="23">
        <v>525.20414059354835</v>
      </c>
      <c r="E16" s="20">
        <v>2.0256280882172264E-2</v>
      </c>
      <c r="F16" s="23">
        <v>586.30304495999997</v>
      </c>
      <c r="G16" s="20">
        <v>1.6289812417115319E-2</v>
      </c>
      <c r="H16" s="23">
        <v>582.32222102967739</v>
      </c>
      <c r="I16" s="20">
        <v>2.1644279886766021E-2</v>
      </c>
      <c r="J16" s="23">
        <v>634.99189536000006</v>
      </c>
      <c r="K16" s="20">
        <v>1.9507773354228795E-2</v>
      </c>
      <c r="L16" s="23">
        <v>633.2920340034409</v>
      </c>
      <c r="M16" s="20">
        <v>1.6122155220946593E-2</v>
      </c>
      <c r="N16" s="23">
        <v>765.26297920000002</v>
      </c>
      <c r="O16" s="20">
        <v>1.3370087609500553E-2</v>
      </c>
      <c r="P16" s="23">
        <v>753.13825400000007</v>
      </c>
      <c r="Q16" s="20">
        <v>1.445941134925097E-2</v>
      </c>
      <c r="R16" s="23">
        <v>530.51286456567743</v>
      </c>
      <c r="S16" s="20">
        <v>1.012117069739654E-2</v>
      </c>
      <c r="T16" s="23">
        <v>112.18847389677418</v>
      </c>
      <c r="U16" s="20">
        <v>1.4957348001120021E-2</v>
      </c>
      <c r="V16" s="24">
        <f t="shared" si="0"/>
        <v>717.23108906781363</v>
      </c>
      <c r="Y16" s="19" t="s">
        <v>81</v>
      </c>
      <c r="Z16" s="27">
        <v>314.85981039768637</v>
      </c>
      <c r="AA16" s="27">
        <v>247.64512337826741</v>
      </c>
      <c r="AB16" s="27">
        <v>269.85880402725832</v>
      </c>
      <c r="AC16" s="27">
        <v>262.38906786145549</v>
      </c>
      <c r="AD16" s="27">
        <v>304.89190962864751</v>
      </c>
      <c r="AE16" s="27">
        <v>302.79189078925384</v>
      </c>
      <c r="AF16" s="27">
        <v>715.8400453368281</v>
      </c>
      <c r="AG16" s="27">
        <v>222.9615021763841</v>
      </c>
      <c r="AH16" s="27">
        <v>203.57053679468382</v>
      </c>
      <c r="AI16" s="27">
        <v>2844.808690390465</v>
      </c>
      <c r="AJ16" s="28">
        <v>413.86447943415533</v>
      </c>
    </row>
    <row r="17" spans="1:36" x14ac:dyDescent="0.3">
      <c r="A17" s="19" t="s">
        <v>102</v>
      </c>
      <c r="B17" s="23">
        <v>505.87532509538141</v>
      </c>
      <c r="C17" s="20">
        <v>2.8082128301619429E-2</v>
      </c>
      <c r="D17" s="23">
        <v>479.2070545585064</v>
      </c>
      <c r="E17" s="20">
        <v>1.8482247087552368E-2</v>
      </c>
      <c r="F17" s="23">
        <v>546.92011469879026</v>
      </c>
      <c r="G17" s="20">
        <v>1.5195599190855835E-2</v>
      </c>
      <c r="H17" s="23">
        <v>568.03640228239919</v>
      </c>
      <c r="I17" s="20">
        <v>2.1113291632821406E-2</v>
      </c>
      <c r="J17" s="23">
        <v>626.91668312986747</v>
      </c>
      <c r="K17" s="20">
        <v>1.9259692376937875E-2</v>
      </c>
      <c r="L17" s="23">
        <v>626.69865031035295</v>
      </c>
      <c r="M17" s="20">
        <v>1.5954302872229629E-2</v>
      </c>
      <c r="N17" s="23">
        <v>673.41320271048232</v>
      </c>
      <c r="O17" s="20">
        <v>1.1765358788224397E-2</v>
      </c>
      <c r="P17" s="23">
        <v>577.49437988487</v>
      </c>
      <c r="Q17" s="20">
        <v>1.1087245597055994E-2</v>
      </c>
      <c r="R17" s="23">
        <v>514.21894507828711</v>
      </c>
      <c r="S17" s="20">
        <v>9.8103138803869745E-3</v>
      </c>
      <c r="T17" s="23">
        <v>110.73261520528699</v>
      </c>
      <c r="U17" s="20">
        <v>1.4763247980568307E-2</v>
      </c>
      <c r="V17" s="24">
        <f t="shared" si="0"/>
        <v>625.86874430190176</v>
      </c>
      <c r="Y17" s="19" t="s">
        <v>90</v>
      </c>
      <c r="Z17" s="27">
        <v>133.31476074740488</v>
      </c>
      <c r="AA17" s="27">
        <v>145.48037994653288</v>
      </c>
      <c r="AB17" s="27">
        <v>181.64677418358372</v>
      </c>
      <c r="AC17" s="27">
        <v>232.04116448750321</v>
      </c>
      <c r="AD17" s="27">
        <v>313.33886545548813</v>
      </c>
      <c r="AE17" s="27">
        <v>310.57019491146048</v>
      </c>
      <c r="AF17" s="27">
        <v>362.72964766535137</v>
      </c>
      <c r="AG17" s="27">
        <v>380.10771253020698</v>
      </c>
      <c r="AH17" s="27">
        <v>282.3437041803885</v>
      </c>
      <c r="AI17" s="27">
        <v>2341.5732041079204</v>
      </c>
      <c r="AJ17" s="28">
        <v>351.13585170233961</v>
      </c>
    </row>
    <row r="18" spans="1:36" x14ac:dyDescent="0.3">
      <c r="A18" s="19" t="s">
        <v>95</v>
      </c>
      <c r="B18" s="23">
        <v>439.98125160000001</v>
      </c>
      <c r="C18" s="20">
        <v>2.4424219456461296E-2</v>
      </c>
      <c r="D18" s="23">
        <v>397.30709760000002</v>
      </c>
      <c r="E18" s="20">
        <v>1.5323497176490257E-2</v>
      </c>
      <c r="F18" s="23">
        <v>443.52727463999997</v>
      </c>
      <c r="G18" s="20">
        <v>1.2322938057149107E-2</v>
      </c>
      <c r="H18" s="23">
        <v>441.12853439999998</v>
      </c>
      <c r="I18" s="20">
        <v>1.6396265022670144E-2</v>
      </c>
      <c r="J18" s="23">
        <v>480.35947823999999</v>
      </c>
      <c r="K18" s="20">
        <v>1.4757265247848404E-2</v>
      </c>
      <c r="L18" s="23">
        <v>461.71834560000002</v>
      </c>
      <c r="M18" s="20">
        <v>1.1754284652949573E-2</v>
      </c>
      <c r="N18" s="23">
        <v>494.24806847999997</v>
      </c>
      <c r="O18" s="20">
        <v>8.6351230309247764E-3</v>
      </c>
      <c r="P18" s="23">
        <v>486.4172676</v>
      </c>
      <c r="Q18" s="20">
        <v>9.3386670007165589E-3</v>
      </c>
      <c r="R18" s="23">
        <v>473.60651039999999</v>
      </c>
      <c r="S18" s="20">
        <v>9.0355063096934207E-3</v>
      </c>
      <c r="T18" s="23">
        <v>100.83742015999999</v>
      </c>
      <c r="U18" s="20">
        <v>1.3443987002230212E-2</v>
      </c>
      <c r="V18" s="24">
        <f t="shared" si="0"/>
        <v>480.79456056000004</v>
      </c>
      <c r="Y18" s="19" t="s">
        <v>100</v>
      </c>
      <c r="Z18" s="27">
        <v>245.03714400000001</v>
      </c>
      <c r="AA18" s="27">
        <v>221.27078399999999</v>
      </c>
      <c r="AB18" s="27">
        <v>247.01201760000001</v>
      </c>
      <c r="AC18" s="27">
        <v>246.053301432604</v>
      </c>
      <c r="AD18" s="27">
        <v>267.740366926359</v>
      </c>
      <c r="AE18" s="27">
        <v>257.14527329457798</v>
      </c>
      <c r="AF18" s="27">
        <v>275.25976320000001</v>
      </c>
      <c r="AG18" s="27">
        <v>270.89858400000003</v>
      </c>
      <c r="AH18" s="27">
        <v>203.31803400000001</v>
      </c>
      <c r="AI18" s="27">
        <v>2233.7352684535408</v>
      </c>
      <c r="AJ18" s="28">
        <v>267.76787349819267</v>
      </c>
    </row>
    <row r="19" spans="1:36" x14ac:dyDescent="0.3">
      <c r="A19" s="19" t="s">
        <v>72</v>
      </c>
      <c r="B19" s="23">
        <v>265.93062798189862</v>
      </c>
      <c r="C19" s="20">
        <v>1.476232906380609E-2</v>
      </c>
      <c r="D19" s="23">
        <v>312.48196223999997</v>
      </c>
      <c r="E19" s="20">
        <v>1.2051927828657985E-2</v>
      </c>
      <c r="F19" s="23">
        <v>348.834123336</v>
      </c>
      <c r="G19" s="20">
        <v>9.691988610122243E-3</v>
      </c>
      <c r="H19" s="23">
        <v>346.94751456</v>
      </c>
      <c r="I19" s="20">
        <v>1.2895659550611172E-2</v>
      </c>
      <c r="J19" s="23">
        <v>377.80264497600001</v>
      </c>
      <c r="K19" s="20">
        <v>1.1606586516575307E-2</v>
      </c>
      <c r="L19" s="23">
        <v>363.10355771611103</v>
      </c>
      <c r="M19" s="20">
        <v>9.2437794958041049E-3</v>
      </c>
      <c r="N19" s="23">
        <v>388.72601875200002</v>
      </c>
      <c r="O19" s="20">
        <v>6.7915227419465835E-3</v>
      </c>
      <c r="P19" s="23">
        <v>382.56709524000001</v>
      </c>
      <c r="Q19" s="20">
        <v>7.3448599501934634E-3</v>
      </c>
      <c r="R19" s="23">
        <v>186.24571847999999</v>
      </c>
      <c r="S19" s="20">
        <v>3.5532120600667832E-3</v>
      </c>
      <c r="T19" s="23">
        <v>40.176073784000003</v>
      </c>
      <c r="U19" s="20">
        <v>5.3564104763461065E-3</v>
      </c>
      <c r="V19" s="24">
        <f t="shared" si="0"/>
        <v>378.13222390270374</v>
      </c>
      <c r="Y19" s="19" t="s">
        <v>89</v>
      </c>
      <c r="Z19" s="27">
        <v>0.37421413012499999</v>
      </c>
      <c r="AA19" s="27">
        <v>0.4706940114</v>
      </c>
      <c r="AB19" s="27">
        <v>0.63289671431549999</v>
      </c>
      <c r="AC19" s="27">
        <v>0.73556213555999994</v>
      </c>
      <c r="AD19" s="27">
        <v>140.81514466291202</v>
      </c>
      <c r="AE19" s="27">
        <v>292.27444724233203</v>
      </c>
      <c r="AF19" s="27">
        <v>496.80130274461203</v>
      </c>
      <c r="AG19" s="27">
        <v>517.27821715135406</v>
      </c>
      <c r="AH19" s="27">
        <v>427.37227166520597</v>
      </c>
      <c r="AI19" s="27">
        <v>1876.7547504578165</v>
      </c>
      <c r="AJ19" s="28">
        <v>435.45132237943272</v>
      </c>
    </row>
    <row r="20" spans="1:36" x14ac:dyDescent="0.3">
      <c r="A20" s="19" t="s">
        <v>81</v>
      </c>
      <c r="B20" s="23">
        <v>314.85981039768637</v>
      </c>
      <c r="C20" s="20">
        <v>1.7478483638126201E-2</v>
      </c>
      <c r="D20" s="23">
        <v>247.64512337826741</v>
      </c>
      <c r="E20" s="20">
        <v>9.5512750005764344E-3</v>
      </c>
      <c r="F20" s="23">
        <v>269.85880402725832</v>
      </c>
      <c r="G20" s="20">
        <v>7.4977425658961597E-3</v>
      </c>
      <c r="H20" s="23">
        <v>262.38906786145549</v>
      </c>
      <c r="I20" s="20">
        <v>9.7527145949863215E-3</v>
      </c>
      <c r="J20" s="23">
        <v>304.89190962864751</v>
      </c>
      <c r="K20" s="20">
        <v>9.3666743056644228E-3</v>
      </c>
      <c r="L20" s="23">
        <v>302.79189078925384</v>
      </c>
      <c r="M20" s="20">
        <v>7.708383495822934E-3</v>
      </c>
      <c r="N20" s="23">
        <v>715.8400453368281</v>
      </c>
      <c r="O20" s="20">
        <v>1.2506608029761907E-2</v>
      </c>
      <c r="P20" s="23">
        <v>222.9615021763841</v>
      </c>
      <c r="Q20" s="20">
        <v>4.2806112395603431E-3</v>
      </c>
      <c r="R20" s="23">
        <v>212.28933081745399</v>
      </c>
      <c r="S20" s="20">
        <v>4.0500743675623667E-3</v>
      </c>
      <c r="T20" s="23">
        <v>32.457292334609697</v>
      </c>
      <c r="U20" s="20">
        <v>4.3273163432950637E-3</v>
      </c>
      <c r="V20" s="24">
        <f t="shared" si="0"/>
        <v>413.86447943415533</v>
      </c>
      <c r="Y20" s="19" t="s">
        <v>85</v>
      </c>
      <c r="Z20" s="27">
        <v>105.63471708000421</v>
      </c>
      <c r="AA20" s="27">
        <v>103.9551111575804</v>
      </c>
      <c r="AB20" s="27">
        <v>121.65988593342499</v>
      </c>
      <c r="AC20" s="27">
        <v>136.32560644552609</v>
      </c>
      <c r="AD20" s="27">
        <v>164.04699578221249</v>
      </c>
      <c r="AE20" s="27">
        <v>168.40679446738011</v>
      </c>
      <c r="AF20" s="27">
        <v>188.4323627648206</v>
      </c>
      <c r="AG20" s="27">
        <v>193.23632216016219</v>
      </c>
      <c r="AH20" s="27">
        <v>151.91791955736659</v>
      </c>
      <c r="AI20" s="27">
        <v>1333.6157153484776</v>
      </c>
      <c r="AJ20" s="28">
        <v>183.35849313078765</v>
      </c>
    </row>
    <row r="21" spans="1:36" x14ac:dyDescent="0.3">
      <c r="A21" s="19" t="s">
        <v>90</v>
      </c>
      <c r="B21" s="23">
        <v>133.31476074740488</v>
      </c>
      <c r="C21" s="20">
        <v>7.4005630045356442E-3</v>
      </c>
      <c r="D21" s="23">
        <v>145.48037994653288</v>
      </c>
      <c r="E21" s="20">
        <v>5.6109447951262223E-3</v>
      </c>
      <c r="F21" s="23">
        <v>181.64677418358372</v>
      </c>
      <c r="G21" s="20">
        <v>5.0468642505968209E-3</v>
      </c>
      <c r="H21" s="23">
        <v>232.04116448750321</v>
      </c>
      <c r="I21" s="20">
        <v>8.6247162276204339E-3</v>
      </c>
      <c r="J21" s="23">
        <v>313.33886545548813</v>
      </c>
      <c r="K21" s="20">
        <v>9.626175727662523E-3</v>
      </c>
      <c r="L21" s="23">
        <v>310.57019491146048</v>
      </c>
      <c r="M21" s="20">
        <v>7.9064011869996124E-3</v>
      </c>
      <c r="N21" s="23">
        <v>362.72964766535137</v>
      </c>
      <c r="O21" s="20">
        <v>6.3373340925480057E-3</v>
      </c>
      <c r="P21" s="23">
        <v>380.10771253020698</v>
      </c>
      <c r="Q21" s="20">
        <v>7.2976425554093539E-3</v>
      </c>
      <c r="R21" s="23">
        <v>314.05299893785701</v>
      </c>
      <c r="S21" s="20">
        <v>5.9915305030003412E-3</v>
      </c>
      <c r="T21" s="23">
        <v>60.058495587368803</v>
      </c>
      <c r="U21" s="20">
        <v>8.0072024132403861E-3</v>
      </c>
      <c r="V21" s="24">
        <f t="shared" si="0"/>
        <v>351.13585170233961</v>
      </c>
      <c r="Y21" s="19" t="s">
        <v>76</v>
      </c>
      <c r="Z21" s="27">
        <v>138.80268599999999</v>
      </c>
      <c r="AA21" s="27">
        <v>125.340096</v>
      </c>
      <c r="AB21" s="27">
        <v>139.92136439999999</v>
      </c>
      <c r="AC21" s="27">
        <v>139.164624</v>
      </c>
      <c r="AD21" s="27">
        <v>151.54097039999999</v>
      </c>
      <c r="AE21" s="27">
        <v>145.66017600000001</v>
      </c>
      <c r="AF21" s="27">
        <v>155.92246080000001</v>
      </c>
      <c r="AG21" s="27">
        <v>153.452046</v>
      </c>
      <c r="AH21" s="27">
        <v>115.1706585</v>
      </c>
      <c r="AI21" s="27">
        <v>1264.9750821</v>
      </c>
      <c r="AJ21" s="28">
        <v>151.67822760000001</v>
      </c>
    </row>
    <row r="22" spans="1:36" x14ac:dyDescent="0.3">
      <c r="A22" s="19" t="s">
        <v>100</v>
      </c>
      <c r="B22" s="23">
        <v>245.03714400000001</v>
      </c>
      <c r="C22" s="20">
        <v>1.3602490920412004E-2</v>
      </c>
      <c r="D22" s="23">
        <v>221.27078399999999</v>
      </c>
      <c r="E22" s="20">
        <v>8.5340590549364131E-3</v>
      </c>
      <c r="F22" s="23">
        <v>247.01201760000001</v>
      </c>
      <c r="G22" s="20">
        <v>6.8629686747605188E-3</v>
      </c>
      <c r="H22" s="23">
        <v>246.053301432604</v>
      </c>
      <c r="I22" s="20">
        <v>9.1455320283899515E-3</v>
      </c>
      <c r="J22" s="23">
        <v>267.740366926359</v>
      </c>
      <c r="K22" s="20">
        <v>8.2253308017677107E-3</v>
      </c>
      <c r="L22" s="23">
        <v>257.14527329457798</v>
      </c>
      <c r="M22" s="20">
        <v>6.5463258461978284E-3</v>
      </c>
      <c r="N22" s="23">
        <v>275.25976320000001</v>
      </c>
      <c r="O22" s="20">
        <v>4.8091273841597282E-3</v>
      </c>
      <c r="P22" s="23">
        <v>270.89858400000003</v>
      </c>
      <c r="Q22" s="20">
        <v>5.2009495456933957E-3</v>
      </c>
      <c r="R22" s="23">
        <v>263.763936</v>
      </c>
      <c r="S22" s="20">
        <v>5.0321113744503368E-3</v>
      </c>
      <c r="T22" s="23">
        <v>56.159014399999997</v>
      </c>
      <c r="U22" s="20">
        <v>7.4873103502022332E-3</v>
      </c>
      <c r="V22" s="24">
        <f t="shared" si="0"/>
        <v>267.76787349819267</v>
      </c>
      <c r="Y22" s="19" t="s">
        <v>97</v>
      </c>
      <c r="Z22" s="27">
        <v>122.77705</v>
      </c>
      <c r="AA22" s="27">
        <v>110.86879999999999</v>
      </c>
      <c r="AB22" s="27">
        <v>123.76657</v>
      </c>
      <c r="AC22" s="27">
        <v>123.0972</v>
      </c>
      <c r="AD22" s="27">
        <v>134.04462000000001</v>
      </c>
      <c r="AE22" s="27">
        <v>128.84280000000001</v>
      </c>
      <c r="AF22" s="27">
        <v>137.92024000000001</v>
      </c>
      <c r="AG22" s="27">
        <v>135.73505</v>
      </c>
      <c r="AH22" s="27">
        <v>101.32281999999999</v>
      </c>
      <c r="AI22" s="27">
        <v>1118.3751500000001</v>
      </c>
      <c r="AJ22" s="28">
        <v>134.16603000000001</v>
      </c>
    </row>
    <row r="23" spans="1:36" x14ac:dyDescent="0.3">
      <c r="A23" s="19" t="s">
        <v>89</v>
      </c>
      <c r="B23" s="23">
        <v>0.37421413012499999</v>
      </c>
      <c r="C23" s="20">
        <v>2.0773357966150583E-5</v>
      </c>
      <c r="D23" s="23">
        <v>0.4706940114</v>
      </c>
      <c r="E23" s="20">
        <v>1.8153912674221433E-5</v>
      </c>
      <c r="F23" s="23">
        <v>0.63289671431549999</v>
      </c>
      <c r="G23" s="20">
        <v>1.7584368432388906E-5</v>
      </c>
      <c r="H23" s="23">
        <v>0.73556213555999994</v>
      </c>
      <c r="I23" s="20">
        <v>2.7340039863181843E-5</v>
      </c>
      <c r="J23" s="23">
        <v>140.81514466291202</v>
      </c>
      <c r="K23" s="20">
        <v>4.3260236028204099E-3</v>
      </c>
      <c r="L23" s="23">
        <v>292.27444724233203</v>
      </c>
      <c r="M23" s="20">
        <v>7.4406336295896637E-3</v>
      </c>
      <c r="N23" s="23">
        <v>496.80130274461203</v>
      </c>
      <c r="O23" s="20">
        <v>8.679731180976839E-3</v>
      </c>
      <c r="P23" s="23">
        <v>517.27821715135406</v>
      </c>
      <c r="Q23" s="20">
        <v>9.9311626837090602E-3</v>
      </c>
      <c r="R23" s="23">
        <v>299.68674333506698</v>
      </c>
      <c r="S23" s="20">
        <v>5.7174498256970544E-3</v>
      </c>
      <c r="T23" s="23">
        <v>63.995142130223996</v>
      </c>
      <c r="U23" s="20">
        <v>8.5320494875759274E-3</v>
      </c>
      <c r="V23" s="24">
        <f t="shared" si="0"/>
        <v>435.45132237943272</v>
      </c>
      <c r="Y23" s="19" t="s">
        <v>82</v>
      </c>
      <c r="Z23" s="27">
        <v>43.954852852427997</v>
      </c>
      <c r="AA23" s="27">
        <v>55.601360879070498</v>
      </c>
      <c r="AB23" s="27">
        <v>72.252276702327904</v>
      </c>
      <c r="AC23" s="27">
        <v>80.992077751112106</v>
      </c>
      <c r="AD23" s="27">
        <v>99.496792432738999</v>
      </c>
      <c r="AE23" s="27">
        <v>104.64781121107499</v>
      </c>
      <c r="AF23" s="27">
        <v>121.456874415946</v>
      </c>
      <c r="AG23" s="27">
        <v>128.955766272685</v>
      </c>
      <c r="AH23" s="27">
        <v>103.021049044466</v>
      </c>
      <c r="AI23" s="27">
        <v>810.37886156184959</v>
      </c>
      <c r="AJ23" s="28">
        <v>118.35348396656866</v>
      </c>
    </row>
    <row r="24" spans="1:36" x14ac:dyDescent="0.3">
      <c r="A24" s="19" t="s">
        <v>85</v>
      </c>
      <c r="B24" s="23">
        <v>105.63471708000421</v>
      </c>
      <c r="C24" s="20">
        <v>5.8639896650160431E-3</v>
      </c>
      <c r="D24" s="23">
        <v>103.9551111575804</v>
      </c>
      <c r="E24" s="20">
        <v>4.009381815546287E-3</v>
      </c>
      <c r="F24" s="23">
        <v>121.65988593342499</v>
      </c>
      <c r="G24" s="20">
        <v>3.3801917584759386E-3</v>
      </c>
      <c r="H24" s="23">
        <v>136.32560644552609</v>
      </c>
      <c r="I24" s="20">
        <v>5.0670736494008925E-3</v>
      </c>
      <c r="J24" s="23">
        <v>164.04699578221249</v>
      </c>
      <c r="K24" s="20">
        <v>5.0397361549744243E-3</v>
      </c>
      <c r="L24" s="23">
        <v>168.40679446738011</v>
      </c>
      <c r="M24" s="20">
        <v>4.2872487492088057E-3</v>
      </c>
      <c r="N24" s="23">
        <v>188.4323627648206</v>
      </c>
      <c r="O24" s="20">
        <v>3.2921456637880976E-3</v>
      </c>
      <c r="P24" s="23">
        <v>193.23632216016219</v>
      </c>
      <c r="Q24" s="20">
        <v>3.7099210601645597E-3</v>
      </c>
      <c r="R24" s="23">
        <v>167.483060363992</v>
      </c>
      <c r="S24" s="20">
        <v>3.1952564321962363E-3</v>
      </c>
      <c r="T24" s="23">
        <v>36.936105642597603</v>
      </c>
      <c r="U24" s="20">
        <v>4.924446930357527E-3</v>
      </c>
      <c r="V24" s="24">
        <f t="shared" si="0"/>
        <v>183.35849313078765</v>
      </c>
      <c r="Y24" s="19" t="s">
        <v>71</v>
      </c>
      <c r="Z24" s="27">
        <v>57.557214000000002</v>
      </c>
      <c r="AA24" s="27">
        <v>61.969823999999996</v>
      </c>
      <c r="AB24" s="27">
        <v>69.1789986</v>
      </c>
      <c r="AC24" s="27">
        <v>68.804856000000001</v>
      </c>
      <c r="AD24" s="27">
        <v>74.9238876</v>
      </c>
      <c r="AE24" s="27">
        <v>80.818341599999997</v>
      </c>
      <c r="AF24" s="27">
        <v>102.78687360000001</v>
      </c>
      <c r="AG24" s="27">
        <v>101.158332</v>
      </c>
      <c r="AH24" s="27">
        <v>78.795302399999997</v>
      </c>
      <c r="AI24" s="27">
        <v>695.99362980000001</v>
      </c>
      <c r="AJ24" s="28">
        <v>94.921182400000006</v>
      </c>
    </row>
    <row r="25" spans="1:36" x14ac:dyDescent="0.3">
      <c r="A25" s="19" t="s">
        <v>76</v>
      </c>
      <c r="B25" s="23">
        <v>138.80268599999999</v>
      </c>
      <c r="C25" s="20">
        <v>7.7052084644105958E-3</v>
      </c>
      <c r="D25" s="23">
        <v>125.340096</v>
      </c>
      <c r="E25" s="20">
        <v>4.8341663633975247E-3</v>
      </c>
      <c r="F25" s="23">
        <v>139.92136439999999</v>
      </c>
      <c r="G25" s="20">
        <v>3.887567698677635E-3</v>
      </c>
      <c r="H25" s="23">
        <v>139.164624</v>
      </c>
      <c r="I25" s="20">
        <v>5.1725968259745438E-3</v>
      </c>
      <c r="J25" s="23">
        <v>151.54097039999999</v>
      </c>
      <c r="K25" s="20">
        <v>4.655534859649038E-3</v>
      </c>
      <c r="L25" s="23">
        <v>145.66017600000001</v>
      </c>
      <c r="M25" s="20">
        <v>3.7081722821254381E-3</v>
      </c>
      <c r="N25" s="23">
        <v>155.92246080000001</v>
      </c>
      <c r="O25" s="20">
        <v>2.7241576005208588E-3</v>
      </c>
      <c r="P25" s="23">
        <v>153.452046</v>
      </c>
      <c r="Q25" s="20">
        <v>2.9461074958199926E-3</v>
      </c>
      <c r="R25" s="23">
        <v>149.410584</v>
      </c>
      <c r="S25" s="20">
        <v>2.8504681519829437E-3</v>
      </c>
      <c r="T25" s="23">
        <v>31.811593599999998</v>
      </c>
      <c r="U25" s="20">
        <v>4.2412295971082275E-3</v>
      </c>
      <c r="V25" s="24">
        <f t="shared" si="0"/>
        <v>151.67822760000001</v>
      </c>
      <c r="Y25" s="19" t="s">
        <v>103</v>
      </c>
      <c r="Z25" s="27">
        <v>15.3015944809364</v>
      </c>
      <c r="AA25" s="27">
        <v>27.688023999999999</v>
      </c>
      <c r="AB25" s="27">
        <v>34.535374065534576</v>
      </c>
      <c r="AC25" s="27">
        <v>61.483812</v>
      </c>
      <c r="AD25" s="27">
        <v>66.951760199999995</v>
      </c>
      <c r="AE25" s="27">
        <v>64.353588000000002</v>
      </c>
      <c r="AF25" s="27">
        <v>68.887530400000003</v>
      </c>
      <c r="AG25" s="27">
        <v>67.796085500000004</v>
      </c>
      <c r="AH25" s="27">
        <v>50.608082199999998</v>
      </c>
      <c r="AI25" s="27">
        <v>457.60585084647101</v>
      </c>
      <c r="AJ25" s="28">
        <v>67.012401300000008</v>
      </c>
    </row>
    <row r="26" spans="1:36" x14ac:dyDescent="0.3">
      <c r="A26" s="19" t="s">
        <v>97</v>
      </c>
      <c r="B26" s="23">
        <v>122.77705</v>
      </c>
      <c r="C26" s="20">
        <v>6.8155940793203596E-3</v>
      </c>
      <c r="D26" s="23">
        <v>110.86879999999999</v>
      </c>
      <c r="E26" s="20">
        <v>4.2760316994670845E-3</v>
      </c>
      <c r="F26" s="23">
        <v>123.76657</v>
      </c>
      <c r="G26" s="20">
        <v>3.4387237558135509E-3</v>
      </c>
      <c r="H26" s="23">
        <v>123.0972</v>
      </c>
      <c r="I26" s="20">
        <v>4.5753882538880969E-3</v>
      </c>
      <c r="J26" s="23">
        <v>134.04462000000001</v>
      </c>
      <c r="K26" s="20">
        <v>4.118024317194215E-3</v>
      </c>
      <c r="L26" s="23">
        <v>128.84280000000001</v>
      </c>
      <c r="M26" s="20">
        <v>3.280040659235723E-3</v>
      </c>
      <c r="N26" s="23">
        <v>137.92024000000001</v>
      </c>
      <c r="O26" s="20">
        <v>2.4096366112614674E-3</v>
      </c>
      <c r="P26" s="23">
        <v>135.73505</v>
      </c>
      <c r="Q26" s="20">
        <v>2.6059610065446862E-3</v>
      </c>
      <c r="R26" s="23">
        <v>132.1602</v>
      </c>
      <c r="S26" s="20">
        <v>2.5213638215864026E-3</v>
      </c>
      <c r="T26" s="23">
        <v>26.65776</v>
      </c>
      <c r="U26" s="20">
        <v>3.5541030143365032E-3</v>
      </c>
      <c r="V26" s="24">
        <f t="shared" si="0"/>
        <v>134.16603000000001</v>
      </c>
      <c r="Y26" s="19" t="s">
        <v>83</v>
      </c>
      <c r="Z26" s="27">
        <v>24.564138582056064</v>
      </c>
      <c r="AA26" s="27">
        <v>32.236184889856048</v>
      </c>
      <c r="AB26" s="27">
        <v>35.235072914092655</v>
      </c>
      <c r="AC26" s="27">
        <v>50.550181684548939</v>
      </c>
      <c r="AD26" s="27">
        <v>65.384795568742945</v>
      </c>
      <c r="AE26" s="27">
        <v>64.387205620900559</v>
      </c>
      <c r="AF26" s="27">
        <v>82.820735334426203</v>
      </c>
      <c r="AG26" s="27">
        <v>4.4788127962047497</v>
      </c>
      <c r="AH26" s="27">
        <v>2.3100516528204289</v>
      </c>
      <c r="AI26" s="27">
        <v>361.96717904364863</v>
      </c>
      <c r="AJ26" s="28">
        <v>50.562251250510506</v>
      </c>
    </row>
    <row r="27" spans="1:36" x14ac:dyDescent="0.3">
      <c r="A27" s="19" t="s">
        <v>82</v>
      </c>
      <c r="B27" s="23">
        <v>43.954852852427997</v>
      </c>
      <c r="C27" s="20">
        <v>2.4400198152537945E-3</v>
      </c>
      <c r="D27" s="23">
        <v>55.601360879070498</v>
      </c>
      <c r="E27" s="20">
        <v>2.1444552629090825E-3</v>
      </c>
      <c r="F27" s="23">
        <v>72.252276702327904</v>
      </c>
      <c r="G27" s="20">
        <v>2.0074533883253686E-3</v>
      </c>
      <c r="H27" s="23">
        <v>80.992077751112106</v>
      </c>
      <c r="I27" s="20">
        <v>3.0103869235078443E-3</v>
      </c>
      <c r="J27" s="23">
        <v>99.496792432738999</v>
      </c>
      <c r="K27" s="20">
        <v>3.0566703141151393E-3</v>
      </c>
      <c r="L27" s="23">
        <v>104.64781121107499</v>
      </c>
      <c r="M27" s="20">
        <v>2.6640920227777561E-3</v>
      </c>
      <c r="N27" s="23">
        <v>121.456874415946</v>
      </c>
      <c r="O27" s="20">
        <v>2.1220013196181337E-3</v>
      </c>
      <c r="P27" s="23">
        <v>128.955766272685</v>
      </c>
      <c r="Q27" s="20">
        <v>2.4758063482918195E-3</v>
      </c>
      <c r="R27" s="23">
        <v>134.606193696704</v>
      </c>
      <c r="S27" s="20">
        <v>2.5680287026526986E-3</v>
      </c>
      <c r="T27" s="23">
        <v>29.683095736074002</v>
      </c>
      <c r="U27" s="20">
        <v>3.9574510397880252E-3</v>
      </c>
      <c r="V27" s="24">
        <v>0</v>
      </c>
      <c r="Y27" s="19" t="s">
        <v>91</v>
      </c>
      <c r="Z27" s="27">
        <v>20.077948676141499</v>
      </c>
      <c r="AA27" s="27">
        <v>20.702818812446822</v>
      </c>
      <c r="AB27" s="27">
        <v>42.294975722998103</v>
      </c>
      <c r="AC27" s="27">
        <v>26.1553485403773</v>
      </c>
      <c r="AD27" s="27">
        <v>37.893762674504799</v>
      </c>
      <c r="AE27" s="27">
        <v>35.1705881313746</v>
      </c>
      <c r="AF27" s="27">
        <v>35.382449011785198</v>
      </c>
      <c r="AG27" s="27">
        <v>34.259437219434396</v>
      </c>
      <c r="AH27" s="27">
        <v>28.164686279331061</v>
      </c>
      <c r="AI27" s="27">
        <v>280.10201506839377</v>
      </c>
      <c r="AJ27" s="28">
        <v>34.937491454198067</v>
      </c>
    </row>
    <row r="28" spans="1:36" x14ac:dyDescent="0.3">
      <c r="A28" s="19" t="s">
        <v>71</v>
      </c>
      <c r="B28" s="23">
        <v>57.557214000000002</v>
      </c>
      <c r="C28" s="20">
        <v>3.1951134756908963E-3</v>
      </c>
      <c r="D28" s="23">
        <v>61.969823999999996</v>
      </c>
      <c r="E28" s="20">
        <v>2.3900766657021281E-3</v>
      </c>
      <c r="F28" s="23">
        <v>69.1789986</v>
      </c>
      <c r="G28" s="20">
        <v>1.9220655940389425E-3</v>
      </c>
      <c r="H28" s="23">
        <v>68.804856000000001</v>
      </c>
      <c r="I28" s="20">
        <v>2.557401224015347E-3</v>
      </c>
      <c r="J28" s="23">
        <v>74.9238876</v>
      </c>
      <c r="K28" s="20">
        <v>2.3017588551896085E-3</v>
      </c>
      <c r="L28" s="23">
        <v>80.818341599999997</v>
      </c>
      <c r="M28" s="20">
        <v>2.0574486619353337E-3</v>
      </c>
      <c r="N28" s="23">
        <v>102.78687360000001</v>
      </c>
      <c r="O28" s="20">
        <v>1.7958133902874936E-3</v>
      </c>
      <c r="P28" s="23">
        <v>101.158332</v>
      </c>
      <c r="Q28" s="20">
        <v>1.9421267290880399E-3</v>
      </c>
      <c r="R28" s="23">
        <v>73.870596000000006</v>
      </c>
      <c r="S28" s="20">
        <v>1.4093096729077684E-3</v>
      </c>
      <c r="T28" s="23">
        <v>17.3836656</v>
      </c>
      <c r="U28" s="20">
        <v>2.3176492814541727E-3</v>
      </c>
      <c r="V28" s="24">
        <f t="shared" ref="V28:V36" si="1">AVERAGE(L28,N28,P28)</f>
        <v>94.921182400000006</v>
      </c>
      <c r="Y28" s="19" t="s">
        <v>75</v>
      </c>
      <c r="Z28" s="27">
        <v>135.1394147659897</v>
      </c>
      <c r="AA28" s="27">
        <v>108.0621180362802</v>
      </c>
      <c r="AB28" s="27"/>
      <c r="AC28" s="27"/>
      <c r="AD28" s="27"/>
      <c r="AE28" s="27"/>
      <c r="AF28" s="27"/>
      <c r="AG28" s="27"/>
      <c r="AH28" s="27"/>
      <c r="AI28" s="27">
        <v>243.2015328022699</v>
      </c>
      <c r="AJ28" s="28">
        <v>0</v>
      </c>
    </row>
    <row r="29" spans="1:36" x14ac:dyDescent="0.3">
      <c r="A29" s="19" t="s">
        <v>103</v>
      </c>
      <c r="B29" s="23">
        <v>15.3015944809364</v>
      </c>
      <c r="C29" s="20">
        <v>8.4942142483820243E-4</v>
      </c>
      <c r="D29" s="23">
        <v>27.688023999999999</v>
      </c>
      <c r="E29" s="20">
        <v>1.0678826533669114E-3</v>
      </c>
      <c r="F29" s="23">
        <v>34.535374065534576</v>
      </c>
      <c r="G29" s="20">
        <v>9.5952898440233869E-4</v>
      </c>
      <c r="H29" s="23">
        <v>61.483812</v>
      </c>
      <c r="I29" s="20">
        <v>2.2852860278630548E-3</v>
      </c>
      <c r="J29" s="23">
        <v>66.951760199999995</v>
      </c>
      <c r="K29" s="20">
        <v>2.0568447773775312E-3</v>
      </c>
      <c r="L29" s="23">
        <v>64.353588000000002</v>
      </c>
      <c r="M29" s="20">
        <v>1.6382939924287898E-3</v>
      </c>
      <c r="N29" s="23">
        <v>68.887530400000003</v>
      </c>
      <c r="O29" s="20">
        <v>1.2035500758353329E-3</v>
      </c>
      <c r="P29" s="23">
        <v>33.898042750000002</v>
      </c>
      <c r="Q29" s="20">
        <v>6.5080447242392306E-4</v>
      </c>
      <c r="R29" s="23">
        <v>33.005271</v>
      </c>
      <c r="S29" s="20">
        <v>6.2967743860144643E-4</v>
      </c>
      <c r="T29" s="23">
        <v>6.6574248000000003</v>
      </c>
      <c r="U29" s="20">
        <v>8.8759046331719522E-4</v>
      </c>
      <c r="V29" s="24">
        <f t="shared" si="1"/>
        <v>55.713053716666671</v>
      </c>
      <c r="Y29" s="19" t="s">
        <v>94</v>
      </c>
      <c r="Z29" s="27">
        <v>31.075035513112599</v>
      </c>
      <c r="AA29" s="27">
        <v>30.449335892058201</v>
      </c>
      <c r="AB29" s="27">
        <v>31.141996797080601</v>
      </c>
      <c r="AC29" s="27">
        <v>29.476224399496498</v>
      </c>
      <c r="AD29" s="27">
        <v>28.718007213105199</v>
      </c>
      <c r="AE29" s="27">
        <v>26.682052985204901</v>
      </c>
      <c r="AF29" s="27">
        <v>27.440910667789701</v>
      </c>
      <c r="AG29" s="27">
        <v>20.860112572666374</v>
      </c>
      <c r="AH29" s="27">
        <v>15.4409213858571</v>
      </c>
      <c r="AI29" s="27">
        <v>241.28459742637116</v>
      </c>
      <c r="AJ29" s="28">
        <v>24.994358741886987</v>
      </c>
    </row>
    <row r="30" spans="1:36" x14ac:dyDescent="0.3">
      <c r="A30" s="19" t="s">
        <v>83</v>
      </c>
      <c r="B30" s="23">
        <v>24.564138582056064</v>
      </c>
      <c r="C30" s="20">
        <v>1.3636033565187153E-3</v>
      </c>
      <c r="D30" s="23">
        <v>32.236184889856048</v>
      </c>
      <c r="E30" s="20">
        <v>1.2432979202346044E-3</v>
      </c>
      <c r="F30" s="23">
        <v>35.235072914092655</v>
      </c>
      <c r="G30" s="20">
        <v>9.7896937975669039E-4</v>
      </c>
      <c r="H30" s="23">
        <v>50.550181684548939</v>
      </c>
      <c r="I30" s="20">
        <v>1.8788949505869706E-3</v>
      </c>
      <c r="J30" s="23">
        <v>65.384795568742945</v>
      </c>
      <c r="K30" s="20">
        <v>2.0087055946509153E-3</v>
      </c>
      <c r="L30" s="23">
        <v>64.387205620900559</v>
      </c>
      <c r="M30" s="20">
        <v>1.6391498195562708E-3</v>
      </c>
      <c r="N30" s="23">
        <v>82.820735334426203</v>
      </c>
      <c r="O30" s="20">
        <v>1.4469803419239237E-3</v>
      </c>
      <c r="P30" s="23">
        <v>4.4788127962047497</v>
      </c>
      <c r="Q30" s="20">
        <v>8.5988191719993848E-5</v>
      </c>
      <c r="R30" s="23">
        <v>2.361169880280714</v>
      </c>
      <c r="S30" s="20">
        <v>4.5046604898897623E-5</v>
      </c>
      <c r="T30" s="23">
        <v>0.86987984254036999</v>
      </c>
      <c r="U30" s="20">
        <v>1.1597533215406291E-4</v>
      </c>
      <c r="V30" s="24">
        <f t="shared" si="1"/>
        <v>50.562251250510506</v>
      </c>
      <c r="Y30" s="19" t="s">
        <v>88</v>
      </c>
      <c r="Z30" s="27">
        <v>20.8715473342282</v>
      </c>
      <c r="AA30" s="27">
        <v>22.28171180436</v>
      </c>
      <c r="AB30" s="27">
        <v>24.889796433029801</v>
      </c>
      <c r="AC30" s="27">
        <v>24.742830603795902</v>
      </c>
      <c r="AD30" s="27">
        <v>26.9582197668242</v>
      </c>
      <c r="AE30" s="27">
        <v>25.918291971274201</v>
      </c>
      <c r="AF30" s="27">
        <v>27.738649935969001</v>
      </c>
      <c r="AG30" s="27">
        <v>27.285025426494002</v>
      </c>
      <c r="AH30" s="27">
        <v>20.519139720100899</v>
      </c>
      <c r="AI30" s="27">
        <v>221.2052129960762</v>
      </c>
      <c r="AJ30" s="28">
        <v>26.980655777912403</v>
      </c>
    </row>
    <row r="31" spans="1:36" x14ac:dyDescent="0.3">
      <c r="A31" s="19" t="s">
        <v>91</v>
      </c>
      <c r="B31" s="23">
        <v>20.077948676141499</v>
      </c>
      <c r="C31" s="20">
        <v>1.1145661841688497E-3</v>
      </c>
      <c r="D31" s="23">
        <v>20.702818812446822</v>
      </c>
      <c r="E31" s="20">
        <v>7.9847449878005456E-4</v>
      </c>
      <c r="F31" s="23">
        <v>42.294975722998103</v>
      </c>
      <c r="G31" s="20">
        <v>1.1751213414917371E-3</v>
      </c>
      <c r="H31" s="23">
        <v>26.1553485403773</v>
      </c>
      <c r="I31" s="20">
        <v>9.7216569091735218E-4</v>
      </c>
      <c r="J31" s="23">
        <v>37.893762674504799</v>
      </c>
      <c r="K31" s="20">
        <v>1.1641454626347349E-3</v>
      </c>
      <c r="L31" s="23">
        <v>35.1705881313746</v>
      </c>
      <c r="M31" s="20">
        <v>8.9536209303229999E-4</v>
      </c>
      <c r="N31" s="23">
        <v>35.382449011785198</v>
      </c>
      <c r="O31" s="20">
        <v>6.1817500125354858E-4</v>
      </c>
      <c r="P31" s="23">
        <v>34.259437219434396</v>
      </c>
      <c r="Q31" s="20">
        <v>6.5774284166110193E-4</v>
      </c>
      <c r="R31" s="23">
        <v>27.374529758924002</v>
      </c>
      <c r="S31" s="20">
        <v>5.2225366613467084E-4</v>
      </c>
      <c r="T31" s="23">
        <v>3.7294501871050798</v>
      </c>
      <c r="U31" s="20">
        <v>4.9722295315915519E-4</v>
      </c>
      <c r="V31" s="24">
        <f t="shared" si="1"/>
        <v>34.937491454198067</v>
      </c>
      <c r="Y31" s="19" t="s">
        <v>87</v>
      </c>
      <c r="Z31" s="27">
        <v>0.98678538532475002</v>
      </c>
      <c r="AA31" s="27">
        <v>1.3832438808179999</v>
      </c>
      <c r="AB31" s="27">
        <v>0.58479455741209996</v>
      </c>
      <c r="AC31" s="27">
        <v>2.8839852369794001</v>
      </c>
      <c r="AD31" s="27">
        <v>6.2831281174938001</v>
      </c>
      <c r="AE31" s="27">
        <v>7.1286216174304</v>
      </c>
      <c r="AF31" s="27">
        <v>180.51963328248939</v>
      </c>
      <c r="AG31" s="27">
        <v>1.4439384268017501</v>
      </c>
      <c r="AH31" s="27">
        <v>5.0769715944701002</v>
      </c>
      <c r="AI31" s="27">
        <v>206.2911020992197</v>
      </c>
      <c r="AJ31" s="28">
        <v>63.030731108907183</v>
      </c>
    </row>
    <row r="32" spans="1:36" x14ac:dyDescent="0.3">
      <c r="A32" s="19" t="s">
        <v>94</v>
      </c>
      <c r="B32" s="23">
        <v>31.075035513112599</v>
      </c>
      <c r="C32" s="20">
        <v>1.7250359742137487E-3</v>
      </c>
      <c r="D32" s="23">
        <v>30.449335892058201</v>
      </c>
      <c r="E32" s="20">
        <v>1.1743820218326681E-3</v>
      </c>
      <c r="F32" s="23">
        <v>31.141996797080601</v>
      </c>
      <c r="G32" s="20">
        <v>8.6524757201876545E-4</v>
      </c>
      <c r="H32" s="23">
        <v>29.476224399496498</v>
      </c>
      <c r="I32" s="20">
        <v>1.0955990135147347E-3</v>
      </c>
      <c r="J32" s="23">
        <v>28.718007213105199</v>
      </c>
      <c r="K32" s="20">
        <v>8.8225437205108315E-4</v>
      </c>
      <c r="L32" s="23">
        <v>26.682052985204901</v>
      </c>
      <c r="M32" s="20">
        <v>6.7926355732220937E-4</v>
      </c>
      <c r="N32" s="23">
        <v>27.440910667789701</v>
      </c>
      <c r="O32" s="20">
        <v>4.7942653660885026E-4</v>
      </c>
      <c r="P32" s="23">
        <v>20.8601121675668</v>
      </c>
      <c r="Q32" s="20">
        <v>4.0049080101880422E-4</v>
      </c>
      <c r="R32" s="23">
        <v>19.959118371868101</v>
      </c>
      <c r="S32" s="20">
        <v>3.8078180097781886E-4</v>
      </c>
      <c r="T32" s="23">
        <v>4.3051580879999998</v>
      </c>
      <c r="U32" s="20">
        <v>5.7397828391267597E-4</v>
      </c>
      <c r="V32" s="24">
        <f t="shared" si="1"/>
        <v>24.994358606853798</v>
      </c>
      <c r="Y32" s="19" t="s">
        <v>96</v>
      </c>
      <c r="Z32" s="27">
        <v>25.794958607673749</v>
      </c>
      <c r="AA32" s="27">
        <v>25.170701872943997</v>
      </c>
      <c r="AB32" s="27">
        <v>28.412421639296451</v>
      </c>
      <c r="AC32" s="27">
        <v>28.324468129557602</v>
      </c>
      <c r="AD32" s="27">
        <v>29.5974478428273</v>
      </c>
      <c r="AE32" s="27">
        <v>9.7800561621269999</v>
      </c>
      <c r="AF32" s="27">
        <v>7.0930224551183993</v>
      </c>
      <c r="AG32" s="27">
        <v>6.9762374579617505</v>
      </c>
      <c r="AH32" s="27">
        <v>5.2411592109909995</v>
      </c>
      <c r="AI32" s="27">
        <v>166.39047337849723</v>
      </c>
      <c r="AJ32" s="28">
        <v>7.9497720250690493</v>
      </c>
    </row>
    <row r="33" spans="1:36" x14ac:dyDescent="0.3">
      <c r="A33" s="19" t="s">
        <v>75</v>
      </c>
      <c r="B33" s="23">
        <v>135.1394147659897</v>
      </c>
      <c r="C33" s="20">
        <v>7.5018531163755587E-3</v>
      </c>
      <c r="D33" s="23">
        <v>108.0621180362802</v>
      </c>
      <c r="E33" s="20">
        <v>4.1677824801448909E-3</v>
      </c>
      <c r="F33" s="23"/>
      <c r="G33" s="20">
        <v>0</v>
      </c>
      <c r="H33" s="23"/>
      <c r="I33" s="20">
        <v>0</v>
      </c>
      <c r="J33" s="23"/>
      <c r="K33" s="20">
        <v>0</v>
      </c>
      <c r="L33" s="23"/>
      <c r="M33" s="20">
        <v>0</v>
      </c>
      <c r="N33" s="23"/>
      <c r="O33" s="20">
        <v>0</v>
      </c>
      <c r="P33" s="23"/>
      <c r="Q33" s="20">
        <v>0</v>
      </c>
      <c r="R33" s="23"/>
      <c r="S33" s="20">
        <v>0</v>
      </c>
      <c r="T33" s="23"/>
      <c r="U33" s="20">
        <v>0</v>
      </c>
      <c r="V33" s="24" t="e">
        <f t="shared" si="1"/>
        <v>#DIV/0!</v>
      </c>
      <c r="Y33" s="19" t="s">
        <v>74</v>
      </c>
      <c r="Z33" s="27">
        <v>2.3859186999999999</v>
      </c>
      <c r="AA33" s="27">
        <v>3.3603864379999999</v>
      </c>
      <c r="AB33" s="27">
        <v>16.086348650034999</v>
      </c>
      <c r="AC33" s="27">
        <v>9.0214632612199992</v>
      </c>
      <c r="AD33" s="27">
        <v>0.87948291000000001</v>
      </c>
      <c r="AE33" s="27">
        <v>0.18670903999999999</v>
      </c>
      <c r="AF33" s="27">
        <v>0.73221831999999998</v>
      </c>
      <c r="AG33" s="27">
        <v>41.551056799999998</v>
      </c>
      <c r="AH33" s="27">
        <v>15.74620129254</v>
      </c>
      <c r="AI33" s="27">
        <v>89.949785411795006</v>
      </c>
      <c r="AJ33" s="28">
        <v>14.156661386666665</v>
      </c>
    </row>
    <row r="34" spans="1:36" x14ac:dyDescent="0.3">
      <c r="A34" s="19" t="s">
        <v>88</v>
      </c>
      <c r="B34" s="23">
        <v>20.8715473342282</v>
      </c>
      <c r="C34" s="20">
        <v>1.1586203971949184E-3</v>
      </c>
      <c r="D34" s="23">
        <v>22.28171180436</v>
      </c>
      <c r="E34" s="20">
        <v>8.593698677520934E-4</v>
      </c>
      <c r="F34" s="23">
        <v>24.889796433029801</v>
      </c>
      <c r="G34" s="20">
        <v>6.9153677177627979E-4</v>
      </c>
      <c r="H34" s="23">
        <v>24.742830603795902</v>
      </c>
      <c r="I34" s="20">
        <v>9.1966394452961319E-4</v>
      </c>
      <c r="J34" s="23">
        <v>26.9582197668242</v>
      </c>
      <c r="K34" s="20">
        <v>8.2819142273705428E-4</v>
      </c>
      <c r="L34" s="23">
        <v>25.918291971274201</v>
      </c>
      <c r="M34" s="20">
        <v>6.5981996265000579E-4</v>
      </c>
      <c r="N34" s="23">
        <v>27.738649935969001</v>
      </c>
      <c r="O34" s="20">
        <v>4.8462840865616573E-4</v>
      </c>
      <c r="P34" s="23">
        <v>27.285025426494002</v>
      </c>
      <c r="Q34" s="20">
        <v>5.2384194299131778E-4</v>
      </c>
      <c r="R34" s="23">
        <v>13.3047306335776</v>
      </c>
      <c r="S34" s="20">
        <v>2.5382881136268634E-4</v>
      </c>
      <c r="T34" s="23">
        <v>2.8470203283791999</v>
      </c>
      <c r="U34" s="20">
        <v>3.7957441026439644E-4</v>
      </c>
      <c r="V34" s="24">
        <f t="shared" si="1"/>
        <v>26.980655777912403</v>
      </c>
      <c r="Y34" s="19" t="s">
        <v>92</v>
      </c>
      <c r="Z34" s="27"/>
      <c r="AA34" s="27"/>
      <c r="AB34" s="27"/>
      <c r="AC34" s="27"/>
      <c r="AD34" s="27"/>
      <c r="AE34" s="27"/>
      <c r="AF34" s="27">
        <v>0.18563326230521299</v>
      </c>
      <c r="AG34" s="27">
        <v>13.3694674665338</v>
      </c>
      <c r="AH34" s="27">
        <v>4.6301405990674196</v>
      </c>
      <c r="AI34" s="27">
        <v>18.185241327906432</v>
      </c>
      <c r="AJ34" s="28">
        <v>6.7775503644195068</v>
      </c>
    </row>
    <row r="35" spans="1:36" x14ac:dyDescent="0.3">
      <c r="A35" s="19" t="s">
        <v>87</v>
      </c>
      <c r="B35" s="23">
        <v>0.98678538532475002</v>
      </c>
      <c r="C35" s="20">
        <v>5.4778385942480505E-5</v>
      </c>
      <c r="D35" s="23">
        <v>1.3832438808179999</v>
      </c>
      <c r="E35" s="20">
        <v>5.3349496724701966E-5</v>
      </c>
      <c r="F35" s="23">
        <v>0.58479455741209996</v>
      </c>
      <c r="G35" s="20">
        <v>1.6247900679831876E-5</v>
      </c>
      <c r="H35" s="23">
        <v>2.8839852369794001</v>
      </c>
      <c r="I35" s="20">
        <v>1.0719457613708702E-4</v>
      </c>
      <c r="J35" s="23">
        <v>6.2831281174938001</v>
      </c>
      <c r="K35" s="20">
        <v>1.9302583256147228E-4</v>
      </c>
      <c r="L35" s="23">
        <v>7.1286216174304</v>
      </c>
      <c r="M35" s="20">
        <v>1.8147827235575782E-4</v>
      </c>
      <c r="N35" s="23">
        <v>180.51963328248939</v>
      </c>
      <c r="O35" s="20">
        <v>3.1539005254702318E-3</v>
      </c>
      <c r="P35" s="23">
        <v>1.4439384268017501</v>
      </c>
      <c r="Q35" s="20">
        <v>2.7722001326089612E-5</v>
      </c>
      <c r="R35" s="23">
        <v>5.3543070938685</v>
      </c>
      <c r="S35" s="20">
        <v>1.0214993769791107E-4</v>
      </c>
      <c r="T35" s="23">
        <v>0.4443338668804</v>
      </c>
      <c r="U35" s="20">
        <v>5.9240098779920904E-5</v>
      </c>
      <c r="V35" s="24">
        <f t="shared" si="1"/>
        <v>63.030731108907183</v>
      </c>
      <c r="Y35" s="19" t="s">
        <v>77</v>
      </c>
      <c r="Z35" s="27">
        <v>2.1187702396208299</v>
      </c>
      <c r="AA35" s="27">
        <v>3.6424456785000001</v>
      </c>
      <c r="AB35" s="27">
        <v>4.2371971690450003</v>
      </c>
      <c r="AC35" s="27">
        <v>4.3365488766499993</v>
      </c>
      <c r="AD35" s="27">
        <v>0.76209638740000007</v>
      </c>
      <c r="AE35" s="27">
        <v>9.7355427999999992E-4</v>
      </c>
      <c r="AF35" s="27">
        <v>8.8418815999999996E-4</v>
      </c>
      <c r="AG35" s="27">
        <v>8.4298610000000003E-4</v>
      </c>
      <c r="AH35" s="27">
        <v>6.5662752E-4</v>
      </c>
      <c r="AI35" s="27">
        <v>15.100415707275829</v>
      </c>
      <c r="AJ35" s="28">
        <v>9.0024284666666667E-4</v>
      </c>
    </row>
    <row r="36" spans="1:36" x14ac:dyDescent="0.3">
      <c r="A36" s="19" t="s">
        <v>96</v>
      </c>
      <c r="B36" s="23">
        <v>25.794958607673749</v>
      </c>
      <c r="C36" s="20">
        <v>1.4319285824408955E-3</v>
      </c>
      <c r="D36" s="23">
        <v>25.170701872943997</v>
      </c>
      <c r="E36" s="20">
        <v>9.707935785950966E-4</v>
      </c>
      <c r="F36" s="23">
        <v>28.412421639296451</v>
      </c>
      <c r="G36" s="20">
        <v>7.8940920194556328E-4</v>
      </c>
      <c r="H36" s="23">
        <v>28.324468129557602</v>
      </c>
      <c r="I36" s="20">
        <v>1.052789492999074E-3</v>
      </c>
      <c r="J36" s="23">
        <v>29.5974478428273</v>
      </c>
      <c r="K36" s="20">
        <v>9.0927192709151826E-4</v>
      </c>
      <c r="L36" s="23">
        <v>9.7800561621269999</v>
      </c>
      <c r="M36" s="20">
        <v>2.4897768335821197E-4</v>
      </c>
      <c r="N36" s="23">
        <v>7.0930224551183993</v>
      </c>
      <c r="O36" s="20">
        <v>1.23923846074753E-4</v>
      </c>
      <c r="P36" s="23">
        <v>6.9759167164995004</v>
      </c>
      <c r="Q36" s="20">
        <v>1.3392979151737847E-4</v>
      </c>
      <c r="R36" s="23">
        <v>6.7879282358940003</v>
      </c>
      <c r="S36" s="20">
        <v>1.2950068687477733E-4</v>
      </c>
      <c r="T36" s="23">
        <v>1.4522710565964001</v>
      </c>
      <c r="U36" s="20">
        <v>1.9362170489504462E-4</v>
      </c>
      <c r="V36" s="24">
        <f t="shared" si="1"/>
        <v>7.9496651112482999</v>
      </c>
      <c r="Y36" s="19" t="s">
        <v>80</v>
      </c>
      <c r="Z36" s="27">
        <v>0.80719827555453894</v>
      </c>
      <c r="AA36" s="27">
        <v>0.858239710007484</v>
      </c>
      <c r="AB36" s="27">
        <v>0.9582362464787999</v>
      </c>
      <c r="AC36" s="27">
        <v>0.95824249211450407</v>
      </c>
      <c r="AD36" s="27">
        <v>1.0602573324816</v>
      </c>
      <c r="AE36" s="27">
        <v>1.0287332716056261</v>
      </c>
      <c r="AF36" s="27">
        <v>1.1174770613840002</v>
      </c>
      <c r="AG36" s="27">
        <v>1.089465718055</v>
      </c>
      <c r="AH36" s="27">
        <v>0.81774017832363</v>
      </c>
      <c r="AI36" s="27">
        <v>8.6955902860051832</v>
      </c>
      <c r="AJ36" s="28">
        <v>1.078558683681542</v>
      </c>
    </row>
    <row r="37" spans="1:36" x14ac:dyDescent="0.3">
      <c r="A37" s="19" t="s">
        <v>74</v>
      </c>
      <c r="B37" s="23">
        <v>2.3859186999999999</v>
      </c>
      <c r="C37" s="20">
        <v>1.3244701159915252E-4</v>
      </c>
      <c r="D37" s="23">
        <v>3.3603864379999999</v>
      </c>
      <c r="E37" s="20">
        <v>1.2960471233879398E-4</v>
      </c>
      <c r="F37" s="23">
        <v>16.086348650034999</v>
      </c>
      <c r="G37" s="20">
        <v>4.4694224981087053E-4</v>
      </c>
      <c r="H37" s="23">
        <v>9.0214632612199992</v>
      </c>
      <c r="I37" s="20">
        <v>3.3531791980864707E-4</v>
      </c>
      <c r="J37" s="23">
        <v>0.87948291000000001</v>
      </c>
      <c r="K37" s="20">
        <v>2.7018853945326047E-5</v>
      </c>
      <c r="L37" s="23">
        <v>0.18670903999999999</v>
      </c>
      <c r="M37" s="20">
        <v>4.7531817272433449E-6</v>
      </c>
      <c r="N37" s="23">
        <v>0.73221831999999998</v>
      </c>
      <c r="O37" s="20">
        <v>1.2792756678123272E-5</v>
      </c>
      <c r="P37" s="23">
        <v>41.551056799999998</v>
      </c>
      <c r="Q37" s="20">
        <v>7.9773377474368946E-4</v>
      </c>
      <c r="R37" s="23">
        <v>18.104039887780001</v>
      </c>
      <c r="S37" s="20">
        <v>3.4539045187284562E-4</v>
      </c>
      <c r="T37" s="23">
        <v>2.4488894000000001</v>
      </c>
      <c r="U37" s="20">
        <v>3.2649424401437748E-4</v>
      </c>
      <c r="V37" s="24" t="e">
        <f>SUM(V4:V36)</f>
        <v>#DIV/0!</v>
      </c>
      <c r="Y37" s="19" t="s">
        <v>86</v>
      </c>
      <c r="Z37" s="27">
        <v>2.2155569502400399E-3</v>
      </c>
      <c r="AA37" s="27"/>
      <c r="AB37" s="27"/>
      <c r="AC37" s="27">
        <v>3.77478418663635E-4</v>
      </c>
      <c r="AD37" s="27"/>
      <c r="AE37" s="27"/>
      <c r="AF37" s="27">
        <v>1.6576392289992799E-2</v>
      </c>
      <c r="AG37" s="27">
        <v>0.15780971869580601</v>
      </c>
      <c r="AH37" s="27">
        <v>0.15664025806391799</v>
      </c>
      <c r="AI37" s="27">
        <v>0.33361940441862048</v>
      </c>
      <c r="AJ37" s="28">
        <v>8.7193055492899407E-2</v>
      </c>
    </row>
    <row r="38" spans="1:36" x14ac:dyDescent="0.3">
      <c r="A38" s="19" t="s">
        <v>92</v>
      </c>
      <c r="B38" s="23"/>
      <c r="C38" s="20">
        <v>0</v>
      </c>
      <c r="D38" s="23"/>
      <c r="E38" s="20">
        <v>0</v>
      </c>
      <c r="F38" s="23"/>
      <c r="G38" s="20">
        <v>0</v>
      </c>
      <c r="H38" s="23"/>
      <c r="I38" s="20">
        <v>0</v>
      </c>
      <c r="J38" s="23"/>
      <c r="K38" s="20">
        <v>0</v>
      </c>
      <c r="L38" s="23"/>
      <c r="M38" s="20">
        <v>0</v>
      </c>
      <c r="N38" s="23">
        <v>0.18563326230521299</v>
      </c>
      <c r="O38" s="20">
        <v>3.2432419282227499E-6</v>
      </c>
      <c r="P38" s="23">
        <v>13.3694674665338</v>
      </c>
      <c r="Q38" s="20">
        <v>2.5667880842903035E-4</v>
      </c>
      <c r="R38" s="23">
        <v>5.5256252328369202</v>
      </c>
      <c r="S38" s="20">
        <v>1.0541836009418837E-4</v>
      </c>
      <c r="T38" s="23">
        <v>1.3822046154574199</v>
      </c>
      <c r="U38" s="20">
        <v>1.8428020922339476E-4</v>
      </c>
    </row>
    <row r="39" spans="1:36" x14ac:dyDescent="0.3">
      <c r="A39" s="19" t="s">
        <v>77</v>
      </c>
      <c r="B39" s="23">
        <v>2.1187702396208299</v>
      </c>
      <c r="C39" s="20">
        <v>1.1761707827806506E-4</v>
      </c>
      <c r="D39" s="23">
        <v>3.6424456785000001</v>
      </c>
      <c r="E39" s="20">
        <v>1.4048328461075519E-4</v>
      </c>
      <c r="F39" s="23">
        <v>4.2371971690450003</v>
      </c>
      <c r="G39" s="20">
        <v>1.1772605933299249E-4</v>
      </c>
      <c r="H39" s="23">
        <v>4.3365488766499993</v>
      </c>
      <c r="I39" s="20">
        <v>1.6118477749807494E-4</v>
      </c>
      <c r="J39" s="23">
        <v>0.76209638740000007</v>
      </c>
      <c r="K39" s="20">
        <v>2.3412587952870193E-5</v>
      </c>
      <c r="L39" s="23">
        <v>9.7355427999999992E-4</v>
      </c>
      <c r="M39" s="20">
        <v>2.4784447577768868E-8</v>
      </c>
      <c r="N39" s="23">
        <v>8.8418815999999996E-4</v>
      </c>
      <c r="O39" s="20">
        <v>1.5447857120752631E-8</v>
      </c>
      <c r="P39" s="23">
        <v>8.4298610000000003E-4</v>
      </c>
      <c r="Q39" s="20">
        <v>1.6184389409067001E-8</v>
      </c>
      <c r="R39" s="23">
        <v>6.7714713000000004E-4</v>
      </c>
      <c r="S39" s="20">
        <v>1.2918672001654543E-8</v>
      </c>
      <c r="T39" s="23">
        <v>1.4486387999999999E-4</v>
      </c>
      <c r="U39" s="20">
        <v>1.9313744012118105E-8</v>
      </c>
    </row>
    <row r="40" spans="1:36" x14ac:dyDescent="0.3">
      <c r="A40" s="19" t="s">
        <v>80</v>
      </c>
      <c r="B40" s="23">
        <v>0.80719827555453894</v>
      </c>
      <c r="C40" s="20">
        <v>4.480915437947988E-5</v>
      </c>
      <c r="D40" s="23">
        <v>0.858239710007484</v>
      </c>
      <c r="E40" s="20">
        <v>3.3100928356160072E-5</v>
      </c>
      <c r="F40" s="23">
        <v>0.9582362464787999</v>
      </c>
      <c r="G40" s="20">
        <v>2.6623584579004316E-5</v>
      </c>
      <c r="H40" s="23">
        <v>0.95824249211450407</v>
      </c>
      <c r="I40" s="20">
        <v>3.5616825100791563E-5</v>
      </c>
      <c r="J40" s="23">
        <v>1.0602573324816</v>
      </c>
      <c r="K40" s="20">
        <v>3.2572478310899018E-5</v>
      </c>
      <c r="L40" s="23">
        <v>1.0287332716056261</v>
      </c>
      <c r="M40" s="20">
        <v>2.6189177496724996E-5</v>
      </c>
      <c r="N40" s="23">
        <v>1.1174770613840002</v>
      </c>
      <c r="O40" s="20">
        <v>1.9523701810232961E-5</v>
      </c>
      <c r="P40" s="23">
        <v>1.089465718055</v>
      </c>
      <c r="Q40" s="20">
        <v>2.0916522145300993E-5</v>
      </c>
      <c r="R40" s="23">
        <v>0.70496784670460599</v>
      </c>
      <c r="S40" s="20">
        <v>1.3449438061251896E-5</v>
      </c>
      <c r="T40" s="23">
        <v>0.15007033976973799</v>
      </c>
      <c r="U40" s="20">
        <v>2.0007886894402571E-5</v>
      </c>
    </row>
    <row r="41" spans="1:36" x14ac:dyDescent="0.3">
      <c r="A41" s="19" t="s">
        <v>86</v>
      </c>
      <c r="B41" s="23">
        <v>2.2155569502400399E-3</v>
      </c>
      <c r="C41" s="20">
        <v>1.2298989780625198E-7</v>
      </c>
      <c r="D41" s="23"/>
      <c r="E41" s="20">
        <v>0</v>
      </c>
      <c r="F41" s="23"/>
      <c r="G41" s="20">
        <v>0</v>
      </c>
      <c r="H41" s="23">
        <v>3.77478418663635E-4</v>
      </c>
      <c r="I41" s="20">
        <v>1.4030459854893929E-8</v>
      </c>
      <c r="J41" s="23"/>
      <c r="K41" s="20">
        <v>0</v>
      </c>
      <c r="L41" s="23"/>
      <c r="M41" s="20">
        <v>0</v>
      </c>
      <c r="N41" s="23">
        <v>1.6576392289992799E-2</v>
      </c>
      <c r="O41" s="20">
        <v>2.8961000752753157E-7</v>
      </c>
      <c r="P41" s="23">
        <v>0.15780971869580601</v>
      </c>
      <c r="Q41" s="20">
        <v>3.0297699332269479E-6</v>
      </c>
      <c r="R41" s="23">
        <v>0.20390061743488599</v>
      </c>
      <c r="S41" s="20">
        <v>3.8900337620512924E-6</v>
      </c>
      <c r="T41" s="23">
        <v>4.6379654694416503E-2</v>
      </c>
      <c r="U41" s="20">
        <v>6.1834929323886123E-6</v>
      </c>
    </row>
    <row r="42" spans="1:36" x14ac:dyDescent="0.3">
      <c r="A42" s="19" t="s">
        <v>104</v>
      </c>
      <c r="B42" s="23">
        <v>18014.13766299931</v>
      </c>
      <c r="C42" s="20">
        <v>1</v>
      </c>
      <c r="D42" s="23">
        <v>25927.964943248062</v>
      </c>
      <c r="E42" s="20">
        <v>1</v>
      </c>
      <c r="F42" s="23">
        <v>35992.007148221383</v>
      </c>
      <c r="G42" s="20">
        <v>1</v>
      </c>
      <c r="H42" s="23">
        <v>26904.208598121444</v>
      </c>
      <c r="I42" s="20">
        <v>1</v>
      </c>
      <c r="J42" s="23">
        <v>32550.71113599696</v>
      </c>
      <c r="K42" s="20">
        <v>1</v>
      </c>
      <c r="L42" s="23">
        <v>39280.854533681748</v>
      </c>
      <c r="M42" s="20">
        <v>1</v>
      </c>
      <c r="N42" s="23">
        <v>57236.945751665633</v>
      </c>
      <c r="O42" s="20">
        <v>1</v>
      </c>
      <c r="P42" s="23">
        <v>52086.370309882244</v>
      </c>
      <c r="Q42" s="20">
        <v>1</v>
      </c>
      <c r="R42" s="23">
        <v>52416.156235971874</v>
      </c>
      <c r="S42" s="20">
        <v>1</v>
      </c>
      <c r="T42" s="23">
        <v>7500.5591825752399</v>
      </c>
      <c r="U42" s="20">
        <v>1</v>
      </c>
    </row>
  </sheetData>
  <autoFilter ref="Y3:AJ36" xr:uid="{9B388A73-EB7D-4AB7-9D79-6A53DE3FA04A}">
    <sortState xmlns:xlrd2="http://schemas.microsoft.com/office/spreadsheetml/2017/richdata2" ref="Y4:AJ37">
      <sortCondition descending="1" ref="AI3:AI36"/>
    </sortState>
  </autoFilter>
  <conditionalFormatting pivot="1" sqref="T4 T5 T6 T7 T8 T9 T10 T11 T12 T13 T14 T15 T16 T17 T18 T19 T20 T21 T22 T23 T24 T25 T26 T27 T28 T29 T30 T31 T32 T33 T34 T35 T36">
    <cfRule type="colorScale" priority="6">
      <colorScale>
        <cfvo type="min"/>
        <cfvo type="percentile" val="50"/>
        <cfvo type="max"/>
        <color rgb="FF63BE7B"/>
        <color rgb="FFFCFCFF"/>
        <color rgb="FFF8696B"/>
      </colorScale>
    </cfRule>
  </conditionalFormatting>
  <conditionalFormatting pivot="1" sqref="U4 U5 U6 U7 U8 U9 U10 U11 U12 U13 U14 U15 U16 U17 U18 U19 U20 U21 U22 U23 U24 U25 U26 U27 U28 U29 U30 U31 U32 U33 U34 U35 U36">
    <cfRule type="colorScale" priority="5">
      <colorScale>
        <cfvo type="min"/>
        <cfvo type="percentile" val="50"/>
        <cfvo type="max"/>
        <color rgb="FF63BE7B"/>
        <color rgb="FFFCFCFF"/>
        <color rgb="FFF8696B"/>
      </colorScale>
    </cfRule>
  </conditionalFormatting>
  <conditionalFormatting sqref="V4:V36">
    <cfRule type="colorScale" priority="4">
      <colorScale>
        <cfvo type="min"/>
        <cfvo type="percentile" val="50"/>
        <cfvo type="max"/>
        <color rgb="FF63BE7B"/>
        <color rgb="FFFCFCFF"/>
        <color rgb="FFF8696B"/>
      </colorScale>
    </cfRule>
  </conditionalFormatting>
  <conditionalFormatting sqref="AI4:AI36">
    <cfRule type="colorScale" priority="3">
      <colorScale>
        <cfvo type="min"/>
        <cfvo type="percentile" val="50"/>
        <cfvo type="max"/>
        <color rgb="FF63BE7B"/>
        <color rgb="FFFCFCFF"/>
        <color rgb="FFF8696B"/>
      </colorScale>
    </cfRule>
  </conditionalFormatting>
  <conditionalFormatting sqref="AJ4:AJ36">
    <cfRule type="colorScale" priority="1">
      <colorScale>
        <cfvo type="min"/>
        <cfvo type="percentile" val="50"/>
        <cfvo type="max"/>
        <color rgb="FF63BE7B"/>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CostModel</vt:lpstr>
      <vt:lpstr>UsageModel</vt:lpstr>
      <vt:lpstr>Sheet1</vt:lpstr>
      <vt:lpstr>DEV</vt:lpstr>
      <vt:lpstr>DEV+QA</vt:lpstr>
      <vt:lpstr>PREVIEW++</vt:lpstr>
      <vt:lpstr>QA</vt:lpstr>
      <vt:lpstr>Operational Cost</vt:lpstr>
      <vt:lpstr>Development Cost</vt:lpstr>
      <vt:lpstr>CostModel_copy</vt:lpstr>
      <vt:lpstr>DEV!_FilterDatabase</vt:lpstr>
      <vt:lpstr>'PREVIEW++'!_FilterDatabase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Sangani Kartik</dc:creator>
  <cp:keywords/>
  <dc:description/>
  <cp:lastModifiedBy>Debnath, Sourav</cp:lastModifiedBy>
  <cp:revision/>
  <dcterms:created xsi:type="dcterms:W3CDTF">2024-07-10T19:16:42Z</dcterms:created>
  <dcterms:modified xsi:type="dcterms:W3CDTF">2026-01-19T03:35:09Z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2024-07-10T19:17:00Z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206c29ef-7cf8-4e6e-916a-511ccaeee23c</vt:lpwstr>
  </property>
  <property fmtid="{D5CDD505-2E9C-101B-9397-08002B2CF9AE}" pid="8" name="MSIP_Label_68104b14-b53d-46de-9ae8-975cc0e84815_ContentBits">
    <vt:lpwstr>0</vt:lpwstr>
  </property>
</Properties>
</file>